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28" codeName="{C80E003A-6C80-AF87-3323-10F97C11A349}"/>
  <workbookPr codeName="ThisWorkbook" defaultThemeVersion="166925"/>
  <mc:AlternateContent xmlns:mc="http://schemas.openxmlformats.org/markup-compatibility/2006">
    <mc:Choice Requires="x15">
      <x15ac:absPath xmlns:x15ac="http://schemas.microsoft.com/office/spreadsheetml/2010/11/ac" url="/Users/lukebyrne/Downloads/"/>
    </mc:Choice>
  </mc:AlternateContent>
  <xr:revisionPtr revIDLastSave="0" documentId="13_ncr:1_{70ACB6B2-3235-3545-B59C-975DF0A1D5D1}" xr6:coauthVersionLast="47" xr6:coauthVersionMax="47" xr10:uidLastSave="{00000000-0000-0000-0000-000000000000}"/>
  <bookViews>
    <workbookView xWindow="0" yWindow="500" windowWidth="51200" windowHeight="28300" tabRatio="678" xr2:uid="{539AC4BC-4120-49A4-BCA0-64AA6E08C310}"/>
  </bookViews>
  <sheets>
    <sheet name="Main" sheetId="1" r:id="rId1"/>
    <sheet name="ChartData" sheetId="11" r:id="rId2"/>
    <sheet name="ExDivTree" sheetId="10" r:id="rId3"/>
    <sheet name="UndTree" sheetId="2" r:id="rId4"/>
    <sheet name="OptTree" sheetId="7" r:id="rId5"/>
    <sheet name="Lists" sheetId="6" r:id="rId6"/>
    <sheet name="Preferences" sheetId="5" r:id="rId7"/>
  </sheets>
  <functionGroups builtInGroupCount="19"/>
  <definedNames>
    <definedName name="AmEur">Main!$C$12</definedName>
    <definedName name="BS_d1">Main!$C$49</definedName>
    <definedName name="BS_d2">Main!$C$50</definedName>
    <definedName name="CallPut">Main!$C$14</definedName>
    <definedName name="ChartLines">Main!$F$8</definedName>
    <definedName name="ChartLines13">Lists!$E$67</definedName>
    <definedName name="ChartLines13Fixed">Lists!$E$68</definedName>
    <definedName name="ChartLines13Show">Lists!$D$54:$D$66</definedName>
    <definedName name="ChartLines13to8">Lists!$E$54:$E$66</definedName>
    <definedName name="ChartLinesFixed">Lists!$E$69</definedName>
    <definedName name="ChartLinesLabel">Main!$E$8</definedName>
    <definedName name="ChartMode">Main!$F$6</definedName>
    <definedName name="ChartX">Main!$F$10</definedName>
    <definedName name="ChartX13">Lists!$E$81</definedName>
    <definedName name="ChartX13Fixed">Lists!$E$84</definedName>
    <definedName name="ChartX13IsDate">Lists!$E$82</definedName>
    <definedName name="ChartX13IsDays">Lists!$E$83</definedName>
    <definedName name="ChartXIncr">ChartData!$Z$4</definedName>
    <definedName name="ChartXIncrOverride">ChartData!$Y$4</definedName>
    <definedName name="ChartXIncrReset">ChartData!$W$5</definedName>
    <definedName name="ChartXKeyMax">ChartData!$U$4</definedName>
    <definedName name="ChartXKeyMid">ChartData!$U$5</definedName>
    <definedName name="ChartXKeyMin">ChartData!$U$3</definedName>
    <definedName name="ChartXKeyPoints">ChartData!$B$6:$S$6</definedName>
    <definedName name="ChartXKeyRange">ChartData!$U$6</definedName>
    <definedName name="ChartXLabelN">Lists!$D$160</definedName>
    <definedName name="ChartXLabels">ChartData!$P$9:$P$109</definedName>
    <definedName name="ChartXMax">ChartData!$Z$6</definedName>
    <definedName name="ChartXMid">ChartData!$Z$5</definedName>
    <definedName name="ChartXMin">ChartData!$Z$3</definedName>
    <definedName name="ChartXMinOverride">ChartData!$Y$3</definedName>
    <definedName name="ChartXMinRange">Lists!$D$162</definedName>
    <definedName name="ChartXMinRangeDate">Lists!$D$163</definedName>
    <definedName name="ChartXMinRangeDays">Lists!$D$164</definedName>
    <definedName name="ChartXMinReset">ChartData!$W$6</definedName>
    <definedName name="ChartXN">Lists!$D$159</definedName>
    <definedName name="ChartXRangeMult">Lists!$D$165</definedName>
    <definedName name="ChartXRawIncr">ChartData!$W$4</definedName>
    <definedName name="ChartXRawMin">ChartData!$W$3</definedName>
    <definedName name="ChartXZeroRangeMult">Lists!$D$161</definedName>
    <definedName name="ChartY">Main!$F$12</definedName>
    <definedName name="DaysPerYear">Preferences!$D$8</definedName>
    <definedName name="DefaultCell">UndPrice</definedName>
    <definedName name="DefaultDivAs">Preferences!$D$28</definedName>
    <definedName name="DeltaFromTree">Preferences!$D$14</definedName>
    <definedName name="DivAmount">Main!$C$30</definedName>
    <definedName name="DivAmountLabel">Main!$B$30</definedName>
    <definedName name="DivAmountMin">Lists!$D$156</definedName>
    <definedName name="DivAs">Main!$C$28</definedName>
    <definedName name="DivAsLabel">Main!$B$28</definedName>
    <definedName name="DownMove">Main!$C$46</definedName>
    <definedName name="DownProb">Main!$C$48</definedName>
    <definedName name="ExDivAs">Main!$C$31</definedName>
    <definedName name="ExDivAsLabel">Main!$B$31</definedName>
    <definedName name="ExDivDate">Main!$C$32</definedName>
    <definedName name="ExDivDateLabel">Main!$B$32</definedName>
    <definedName name="ExDivDays">Main!$C$34</definedName>
    <definedName name="ExDivDaysLabel">Main!$B$34</definedName>
    <definedName name="ExDivPct">Main!$C$35</definedName>
    <definedName name="ExDivPctLabel">Main!$B$35</definedName>
    <definedName name="ExDivTime">Main!$C$33</definedName>
    <definedName name="ExDivTimeLabel">Main!$B$33</definedName>
    <definedName name="ExpDate">Main!$C$21</definedName>
    <definedName name="ExpDateLabel">Main!$B$21</definedName>
    <definedName name="ExpTime">Main!$C$22</definedName>
    <definedName name="ExpTimeLabel">Main!$B$22</definedName>
    <definedName name="GammaFromTree">Preferences!$D$15</definedName>
    <definedName name="GIDelta">Lists!$D$168</definedName>
    <definedName name="GIGamma">Lists!$D$169</definedName>
    <definedName name="GIRho">Lists!$D$172</definedName>
    <definedName name="GITheta">Lists!$D$170</definedName>
    <definedName name="GIVega">Lists!$D$171</definedName>
    <definedName name="InactiveVisible">Lists!$D$180</definedName>
    <definedName name="InputFormat0">Lists!$D$185</definedName>
    <definedName name="InputFormat1">Lists!$D$187</definedName>
    <definedName name="InputFormat2">Lists!$D$188</definedName>
    <definedName name="InputFormat3">Lists!$D$189</definedName>
    <definedName name="InputFormatInactive">Lists!$D$186</definedName>
    <definedName name="InputValues">ChartData!$B$7:$N$7</definedName>
    <definedName name="IntRate">Main!$C$26</definedName>
    <definedName name="IntRateLabel">Main!$B$26</definedName>
    <definedName name="IsExpired">Lists!$D$97</definedName>
    <definedName name="ListAmEur">Lists!$C$22:$C$23</definedName>
    <definedName name="ListCallPut">Lists!$C$27:$C$28</definedName>
    <definedName name="ListChartLines">Lists!$C$73:$C$80</definedName>
    <definedName name="ListChartMode">Lists!$C$49:$C$50</definedName>
    <definedName name="ListChartX">Lists!$F$73:$F$80</definedName>
    <definedName name="ListChartX13">Lists!$G$73:$G$80</definedName>
    <definedName name="ListChartXAll">Lists!$C$54:$C$66</definedName>
    <definedName name="ListChartY">Lists!$C$88:$C$93</definedName>
    <definedName name="ListDivAs">Lists!$C$38:$C$39</definedName>
    <definedName name="ListExDivAs">Lists!$C$43:$C$45</definedName>
    <definedName name="ListModel">Lists!$C$9:$C$11</definedName>
    <definedName name="ListTimeAs">Lists!$C$32:$C$34</definedName>
    <definedName name="ListUndType">Lists!$C$15:$C$18</definedName>
    <definedName name="LookupStatus">Lists!#REF!</definedName>
    <definedName name="LR_p_d1">Main!$C$51</definedName>
    <definedName name="LRAdjustSteps">Preferences!$D$20</definedName>
    <definedName name="Model">Main!$C$3</definedName>
    <definedName name="ModelOutput">ChartData!$L$2</definedName>
    <definedName name="NFDate">Lists!$D$192</definedName>
    <definedName name="NFDateTime">Lists!$D$194</definedName>
    <definedName name="NFDays">Lists!$D$195</definedName>
    <definedName name="NFDivAmount">Lists!$D$200</definedName>
    <definedName name="NFPct">Lists!$D$196</definedName>
    <definedName name="NFPrice">Lists!$D$199</definedName>
    <definedName name="NFRate">Lists!$D$198</definedName>
    <definedName name="NFTime">Lists!$D$193</definedName>
    <definedName name="NFVol">Lists!$D$197</definedName>
    <definedName name="OptPrice">OptTree!$E$4</definedName>
    <definedName name="Paths">ExDivTree!$A$2</definedName>
    <definedName name="PriceMax">Lists!$D$147</definedName>
    <definedName name="PriceMin">Lists!$D$146</definedName>
    <definedName name="RateMax">Lists!$D$152</definedName>
    <definedName name="RateMin">Lists!$D$151</definedName>
    <definedName name="RoundDigits">Preferences!$D$24</definedName>
    <definedName name="Series1Checked">ChartData!$Q$3</definedName>
    <definedName name="Series1Control">Main!$H$8</definedName>
    <definedName name="Series1Data">ChartData!$Q$9:$Q$109</definedName>
    <definedName name="Series1Input">ChartData!$Q$7</definedName>
    <definedName name="Series1Input1">Main!$I$8</definedName>
    <definedName name="Series1Input2">Main!$J$8</definedName>
    <definedName name="Series1Name">Preferences!$D$32</definedName>
    <definedName name="Series2Checked">ChartData!$R$3</definedName>
    <definedName name="Series2Control">Main!$H$10</definedName>
    <definedName name="Series2Data">ChartData!$R$9:$R$109</definedName>
    <definedName name="Series2Input">ChartData!$R$7</definedName>
    <definedName name="Series2Input1">Main!$I$10</definedName>
    <definedName name="Series2Input2">Main!$J$10</definedName>
    <definedName name="Series2Name">Preferences!$D$33</definedName>
    <definedName name="Series3Checked">ChartData!$S$3</definedName>
    <definedName name="Series3Control">Main!$H$12</definedName>
    <definedName name="Series3Data">ChartData!$S$9:$S$109</definedName>
    <definedName name="Series3Input">ChartData!$S$7</definedName>
    <definedName name="Series3Input1">Main!$I$12</definedName>
    <definedName name="Series3Input2">Main!$J$12</definedName>
    <definedName name="Series3Name">Preferences!$D$34</definedName>
    <definedName name="SeriesInputLabel1">Lists!$F$67</definedName>
    <definedName name="SeriesInputLabel2">Lists!$G$67</definedName>
    <definedName name="ShowSeries1">ChartData!$Q$4</definedName>
    <definedName name="ShowSeries2">ChartData!$R$4</definedName>
    <definedName name="ShowSeries3">ChartData!$S$4</definedName>
    <definedName name="StatusCode">Lists!$D$99</definedName>
    <definedName name="StatusDesc">Lists!$E$99</definedName>
    <definedName name="StatusOK">Lists!$D$98</definedName>
    <definedName name="StepCost">Main!$C$44</definedName>
    <definedName name="StepDiscount">Main!$C$43</definedName>
    <definedName name="StepPct">Main!$C$40</definedName>
    <definedName name="Steps">Main!$C$39</definedName>
    <definedName name="StepsManual">Main!$C$4</definedName>
    <definedName name="StepsMax">Lists!$D$145</definedName>
    <definedName name="StepsMin">Lists!$D$144</definedName>
    <definedName name="Strike">Main!$C$16</definedName>
    <definedName name="ThetaFromTree">Preferences!$D$16</definedName>
    <definedName name="ThetaPeriods">Preferences!$D$9</definedName>
    <definedName name="ThetaSign">Preferences!$D$10</definedName>
    <definedName name="TimeAs">Main!$C$18</definedName>
    <definedName name="TimeAsLabel">Main!$B$18</definedName>
    <definedName name="TimeDays">Main!$C$23</definedName>
    <definedName name="TimeDaysLabel">Main!$B$23</definedName>
    <definedName name="TimeMax">Lists!$D$148</definedName>
    <definedName name="TimePct">Main!$C$24</definedName>
    <definedName name="TimePctLabel">Main!$B$24</definedName>
    <definedName name="UndPrice">Main!$C$8</definedName>
    <definedName name="UndPriceLabel">Main!$B$8</definedName>
    <definedName name="UndType">Main!$C$6</definedName>
    <definedName name="UpMove">Main!$C$45</definedName>
    <definedName name="UpProb">Main!$C$47</definedName>
    <definedName name="ValDate">Main!$C$19</definedName>
    <definedName name="ValDateLabel">Main!$B$19</definedName>
    <definedName name="ValTime">Main!$C$20</definedName>
    <definedName name="ValTimeLabel">Main!$B$20</definedName>
    <definedName name="Vol">Main!$C$10</definedName>
    <definedName name="VolMax">Lists!$D$150</definedName>
    <definedName name="VolMin">Lists!$D$149</definedName>
    <definedName name="VolSQRTStep">Main!$C$42</definedName>
    <definedName name="VolSQRTStepMin">Lists!$D$153</definedName>
    <definedName name="VolSQRTTime">Main!$C$41</definedName>
    <definedName name="Yield">Main!$C$29</definedName>
    <definedName name="YieldLabel">Main!$B$29</definedName>
  </definedNames>
  <calcPr calcId="191029"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34" i="1" l="1"/>
  <c r="C35" i="1" s="1"/>
  <c r="C23" i="1"/>
  <c r="C24" i="1" s="1"/>
  <c r="C132" i="6" l="1"/>
  <c r="D62" i="6"/>
  <c r="C131" i="6" l="1"/>
  <c r="B7" i="11"/>
  <c r="C7" i="11"/>
  <c r="D7" i="11"/>
  <c r="E7" i="11"/>
  <c r="F7" i="11"/>
  <c r="H7" i="11"/>
  <c r="I7" i="11"/>
  <c r="J7" i="11"/>
  <c r="K7" i="11"/>
  <c r="L7" i="11"/>
  <c r="M7" i="11"/>
  <c r="N7" i="11"/>
  <c r="G7" i="11"/>
  <c r="D73" i="6" l="1"/>
  <c r="D74" i="6"/>
  <c r="D75" i="6"/>
  <c r="D76" i="6"/>
  <c r="D77" i="6"/>
  <c r="C133" i="6" l="1"/>
  <c r="D133" i="6" s="1"/>
  <c r="J121" i="6"/>
  <c r="I120" i="6"/>
  <c r="J115" i="6"/>
  <c r="I117" i="6"/>
  <c r="J120" i="6"/>
  <c r="I119" i="6"/>
  <c r="I118" i="6"/>
  <c r="J119" i="6"/>
  <c r="J118" i="6"/>
  <c r="J117" i="6"/>
  <c r="D131" i="6" l="1"/>
  <c r="E132" i="6"/>
  <c r="C41" i="1"/>
  <c r="C39" i="1"/>
  <c r="C40" i="1" s="1"/>
  <c r="C42" i="1" s="1"/>
  <c r="J116" i="6" l="1"/>
  <c r="I116" i="6"/>
  <c r="J114" i="6"/>
  <c r="I114" i="6"/>
  <c r="J113" i="6"/>
  <c r="I113" i="6"/>
  <c r="G121" i="6"/>
  <c r="G115" i="6"/>
  <c r="D132" i="6"/>
  <c r="C129" i="6"/>
  <c r="D129" i="6" s="1"/>
  <c r="E129" i="6"/>
  <c r="C119" i="6" l="1"/>
  <c r="C118" i="6"/>
  <c r="C113" i="6"/>
  <c r="E128" i="6"/>
  <c r="C134" i="6"/>
  <c r="D134" i="6" s="1"/>
  <c r="C128" i="6"/>
  <c r="D128" i="6" s="1"/>
  <c r="D120" i="6"/>
  <c r="D119" i="6"/>
  <c r="D118" i="6"/>
  <c r="D117" i="6"/>
  <c r="D114" i="6"/>
  <c r="D113" i="6"/>
  <c r="D112" i="6"/>
  <c r="D111" i="6"/>
  <c r="D110" i="6"/>
  <c r="D109" i="6"/>
  <c r="D108" i="6"/>
  <c r="D107" i="6"/>
  <c r="D106" i="6"/>
  <c r="G117" i="6" l="1"/>
  <c r="G120" i="6"/>
  <c r="H120" i="6"/>
  <c r="G119" i="6"/>
  <c r="H119" i="6"/>
  <c r="H118" i="6"/>
  <c r="G118" i="6"/>
  <c r="H117" i="6"/>
  <c r="H106" i="6"/>
  <c r="G106" i="6"/>
  <c r="H110" i="6"/>
  <c r="G110" i="6"/>
  <c r="G114" i="6"/>
  <c r="H114" i="6"/>
  <c r="H107" i="6"/>
  <c r="G107" i="6"/>
  <c r="H111" i="6"/>
  <c r="G111" i="6"/>
  <c r="H108" i="6"/>
  <c r="G108" i="6"/>
  <c r="H112" i="6"/>
  <c r="G112" i="6"/>
  <c r="H109" i="6"/>
  <c r="G109" i="6"/>
  <c r="G113" i="6"/>
  <c r="H113" i="6"/>
  <c r="E134" i="6"/>
  <c r="D121" i="6"/>
  <c r="E106" i="6" l="1"/>
  <c r="F106" i="6" s="1"/>
  <c r="E112" i="6"/>
  <c r="F112" i="6" s="1"/>
  <c r="E109" i="6"/>
  <c r="F109" i="6" s="1"/>
  <c r="E119" i="6"/>
  <c r="H121" i="6"/>
  <c r="E121" i="6" s="1"/>
  <c r="E120" i="6"/>
  <c r="E113" i="6"/>
  <c r="F113" i="6" s="1"/>
  <c r="E117" i="6"/>
  <c r="E108" i="6"/>
  <c r="F108" i="6" s="1"/>
  <c r="E107" i="6"/>
  <c r="F107" i="6" s="1"/>
  <c r="E110" i="6"/>
  <c r="F110" i="6" s="1"/>
  <c r="E118" i="6"/>
  <c r="E111" i="6"/>
  <c r="F111" i="6" s="1"/>
  <c r="E114" i="6"/>
  <c r="F114" i="6" s="1"/>
  <c r="D97" i="6"/>
  <c r="D115" i="6" l="1"/>
  <c r="H115" i="6" l="1"/>
  <c r="E115" i="6" s="1"/>
  <c r="F115" i="6" s="1"/>
  <c r="F120" i="6"/>
  <c r="F119" i="6"/>
  <c r="F117" i="6"/>
  <c r="F118" i="6"/>
  <c r="F121" i="6"/>
  <c r="C73" i="6" l="1"/>
  <c r="C54" i="6"/>
  <c r="F54" i="6" s="1"/>
  <c r="S2" i="11" l="1"/>
  <c r="R2" i="11"/>
  <c r="Q2" i="11"/>
  <c r="Q7" i="11"/>
  <c r="Q4" i="11" s="1"/>
  <c r="R7" i="11"/>
  <c r="R4" i="11" s="1"/>
  <c r="S7" i="11"/>
  <c r="S4" i="11" s="1"/>
  <c r="D116" i="6" l="1"/>
  <c r="F66" i="6"/>
  <c r="F65" i="6"/>
  <c r="F63" i="6"/>
  <c r="F60" i="6"/>
  <c r="F59" i="6"/>
  <c r="F58" i="6"/>
  <c r="F55" i="6"/>
  <c r="H116" i="6" l="1"/>
  <c r="G116" i="6"/>
  <c r="L2" i="11"/>
  <c r="D59" i="6"/>
  <c r="D58" i="6"/>
  <c r="D57" i="6"/>
  <c r="D56" i="6"/>
  <c r="D66" i="6"/>
  <c r="D65" i="6"/>
  <c r="D64" i="6"/>
  <c r="D63" i="6"/>
  <c r="C62" i="6"/>
  <c r="F62" i="6" s="1"/>
  <c r="C61" i="6"/>
  <c r="F61" i="6" s="1"/>
  <c r="E116" i="6" l="1"/>
  <c r="F116" i="6" s="1"/>
  <c r="F104" i="6" s="1"/>
  <c r="B104" i="6" s="1"/>
  <c r="K104" i="6" s="1"/>
  <c r="E65" i="6"/>
  <c r="M2" i="11"/>
  <c r="E66" i="6"/>
  <c r="E58" i="6"/>
  <c r="E57" i="6"/>
  <c r="E63" i="6"/>
  <c r="E62" i="6"/>
  <c r="E60" i="6"/>
  <c r="E59" i="6"/>
  <c r="E56" i="6"/>
  <c r="E64" i="6"/>
  <c r="E61" i="6"/>
  <c r="E67" i="6" l="1"/>
  <c r="E104" i="6"/>
  <c r="C76" i="6"/>
  <c r="C77" i="6"/>
  <c r="C75" i="6"/>
  <c r="C67" i="6"/>
  <c r="C79" i="6" l="1"/>
  <c r="D79" i="6" s="1"/>
  <c r="C78" i="6"/>
  <c r="D78" i="6" s="1"/>
  <c r="G67" i="6"/>
  <c r="J6" i="1" s="1"/>
  <c r="F67" i="6"/>
  <c r="I6" i="1" s="1"/>
  <c r="D104" i="6"/>
  <c r="L104" i="6"/>
  <c r="C104" i="6"/>
  <c r="C80" i="6"/>
  <c r="D80" i="6" s="1"/>
  <c r="H12" i="1"/>
  <c r="H10" i="1"/>
  <c r="H8" i="1"/>
  <c r="E74" i="6" l="1"/>
  <c r="E80" i="6"/>
  <c r="E79" i="6"/>
  <c r="E75" i="6"/>
  <c r="E73" i="6"/>
  <c r="E76" i="6"/>
  <c r="E78" i="6"/>
  <c r="E77" i="6"/>
  <c r="G104" i="6"/>
  <c r="A214" i="11"/>
  <c r="A215" i="11" s="1"/>
  <c r="A216" i="11" s="1"/>
  <c r="A217" i="11" s="1"/>
  <c r="A218" i="11" s="1"/>
  <c r="A219" i="11" s="1"/>
  <c r="A220" i="11" s="1"/>
  <c r="A221" i="11" s="1"/>
  <c r="A222" i="11" s="1"/>
  <c r="A223" i="11" s="1"/>
  <c r="A224" i="11" s="1"/>
  <c r="A225" i="11" s="1"/>
  <c r="A226" i="11" s="1"/>
  <c r="A227" i="11" s="1"/>
  <c r="A228" i="11" s="1"/>
  <c r="A229" i="11" s="1"/>
  <c r="A230" i="11" s="1"/>
  <c r="A231" i="11" s="1"/>
  <c r="A232" i="11" s="1"/>
  <c r="A233" i="11" s="1"/>
  <c r="A234" i="11" s="1"/>
  <c r="A235" i="11" s="1"/>
  <c r="A236" i="11" s="1"/>
  <c r="A237" i="11" s="1"/>
  <c r="A238" i="11" s="1"/>
  <c r="A239" i="11" s="1"/>
  <c r="A240" i="11" s="1"/>
  <c r="A241" i="11" s="1"/>
  <c r="A242" i="11" s="1"/>
  <c r="A243" i="11" s="1"/>
  <c r="A244" i="11" s="1"/>
  <c r="A245" i="11" s="1"/>
  <c r="A246" i="11" s="1"/>
  <c r="A247" i="11" s="1"/>
  <c r="A248" i="11" s="1"/>
  <c r="A249" i="11" s="1"/>
  <c r="A250" i="11" s="1"/>
  <c r="A251" i="11" s="1"/>
  <c r="A252" i="11" s="1"/>
  <c r="A253" i="11" s="1"/>
  <c r="A254" i="11" s="1"/>
  <c r="A255" i="11" s="1"/>
  <c r="A256" i="11" s="1"/>
  <c r="A257" i="11" s="1"/>
  <c r="A258" i="11" s="1"/>
  <c r="A259" i="11" s="1"/>
  <c r="A260" i="11" s="1"/>
  <c r="A261" i="11" s="1"/>
  <c r="A262" i="11" s="1"/>
  <c r="A263" i="11" s="1"/>
  <c r="A264" i="11" s="1"/>
  <c r="A265" i="11" s="1"/>
  <c r="A266" i="11" s="1"/>
  <c r="A267" i="11" s="1"/>
  <c r="A268" i="11" s="1"/>
  <c r="A269" i="11" s="1"/>
  <c r="A270" i="11" s="1"/>
  <c r="A271" i="11" s="1"/>
  <c r="A272" i="11" s="1"/>
  <c r="A273" i="11" s="1"/>
  <c r="A274" i="11" s="1"/>
  <c r="A275" i="11" s="1"/>
  <c r="A276" i="11" s="1"/>
  <c r="A277" i="11" s="1"/>
  <c r="A278" i="11" s="1"/>
  <c r="A279" i="11" s="1"/>
  <c r="A280" i="11" s="1"/>
  <c r="A281" i="11" s="1"/>
  <c r="A282" i="11" s="1"/>
  <c r="A283" i="11" s="1"/>
  <c r="A284" i="11" s="1"/>
  <c r="A285" i="11" s="1"/>
  <c r="A286" i="11" s="1"/>
  <c r="A287" i="11" s="1"/>
  <c r="A288" i="11" s="1"/>
  <c r="A289" i="11" s="1"/>
  <c r="A290" i="11" s="1"/>
  <c r="A291" i="11" s="1"/>
  <c r="A292" i="11" s="1"/>
  <c r="A293" i="11" s="1"/>
  <c r="A294" i="11" s="1"/>
  <c r="A295" i="11" s="1"/>
  <c r="A296" i="11" s="1"/>
  <c r="A297" i="11" s="1"/>
  <c r="A298" i="11" s="1"/>
  <c r="A299" i="11" s="1"/>
  <c r="A300" i="11" s="1"/>
  <c r="A301" i="11" s="1"/>
  <c r="A302" i="11" s="1"/>
  <c r="A303" i="11" s="1"/>
  <c r="A304" i="11" s="1"/>
  <c r="A305" i="11" s="1"/>
  <c r="A306" i="11" s="1"/>
  <c r="A307" i="11" s="1"/>
  <c r="A308" i="11" s="1"/>
  <c r="A309" i="11" s="1"/>
  <c r="A310" i="11" s="1"/>
  <c r="A311" i="11" s="1"/>
  <c r="A312" i="11" s="1"/>
  <c r="A313" i="11" s="1"/>
  <c r="A112" i="11"/>
  <c r="A113" i="11" s="1"/>
  <c r="A114" i="11" s="1"/>
  <c r="A115" i="11" s="1"/>
  <c r="A116" i="11" s="1"/>
  <c r="A117" i="11" s="1"/>
  <c r="A118" i="11" s="1"/>
  <c r="A119" i="11" s="1"/>
  <c r="A120" i="11" s="1"/>
  <c r="A121" i="11" s="1"/>
  <c r="A122" i="11" s="1"/>
  <c r="A123" i="11" s="1"/>
  <c r="A124" i="11" s="1"/>
  <c r="A125" i="11" s="1"/>
  <c r="A126" i="11" s="1"/>
  <c r="A127" i="11" s="1"/>
  <c r="A128" i="11" s="1"/>
  <c r="A129" i="11" s="1"/>
  <c r="A130" i="11" s="1"/>
  <c r="A131" i="11" s="1"/>
  <c r="A132" i="11" s="1"/>
  <c r="A133" i="11" s="1"/>
  <c r="A134" i="11" s="1"/>
  <c r="A135" i="11" s="1"/>
  <c r="A136" i="11" s="1"/>
  <c r="A137" i="11" s="1"/>
  <c r="A138" i="11" s="1"/>
  <c r="A139" i="11" s="1"/>
  <c r="A140" i="11" s="1"/>
  <c r="A141" i="11" s="1"/>
  <c r="A142" i="11" s="1"/>
  <c r="A143" i="11" s="1"/>
  <c r="A144" i="11" s="1"/>
  <c r="A145" i="11" s="1"/>
  <c r="A146" i="11" s="1"/>
  <c r="A147" i="11" s="1"/>
  <c r="A148" i="11" s="1"/>
  <c r="A149" i="11" s="1"/>
  <c r="A150" i="11" s="1"/>
  <c r="A151" i="11" s="1"/>
  <c r="A152" i="11" s="1"/>
  <c r="A153" i="11" s="1"/>
  <c r="A154" i="11" s="1"/>
  <c r="A155" i="11" s="1"/>
  <c r="A156" i="11" s="1"/>
  <c r="A157" i="11" s="1"/>
  <c r="A158" i="11" s="1"/>
  <c r="A159" i="11" s="1"/>
  <c r="A160" i="11" s="1"/>
  <c r="A161" i="11" s="1"/>
  <c r="A162" i="11" s="1"/>
  <c r="A163" i="11" s="1"/>
  <c r="A164" i="11" s="1"/>
  <c r="A165" i="11" s="1"/>
  <c r="A166" i="11" s="1"/>
  <c r="A167" i="11" s="1"/>
  <c r="A168" i="11" s="1"/>
  <c r="A169" i="11" s="1"/>
  <c r="A170" i="11" s="1"/>
  <c r="A171" i="11" s="1"/>
  <c r="A172" i="11" s="1"/>
  <c r="A173" i="11" s="1"/>
  <c r="A174" i="11" s="1"/>
  <c r="A175" i="11" s="1"/>
  <c r="A176" i="11" s="1"/>
  <c r="A177" i="11" s="1"/>
  <c r="A178" i="11" s="1"/>
  <c r="A179" i="11" s="1"/>
  <c r="A180" i="11" s="1"/>
  <c r="A181" i="11" s="1"/>
  <c r="A182" i="11" s="1"/>
  <c r="A183" i="11" s="1"/>
  <c r="A184" i="11" s="1"/>
  <c r="A185" i="11" s="1"/>
  <c r="A186" i="11" s="1"/>
  <c r="A187" i="11" s="1"/>
  <c r="A188" i="11" s="1"/>
  <c r="A189" i="11" s="1"/>
  <c r="A190" i="11" s="1"/>
  <c r="A191" i="11" s="1"/>
  <c r="A192" i="11" s="1"/>
  <c r="A193" i="11" s="1"/>
  <c r="A194" i="11" s="1"/>
  <c r="A195" i="11" s="1"/>
  <c r="A196" i="11" s="1"/>
  <c r="A197" i="11" s="1"/>
  <c r="A198" i="11" s="1"/>
  <c r="A199" i="11" s="1"/>
  <c r="A200" i="11" s="1"/>
  <c r="A201" i="11" s="1"/>
  <c r="A202" i="11" s="1"/>
  <c r="A203" i="11" s="1"/>
  <c r="A204" i="11" s="1"/>
  <c r="A205" i="11" s="1"/>
  <c r="A206" i="11" s="1"/>
  <c r="A207" i="11" s="1"/>
  <c r="A208" i="11" s="1"/>
  <c r="A209" i="11" s="1"/>
  <c r="A210" i="11" s="1"/>
  <c r="A211" i="11" s="1"/>
  <c r="F74" i="6" l="1"/>
  <c r="F73" i="6"/>
  <c r="A10" i="11" l="1"/>
  <c r="A11" i="11" s="1"/>
  <c r="A12" i="11" s="1"/>
  <c r="A13" i="11" s="1"/>
  <c r="A14" i="11" s="1"/>
  <c r="A15" i="11" s="1"/>
  <c r="A16" i="11" s="1"/>
  <c r="A17" i="11" s="1"/>
  <c r="A18" i="11" s="1"/>
  <c r="A19" i="11" s="1"/>
  <c r="A20" i="11" s="1"/>
  <c r="A21" i="11" s="1"/>
  <c r="A22" i="11" s="1"/>
  <c r="A23" i="11" s="1"/>
  <c r="A24" i="11" s="1"/>
  <c r="A25" i="11" s="1"/>
  <c r="A26" i="11" s="1"/>
  <c r="A27" i="11" s="1"/>
  <c r="A28" i="11" s="1"/>
  <c r="A29" i="11" s="1"/>
  <c r="A30" i="11" s="1"/>
  <c r="A31" i="11" s="1"/>
  <c r="A32" i="11" s="1"/>
  <c r="A33" i="11" s="1"/>
  <c r="A34" i="11" s="1"/>
  <c r="A35" i="11" s="1"/>
  <c r="A36" i="11" s="1"/>
  <c r="A37" i="11" s="1"/>
  <c r="A38" i="11" s="1"/>
  <c r="A39" i="11" s="1"/>
  <c r="A40" i="11" s="1"/>
  <c r="A41" i="11" s="1"/>
  <c r="A42" i="11" s="1"/>
  <c r="A43" i="11" s="1"/>
  <c r="A44" i="11" s="1"/>
  <c r="A45" i="11" s="1"/>
  <c r="A46" i="11" s="1"/>
  <c r="A47" i="11" s="1"/>
  <c r="A48" i="11" s="1"/>
  <c r="A49" i="11" s="1"/>
  <c r="A50" i="11" s="1"/>
  <c r="A51" i="11" s="1"/>
  <c r="A52" i="11" s="1"/>
  <c r="A53" i="11" s="1"/>
  <c r="A54" i="11" s="1"/>
  <c r="A55" i="11" s="1"/>
  <c r="A56" i="11" s="1"/>
  <c r="A57" i="11" s="1"/>
  <c r="A58" i="11" s="1"/>
  <c r="A59" i="11" s="1"/>
  <c r="A60" i="11" s="1"/>
  <c r="A61" i="11" s="1"/>
  <c r="A62" i="11" s="1"/>
  <c r="A63" i="11" s="1"/>
  <c r="A64" i="11" s="1"/>
  <c r="A65" i="11" s="1"/>
  <c r="A66" i="11" s="1"/>
  <c r="A67" i="11" s="1"/>
  <c r="A68" i="11" s="1"/>
  <c r="A69" i="11" s="1"/>
  <c r="A70" i="11" s="1"/>
  <c r="A71" i="11" s="1"/>
  <c r="A72" i="11" s="1"/>
  <c r="A73" i="11" s="1"/>
  <c r="A74" i="11" s="1"/>
  <c r="A75" i="11" s="1"/>
  <c r="A76" i="11" s="1"/>
  <c r="A77" i="11" s="1"/>
  <c r="A78" i="11" s="1"/>
  <c r="A79" i="11" s="1"/>
  <c r="A80" i="11" s="1"/>
  <c r="A81" i="11" s="1"/>
  <c r="A82" i="11" s="1"/>
  <c r="A83" i="11" s="1"/>
  <c r="A84" i="11" s="1"/>
  <c r="A85" i="11" s="1"/>
  <c r="A86" i="11" s="1"/>
  <c r="A87" i="11" s="1"/>
  <c r="A88" i="11" s="1"/>
  <c r="A89" i="11" s="1"/>
  <c r="A90" i="11" s="1"/>
  <c r="A91" i="11" s="1"/>
  <c r="A92" i="11" s="1"/>
  <c r="A93" i="11" s="1"/>
  <c r="A94" i="11" s="1"/>
  <c r="A95" i="11" s="1"/>
  <c r="A96" i="11" s="1"/>
  <c r="A97" i="11" s="1"/>
  <c r="A98" i="11" s="1"/>
  <c r="A99" i="11" s="1"/>
  <c r="A100" i="11" s="1"/>
  <c r="A101" i="11" s="1"/>
  <c r="A102" i="11" s="1"/>
  <c r="A103" i="11" s="1"/>
  <c r="A104" i="11" s="1"/>
  <c r="A105" i="11" s="1"/>
  <c r="A106" i="11" s="1"/>
  <c r="A107" i="11" s="1"/>
  <c r="A108" i="11" s="1"/>
  <c r="A109" i="11" s="1"/>
  <c r="G73" i="6" l="1"/>
  <c r="C81" i="6"/>
  <c r="F79" i="6" s="1"/>
  <c r="G74" i="6"/>
  <c r="F75" i="6"/>
  <c r="G75" i="6" s="1"/>
  <c r="F76" i="6"/>
  <c r="G76" i="6" s="1"/>
  <c r="F78" i="6" l="1"/>
  <c r="F77" i="6"/>
  <c r="G77" i="6" s="1"/>
  <c r="F80" i="6"/>
  <c r="G80" i="6" s="1"/>
  <c r="G79" i="6"/>
  <c r="G78" i="6" l="1"/>
  <c r="E81" i="6" l="1"/>
  <c r="E83" i="6" s="1"/>
  <c r="I309" i="11"/>
  <c r="J308" i="11"/>
  <c r="J300" i="11"/>
  <c r="J292" i="11"/>
  <c r="J284" i="11"/>
  <c r="I310" i="11"/>
  <c r="I302" i="11"/>
  <c r="I294" i="11"/>
  <c r="I286" i="11"/>
  <c r="J313" i="11"/>
  <c r="J305" i="11"/>
  <c r="J297" i="11"/>
  <c r="J289" i="11"/>
  <c r="J281" i="11"/>
  <c r="I287" i="11"/>
  <c r="I279" i="11"/>
  <c r="I271" i="11"/>
  <c r="I263" i="11"/>
  <c r="I293" i="11"/>
  <c r="J274" i="11"/>
  <c r="J266" i="11"/>
  <c r="I299" i="11"/>
  <c r="I274" i="11"/>
  <c r="I266" i="11"/>
  <c r="I258" i="11"/>
  <c r="J279" i="11"/>
  <c r="J271" i="11"/>
  <c r="J263" i="11"/>
  <c r="J255" i="11"/>
  <c r="I246" i="11"/>
  <c r="I238" i="11"/>
  <c r="I230" i="11"/>
  <c r="J256" i="11"/>
  <c r="J251" i="11"/>
  <c r="J243" i="11"/>
  <c r="J235" i="11"/>
  <c r="J227" i="11"/>
  <c r="I307" i="11"/>
  <c r="J306" i="11"/>
  <c r="J298" i="11"/>
  <c r="J290" i="11"/>
  <c r="I308" i="11"/>
  <c r="I300" i="11"/>
  <c r="I292" i="11"/>
  <c r="I284" i="11"/>
  <c r="J311" i="11"/>
  <c r="J303" i="11"/>
  <c r="J295" i="11"/>
  <c r="J287" i="11"/>
  <c r="I277" i="11"/>
  <c r="I269" i="11"/>
  <c r="I261" i="11"/>
  <c r="I285" i="11"/>
  <c r="J272" i="11"/>
  <c r="J264" i="11"/>
  <c r="I291" i="11"/>
  <c r="I272" i="11"/>
  <c r="I264" i="11"/>
  <c r="I256" i="11"/>
  <c r="I281" i="11"/>
  <c r="J277" i="11"/>
  <c r="J269" i="11"/>
  <c r="J261" i="11"/>
  <c r="J253" i="11"/>
  <c r="I252" i="11"/>
  <c r="I244" i="11"/>
  <c r="I236" i="11"/>
  <c r="I228" i="11"/>
  <c r="J249" i="11"/>
  <c r="J241" i="11"/>
  <c r="J233" i="11"/>
  <c r="J225" i="11"/>
  <c r="I259" i="11"/>
  <c r="I313" i="11"/>
  <c r="I305" i="11"/>
  <c r="J312" i="11"/>
  <c r="J304" i="11"/>
  <c r="J296" i="11"/>
  <c r="J288" i="11"/>
  <c r="I306" i="11"/>
  <c r="I298" i="11"/>
  <c r="I290" i="11"/>
  <c r="I282" i="11"/>
  <c r="J309" i="11"/>
  <c r="J301" i="11"/>
  <c r="J293" i="11"/>
  <c r="J285" i="11"/>
  <c r="I303" i="11"/>
  <c r="J280" i="11"/>
  <c r="I275" i="11"/>
  <c r="I267" i="11"/>
  <c r="J278" i="11"/>
  <c r="J270" i="11"/>
  <c r="J262" i="11"/>
  <c r="I283" i="11"/>
  <c r="I278" i="11"/>
  <c r="I270" i="11"/>
  <c r="I262" i="11"/>
  <c r="I254" i="11"/>
  <c r="I297" i="11"/>
  <c r="J275" i="11"/>
  <c r="J267" i="11"/>
  <c r="J259" i="11"/>
  <c r="I257" i="11"/>
  <c r="I250" i="11"/>
  <c r="I242" i="11"/>
  <c r="I234" i="11"/>
  <c r="I226" i="11"/>
  <c r="J247" i="11"/>
  <c r="J239" i="11"/>
  <c r="I288" i="11"/>
  <c r="J307" i="11"/>
  <c r="J299" i="11"/>
  <c r="J291" i="11"/>
  <c r="J283" i="11"/>
  <c r="I273" i="11"/>
  <c r="I248" i="11"/>
  <c r="J245" i="11"/>
  <c r="J237" i="11"/>
  <c r="J229" i="11"/>
  <c r="I247" i="11"/>
  <c r="I239" i="11"/>
  <c r="I231" i="11"/>
  <c r="I223" i="11"/>
  <c r="I215" i="11"/>
  <c r="J254" i="11"/>
  <c r="J250" i="11"/>
  <c r="J242" i="11"/>
  <c r="J234" i="11"/>
  <c r="J226" i="11"/>
  <c r="J218" i="11"/>
  <c r="I214" i="11"/>
  <c r="I206" i="11"/>
  <c r="I198" i="11"/>
  <c r="I190" i="11"/>
  <c r="J205" i="11"/>
  <c r="J197" i="11"/>
  <c r="J189" i="11"/>
  <c r="I216" i="11"/>
  <c r="I207" i="11"/>
  <c r="I199" i="11"/>
  <c r="I191" i="11"/>
  <c r="I183" i="11"/>
  <c r="I175" i="11"/>
  <c r="J206" i="11"/>
  <c r="J198" i="11"/>
  <c r="J190" i="11"/>
  <c r="J182" i="11"/>
  <c r="I312" i="11"/>
  <c r="I280" i="11"/>
  <c r="I295" i="11"/>
  <c r="I265" i="11"/>
  <c r="I301" i="11"/>
  <c r="J276" i="11"/>
  <c r="J268" i="11"/>
  <c r="J260" i="11"/>
  <c r="J282" i="11"/>
  <c r="I276" i="11"/>
  <c r="I253" i="11"/>
  <c r="I240" i="11"/>
  <c r="J231" i="11"/>
  <c r="J223" i="11"/>
  <c r="I255" i="11"/>
  <c r="I245" i="11"/>
  <c r="I237" i="11"/>
  <c r="I229" i="11"/>
  <c r="I221" i="11"/>
  <c r="I213" i="11"/>
  <c r="J248" i="11"/>
  <c r="J240" i="11"/>
  <c r="J232" i="11"/>
  <c r="J224" i="11"/>
  <c r="J216" i="11"/>
  <c r="I204" i="11"/>
  <c r="I196" i="11"/>
  <c r="I188" i="11"/>
  <c r="J221" i="11"/>
  <c r="J211" i="11"/>
  <c r="J203" i="11"/>
  <c r="J195" i="11"/>
  <c r="J187" i="11"/>
  <c r="I205" i="11"/>
  <c r="I197" i="11"/>
  <c r="I189" i="11"/>
  <c r="I181" i="11"/>
  <c r="J204" i="11"/>
  <c r="J196" i="11"/>
  <c r="J188" i="11"/>
  <c r="I311" i="11"/>
  <c r="J310" i="11"/>
  <c r="J302" i="11"/>
  <c r="J294" i="11"/>
  <c r="J286" i="11"/>
  <c r="I304" i="11"/>
  <c r="I268" i="11"/>
  <c r="I289" i="11"/>
  <c r="I232" i="11"/>
  <c r="I251" i="11"/>
  <c r="I243" i="11"/>
  <c r="I235" i="11"/>
  <c r="I227" i="11"/>
  <c r="I219" i="11"/>
  <c r="J246" i="11"/>
  <c r="J238" i="11"/>
  <c r="J230" i="11"/>
  <c r="J222" i="11"/>
  <c r="J214" i="11"/>
  <c r="I222" i="11"/>
  <c r="I210" i="11"/>
  <c r="I202" i="11"/>
  <c r="I194" i="11"/>
  <c r="I186" i="11"/>
  <c r="J217" i="11"/>
  <c r="J209" i="11"/>
  <c r="J201" i="11"/>
  <c r="J193" i="11"/>
  <c r="J185" i="11"/>
  <c r="I211" i="11"/>
  <c r="I203" i="11"/>
  <c r="I195" i="11"/>
  <c r="I187" i="11"/>
  <c r="I179" i="11"/>
  <c r="J219" i="11"/>
  <c r="I260" i="11"/>
  <c r="I249" i="11"/>
  <c r="I217" i="11"/>
  <c r="I200" i="11"/>
  <c r="I193" i="11"/>
  <c r="J210" i="11"/>
  <c r="J202" i="11"/>
  <c r="J194" i="11"/>
  <c r="J186" i="11"/>
  <c r="J174" i="11"/>
  <c r="J172" i="11"/>
  <c r="J164" i="11"/>
  <c r="J156" i="11"/>
  <c r="J148" i="11"/>
  <c r="J140" i="11"/>
  <c r="J132" i="11"/>
  <c r="J124" i="11"/>
  <c r="I182" i="11"/>
  <c r="I170" i="11"/>
  <c r="I162" i="11"/>
  <c r="I154" i="11"/>
  <c r="I146" i="11"/>
  <c r="I138" i="11"/>
  <c r="I130" i="11"/>
  <c r="I122" i="11"/>
  <c r="J177" i="11"/>
  <c r="J169" i="11"/>
  <c r="J161" i="11"/>
  <c r="J153" i="11"/>
  <c r="J145" i="11"/>
  <c r="J137" i="11"/>
  <c r="J129" i="11"/>
  <c r="J121" i="11"/>
  <c r="J113" i="11"/>
  <c r="I180" i="11"/>
  <c r="I169" i="11"/>
  <c r="I161" i="11"/>
  <c r="I153" i="11"/>
  <c r="I145" i="11"/>
  <c r="I137" i="11"/>
  <c r="I129" i="11"/>
  <c r="I121" i="11"/>
  <c r="J265" i="11"/>
  <c r="I241" i="11"/>
  <c r="I192" i="11"/>
  <c r="J207" i="11"/>
  <c r="J199" i="11"/>
  <c r="J191" i="11"/>
  <c r="J183" i="11"/>
  <c r="I185" i="11"/>
  <c r="J180" i="11"/>
  <c r="J179" i="11"/>
  <c r="J170" i="11"/>
  <c r="J162" i="11"/>
  <c r="J154" i="11"/>
  <c r="J146" i="11"/>
  <c r="J138" i="11"/>
  <c r="J130" i="11"/>
  <c r="J122" i="11"/>
  <c r="I178" i="11"/>
  <c r="I168" i="11"/>
  <c r="I160" i="11"/>
  <c r="I152" i="11"/>
  <c r="I144" i="11"/>
  <c r="I136" i="11"/>
  <c r="I128" i="11"/>
  <c r="I120" i="11"/>
  <c r="J167" i="11"/>
  <c r="J159" i="11"/>
  <c r="J151" i="11"/>
  <c r="J143" i="11"/>
  <c r="J135" i="11"/>
  <c r="J127" i="11"/>
  <c r="J119" i="11"/>
  <c r="I176" i="11"/>
  <c r="I167" i="11"/>
  <c r="I159" i="11"/>
  <c r="I151" i="11"/>
  <c r="I143" i="11"/>
  <c r="I135" i="11"/>
  <c r="I233" i="11"/>
  <c r="I184" i="11"/>
  <c r="I220" i="11"/>
  <c r="I209" i="11"/>
  <c r="I177" i="11"/>
  <c r="J178" i="11"/>
  <c r="J175" i="11"/>
  <c r="J168" i="11"/>
  <c r="J160" i="11"/>
  <c r="J152" i="11"/>
  <c r="J144" i="11"/>
  <c r="J136" i="11"/>
  <c r="J128" i="11"/>
  <c r="I174" i="11"/>
  <c r="I166" i="11"/>
  <c r="I158" i="11"/>
  <c r="I150" i="11"/>
  <c r="I142" i="11"/>
  <c r="I134" i="11"/>
  <c r="I126" i="11"/>
  <c r="J173" i="11"/>
  <c r="J165" i="11"/>
  <c r="J157" i="11"/>
  <c r="J149" i="11"/>
  <c r="J141" i="11"/>
  <c r="J133" i="11"/>
  <c r="J125" i="11"/>
  <c r="J117" i="11"/>
  <c r="I173" i="11"/>
  <c r="I165" i="11"/>
  <c r="I157" i="11"/>
  <c r="I149" i="11"/>
  <c r="I141" i="11"/>
  <c r="I133" i="11"/>
  <c r="I296" i="11"/>
  <c r="J258" i="11"/>
  <c r="I218" i="11"/>
  <c r="J213" i="11"/>
  <c r="J215" i="11"/>
  <c r="J208" i="11"/>
  <c r="J192" i="11"/>
  <c r="I164" i="11"/>
  <c r="I132" i="11"/>
  <c r="I163" i="11"/>
  <c r="I116" i="11"/>
  <c r="J114" i="11"/>
  <c r="J116" i="11"/>
  <c r="J252" i="11"/>
  <c r="J220" i="11"/>
  <c r="J158" i="11"/>
  <c r="J150" i="11"/>
  <c r="J142" i="11"/>
  <c r="J134" i="11"/>
  <c r="J126" i="11"/>
  <c r="I140" i="11"/>
  <c r="I139" i="11"/>
  <c r="J120" i="11"/>
  <c r="J118" i="11"/>
  <c r="I112" i="11"/>
  <c r="J273" i="11"/>
  <c r="J244" i="11"/>
  <c r="J228" i="11"/>
  <c r="I208" i="11"/>
  <c r="I201" i="11"/>
  <c r="I156" i="11"/>
  <c r="I124" i="11"/>
  <c r="J181" i="11"/>
  <c r="J171" i="11"/>
  <c r="J163" i="11"/>
  <c r="J155" i="11"/>
  <c r="J147" i="11"/>
  <c r="J139" i="11"/>
  <c r="J131" i="11"/>
  <c r="J123" i="11"/>
  <c r="J115" i="11"/>
  <c r="I155" i="11"/>
  <c r="I119" i="11"/>
  <c r="I117" i="11"/>
  <c r="I115" i="11"/>
  <c r="I113" i="11"/>
  <c r="J112" i="11"/>
  <c r="I111" i="11"/>
  <c r="J257" i="11"/>
  <c r="I224" i="11"/>
  <c r="I225" i="11"/>
  <c r="J200" i="11"/>
  <c r="J184" i="11"/>
  <c r="J176" i="11"/>
  <c r="I148" i="11"/>
  <c r="I147" i="11"/>
  <c r="I131" i="11"/>
  <c r="I125" i="11"/>
  <c r="I123" i="11"/>
  <c r="J111" i="11"/>
  <c r="I118" i="11"/>
  <c r="J236" i="11"/>
  <c r="J166" i="11"/>
  <c r="I172" i="11"/>
  <c r="I171" i="11"/>
  <c r="I127" i="11"/>
  <c r="I114" i="11"/>
  <c r="M5" i="11"/>
  <c r="M6" i="11" s="1"/>
  <c r="E5" i="11" l="1"/>
  <c r="E6" i="11" s="1"/>
  <c r="L5" i="11"/>
  <c r="L6" i="11" s="1"/>
  <c r="F5" i="11"/>
  <c r="F6" i="11" s="1"/>
  <c r="G5" i="11"/>
  <c r="G6" i="11" s="1"/>
  <c r="K5" i="11"/>
  <c r="K6" i="11" s="1"/>
  <c r="I5" i="11"/>
  <c r="I6" i="11" s="1"/>
  <c r="H5" i="11"/>
  <c r="H6" i="11" s="1"/>
  <c r="J5" i="11"/>
  <c r="J6" i="11" s="1"/>
  <c r="N5" i="11"/>
  <c r="N6" i="11" s="1"/>
  <c r="F81" i="6"/>
  <c r="D5" i="11"/>
  <c r="D6" i="11" s="1"/>
  <c r="P5" i="11"/>
  <c r="Q5" i="11" s="1"/>
  <c r="Q6" i="11" s="1"/>
  <c r="C5" i="11"/>
  <c r="C6" i="11" s="1"/>
  <c r="B5" i="11"/>
  <c r="B6" i="11" s="1"/>
  <c r="E82" i="6"/>
  <c r="R5" i="11" l="1"/>
  <c r="R6" i="11" s="1"/>
  <c r="S5" i="11"/>
  <c r="S6" i="11" s="1"/>
  <c r="U4" i="11" l="1"/>
  <c r="U3" i="11"/>
  <c r="U5" i="11" l="1"/>
  <c r="U6" i="11" s="1"/>
  <c r="W4" i="11" l="1"/>
  <c r="W3" i="11"/>
  <c r="W5" i="11"/>
  <c r="Z4" i="11" l="1"/>
  <c r="W6" i="11"/>
  <c r="Z3" i="11" l="1"/>
  <c r="Z5" i="11" s="1"/>
  <c r="P9" i="11" l="1"/>
  <c r="B9" i="11" s="1"/>
  <c r="Z6" i="11"/>
  <c r="L213" i="11"/>
  <c r="L111" i="11"/>
  <c r="K213" i="11"/>
  <c r="K111" i="11"/>
  <c r="L9" i="11"/>
  <c r="K9" i="11"/>
  <c r="E111" i="11"/>
  <c r="E213" i="11"/>
  <c r="D213" i="11"/>
  <c r="D111" i="11"/>
  <c r="H213" i="11"/>
  <c r="H111" i="11"/>
  <c r="B111" i="11"/>
  <c r="B213" i="11"/>
  <c r="C213" i="11"/>
  <c r="C111" i="11"/>
  <c r="H9" i="11"/>
  <c r="E9" i="11"/>
  <c r="J9" i="11"/>
  <c r="D9" i="11"/>
  <c r="I9" i="11"/>
  <c r="P10" i="11"/>
  <c r="C9" i="11"/>
  <c r="L112" i="11" l="1"/>
  <c r="L214" i="11"/>
  <c r="K112" i="11"/>
  <c r="K214" i="11"/>
  <c r="L10" i="11"/>
  <c r="K10" i="11"/>
  <c r="E112" i="11"/>
  <c r="E214" i="11"/>
  <c r="D214" i="11"/>
  <c r="D112" i="11"/>
  <c r="H214" i="11"/>
  <c r="H112" i="11"/>
  <c r="B112" i="11"/>
  <c r="B214" i="11"/>
  <c r="C214" i="11"/>
  <c r="C112" i="11"/>
  <c r="H10" i="11"/>
  <c r="E10" i="11"/>
  <c r="I10" i="11"/>
  <c r="D10" i="11"/>
  <c r="P11" i="11"/>
  <c r="J10" i="11"/>
  <c r="C10" i="11"/>
  <c r="B10" i="11"/>
  <c r="L215" i="11" l="1"/>
  <c r="L113" i="11"/>
  <c r="K113" i="11"/>
  <c r="K215" i="11"/>
  <c r="L11" i="11"/>
  <c r="K11" i="11"/>
  <c r="E113" i="11"/>
  <c r="E215" i="11"/>
  <c r="D215" i="11"/>
  <c r="D113" i="11"/>
  <c r="H113" i="11"/>
  <c r="H215" i="11"/>
  <c r="B113" i="11"/>
  <c r="B215" i="11"/>
  <c r="C215" i="11"/>
  <c r="C113" i="11"/>
  <c r="H11" i="11"/>
  <c r="E11" i="11"/>
  <c r="I11" i="11"/>
  <c r="D11" i="11"/>
  <c r="P12" i="11"/>
  <c r="J11" i="11"/>
  <c r="C11" i="11"/>
  <c r="B11" i="11"/>
  <c r="L216" i="11" l="1"/>
  <c r="L114" i="11"/>
  <c r="K114" i="11"/>
  <c r="K216" i="11"/>
  <c r="L12" i="11"/>
  <c r="K12" i="11"/>
  <c r="E114" i="11"/>
  <c r="E216" i="11"/>
  <c r="D114" i="11"/>
  <c r="D216" i="11"/>
  <c r="H216" i="11"/>
  <c r="H114" i="11"/>
  <c r="B114" i="11"/>
  <c r="B216" i="11"/>
  <c r="C216" i="11"/>
  <c r="C114" i="11"/>
  <c r="H12" i="11"/>
  <c r="E12" i="11"/>
  <c r="I12" i="11"/>
  <c r="D12" i="11"/>
  <c r="P13" i="11"/>
  <c r="J12" i="11"/>
  <c r="C12" i="11"/>
  <c r="B12" i="11"/>
  <c r="L115" i="11" l="1"/>
  <c r="L217" i="11"/>
  <c r="K115" i="11"/>
  <c r="K217" i="11"/>
  <c r="L13" i="11"/>
  <c r="K13" i="11"/>
  <c r="E115" i="11"/>
  <c r="E217" i="11"/>
  <c r="I13" i="11"/>
  <c r="D115" i="11"/>
  <c r="D217" i="11"/>
  <c r="H217" i="11"/>
  <c r="H115" i="11"/>
  <c r="B115" i="11"/>
  <c r="B217" i="11"/>
  <c r="E13" i="11"/>
  <c r="C217" i="11"/>
  <c r="C115" i="11"/>
  <c r="D13" i="11"/>
  <c r="H13" i="11"/>
  <c r="P14" i="11"/>
  <c r="I14" i="11" s="1"/>
  <c r="J13" i="11"/>
  <c r="C13" i="11"/>
  <c r="B13" i="11"/>
  <c r="L116" i="11" l="1"/>
  <c r="L218" i="11"/>
  <c r="K116" i="11"/>
  <c r="K218" i="11"/>
  <c r="L14" i="11"/>
  <c r="K14" i="11"/>
  <c r="E116" i="11"/>
  <c r="E218" i="11"/>
  <c r="D218" i="11"/>
  <c r="D116" i="11"/>
  <c r="H116" i="11"/>
  <c r="H218" i="11"/>
  <c r="B116" i="11"/>
  <c r="B218" i="11"/>
  <c r="E14" i="11"/>
  <c r="C218" i="11"/>
  <c r="C116" i="11"/>
  <c r="D14" i="11"/>
  <c r="H14" i="11"/>
  <c r="P15" i="11"/>
  <c r="J14" i="11"/>
  <c r="C14" i="11"/>
  <c r="B14" i="11"/>
  <c r="L219" i="11" l="1"/>
  <c r="L117" i="11"/>
  <c r="K117" i="11"/>
  <c r="K219" i="11"/>
  <c r="L15" i="11"/>
  <c r="K15" i="11"/>
  <c r="E117" i="11"/>
  <c r="E219" i="11"/>
  <c r="D219" i="11"/>
  <c r="D117" i="11"/>
  <c r="H219" i="11"/>
  <c r="H117" i="11"/>
  <c r="B117" i="11"/>
  <c r="B219" i="11"/>
  <c r="E15" i="11"/>
  <c r="C219" i="11"/>
  <c r="C117" i="11"/>
  <c r="I15" i="11"/>
  <c r="D15" i="11"/>
  <c r="H15" i="11"/>
  <c r="P16" i="11"/>
  <c r="J15" i="11"/>
  <c r="C15" i="11"/>
  <c r="B15" i="11"/>
  <c r="I16" i="11"/>
  <c r="L220" i="11" l="1"/>
  <c r="L118" i="11"/>
  <c r="K118" i="11"/>
  <c r="K220" i="11"/>
  <c r="L16" i="11"/>
  <c r="K16" i="11"/>
  <c r="E118" i="11"/>
  <c r="E220" i="11"/>
  <c r="D220" i="11"/>
  <c r="D118" i="11"/>
  <c r="H118" i="11"/>
  <c r="H220" i="11"/>
  <c r="B118" i="11"/>
  <c r="B220" i="11"/>
  <c r="E16" i="11"/>
  <c r="C220" i="11"/>
  <c r="C118" i="11"/>
  <c r="D16" i="11"/>
  <c r="H16" i="11"/>
  <c r="P17" i="11"/>
  <c r="J16" i="11"/>
  <c r="C16" i="11"/>
  <c r="B16" i="11"/>
  <c r="I17" i="11"/>
  <c r="L119" i="11" l="1"/>
  <c r="L221" i="11"/>
  <c r="K119" i="11"/>
  <c r="K221" i="11"/>
  <c r="L17" i="11"/>
  <c r="K17" i="11"/>
  <c r="E119" i="11"/>
  <c r="E221" i="11"/>
  <c r="D119" i="11"/>
  <c r="D221" i="11"/>
  <c r="H221" i="11"/>
  <c r="H119" i="11"/>
  <c r="B119" i="11"/>
  <c r="B221" i="11"/>
  <c r="E17" i="11"/>
  <c r="C221" i="11"/>
  <c r="C119" i="11"/>
  <c r="D17" i="11"/>
  <c r="H17" i="11"/>
  <c r="P18" i="11"/>
  <c r="J17" i="11"/>
  <c r="C17" i="11"/>
  <c r="B17" i="11"/>
  <c r="L222" i="11" l="1"/>
  <c r="L120" i="11"/>
  <c r="K222" i="11"/>
  <c r="K120" i="11"/>
  <c r="L18" i="11"/>
  <c r="K18" i="11"/>
  <c r="E120" i="11"/>
  <c r="E222" i="11"/>
  <c r="I18" i="11"/>
  <c r="D222" i="11"/>
  <c r="D120" i="11"/>
  <c r="H120" i="11"/>
  <c r="H222" i="11"/>
  <c r="B120" i="11"/>
  <c r="B222" i="11"/>
  <c r="E18" i="11"/>
  <c r="C222" i="11"/>
  <c r="C120" i="11"/>
  <c r="D18" i="11"/>
  <c r="H18" i="11"/>
  <c r="P19" i="11"/>
  <c r="I19" i="11" s="1"/>
  <c r="J18" i="11"/>
  <c r="C18" i="11"/>
  <c r="B18" i="11"/>
  <c r="L223" i="11" l="1"/>
  <c r="L121" i="11"/>
  <c r="K223" i="11"/>
  <c r="K121" i="11"/>
  <c r="L19" i="11"/>
  <c r="K19" i="11"/>
  <c r="E121" i="11"/>
  <c r="E223" i="11"/>
  <c r="D223" i="11"/>
  <c r="D121" i="11"/>
  <c r="H121" i="11"/>
  <c r="H223" i="11"/>
  <c r="B121" i="11"/>
  <c r="B223" i="11"/>
  <c r="E19" i="11"/>
  <c r="C223" i="11"/>
  <c r="C121" i="11"/>
  <c r="D19" i="11"/>
  <c r="H19" i="11"/>
  <c r="P20" i="11"/>
  <c r="I20" i="11" s="1"/>
  <c r="J19" i="11"/>
  <c r="C19" i="11"/>
  <c r="B19" i="11"/>
  <c r="L122" i="11" l="1"/>
  <c r="L224" i="11"/>
  <c r="K224" i="11"/>
  <c r="K122" i="11"/>
  <c r="L20" i="11"/>
  <c r="K20" i="11"/>
  <c r="E122" i="11"/>
  <c r="E224" i="11"/>
  <c r="D224" i="11"/>
  <c r="D122" i="11"/>
  <c r="H224" i="11"/>
  <c r="H122" i="11"/>
  <c r="B122" i="11"/>
  <c r="B224" i="11"/>
  <c r="E20" i="11"/>
  <c r="C224" i="11"/>
  <c r="C122" i="11"/>
  <c r="D20" i="11"/>
  <c r="H20" i="11"/>
  <c r="P21" i="11"/>
  <c r="J20" i="11"/>
  <c r="C20" i="11"/>
  <c r="B20" i="11"/>
  <c r="L225" i="11" l="1"/>
  <c r="L123" i="11"/>
  <c r="K225" i="11"/>
  <c r="K123" i="11"/>
  <c r="L21" i="11"/>
  <c r="K21" i="11"/>
  <c r="E123" i="11"/>
  <c r="E225" i="11"/>
  <c r="I21" i="11"/>
  <c r="D225" i="11"/>
  <c r="D123" i="11"/>
  <c r="H123" i="11"/>
  <c r="H225" i="11"/>
  <c r="B123" i="11"/>
  <c r="B225" i="11"/>
  <c r="E21" i="11"/>
  <c r="C225" i="11"/>
  <c r="C123" i="11"/>
  <c r="D21" i="11"/>
  <c r="H21" i="11"/>
  <c r="P22" i="11"/>
  <c r="J21" i="11"/>
  <c r="C21" i="11"/>
  <c r="B21" i="11"/>
  <c r="I22" i="11"/>
  <c r="L124" i="11" l="1"/>
  <c r="L226" i="11"/>
  <c r="K124" i="11"/>
  <c r="K226" i="11"/>
  <c r="L22" i="11"/>
  <c r="K22" i="11"/>
  <c r="E124" i="11"/>
  <c r="E226" i="11"/>
  <c r="D226" i="11"/>
  <c r="D124" i="11"/>
  <c r="H124" i="11"/>
  <c r="H226" i="11"/>
  <c r="B124" i="11"/>
  <c r="B226" i="11"/>
  <c r="E22" i="11"/>
  <c r="C226" i="11"/>
  <c r="C124" i="11"/>
  <c r="D22" i="11"/>
  <c r="H22" i="11"/>
  <c r="P23" i="11"/>
  <c r="J22" i="11"/>
  <c r="C22" i="11"/>
  <c r="B22" i="11"/>
  <c r="L125" i="11" l="1"/>
  <c r="L227" i="11"/>
  <c r="K125" i="11"/>
  <c r="K227" i="11"/>
  <c r="L23" i="11"/>
  <c r="K23" i="11"/>
  <c r="E125" i="11"/>
  <c r="E227" i="11"/>
  <c r="D227" i="11"/>
  <c r="D125" i="11"/>
  <c r="H227" i="11"/>
  <c r="H125" i="11"/>
  <c r="B125" i="11"/>
  <c r="B227" i="11"/>
  <c r="E23" i="11"/>
  <c r="C227" i="11"/>
  <c r="C125" i="11"/>
  <c r="I23" i="11"/>
  <c r="D23" i="11"/>
  <c r="H23" i="11"/>
  <c r="P24" i="11"/>
  <c r="I24" i="11" s="1"/>
  <c r="J23" i="11"/>
  <c r="C23" i="11"/>
  <c r="B23" i="11"/>
  <c r="L228" i="11" l="1"/>
  <c r="L126" i="11"/>
  <c r="K126" i="11"/>
  <c r="K228" i="11"/>
  <c r="L24" i="11"/>
  <c r="K24" i="11"/>
  <c r="E126" i="11"/>
  <c r="E228" i="11"/>
  <c r="D228" i="11"/>
  <c r="D126" i="11"/>
  <c r="H228" i="11"/>
  <c r="H126" i="11"/>
  <c r="B126" i="11"/>
  <c r="B228" i="11"/>
  <c r="E24" i="11"/>
  <c r="C228" i="11"/>
  <c r="C126" i="11"/>
  <c r="D24" i="11"/>
  <c r="H24" i="11"/>
  <c r="P25" i="11"/>
  <c r="J24" i="11"/>
  <c r="C24" i="11"/>
  <c r="B24" i="11"/>
  <c r="L127" i="11" l="1"/>
  <c r="L229" i="11"/>
  <c r="K127" i="11"/>
  <c r="K229" i="11"/>
  <c r="L25" i="11"/>
  <c r="K25" i="11"/>
  <c r="E127" i="11"/>
  <c r="E229" i="11"/>
  <c r="D229" i="11"/>
  <c r="D127" i="11"/>
  <c r="H229" i="11"/>
  <c r="H127" i="11"/>
  <c r="B127" i="11"/>
  <c r="B229" i="11"/>
  <c r="C229" i="11"/>
  <c r="C127" i="11"/>
  <c r="H25" i="11"/>
  <c r="E25" i="11"/>
  <c r="I25" i="11"/>
  <c r="D25" i="11"/>
  <c r="P26" i="11"/>
  <c r="J25" i="11"/>
  <c r="C25" i="11"/>
  <c r="B25" i="11"/>
  <c r="I26" i="11"/>
  <c r="L128" i="11" l="1"/>
  <c r="L230" i="11"/>
  <c r="K230" i="11"/>
  <c r="K128" i="11"/>
  <c r="L26" i="11"/>
  <c r="K26" i="11"/>
  <c r="E128" i="11"/>
  <c r="E230" i="11"/>
  <c r="D230" i="11"/>
  <c r="D128" i="11"/>
  <c r="H230" i="11"/>
  <c r="H128" i="11"/>
  <c r="B128" i="11"/>
  <c r="B230" i="11"/>
  <c r="E26" i="11"/>
  <c r="C230" i="11"/>
  <c r="C128" i="11"/>
  <c r="D26" i="11"/>
  <c r="H26" i="11"/>
  <c r="P27" i="11"/>
  <c r="J26" i="11"/>
  <c r="C26" i="11"/>
  <c r="B26" i="11"/>
  <c r="L231" i="11" l="1"/>
  <c r="L129" i="11"/>
  <c r="K231" i="11"/>
  <c r="K129" i="11"/>
  <c r="L27" i="11"/>
  <c r="K27" i="11"/>
  <c r="E129" i="11"/>
  <c r="E231" i="11"/>
  <c r="I27" i="11"/>
  <c r="D231" i="11"/>
  <c r="D129" i="11"/>
  <c r="H129" i="11"/>
  <c r="H231" i="11"/>
  <c r="B129" i="11"/>
  <c r="B231" i="11"/>
  <c r="E27" i="11"/>
  <c r="C231" i="11"/>
  <c r="C129" i="11"/>
  <c r="D27" i="11"/>
  <c r="H27" i="11"/>
  <c r="P28" i="11"/>
  <c r="I28" i="11" s="1"/>
  <c r="J27" i="11"/>
  <c r="C27" i="11"/>
  <c r="B27" i="11"/>
  <c r="L232" i="11" l="1"/>
  <c r="L130" i="11"/>
  <c r="K232" i="11"/>
  <c r="K130" i="11"/>
  <c r="L28" i="11"/>
  <c r="K28" i="11"/>
  <c r="E130" i="11"/>
  <c r="E232" i="11"/>
  <c r="D130" i="11"/>
  <c r="D232" i="11"/>
  <c r="H232" i="11"/>
  <c r="H130" i="11"/>
  <c r="B130" i="11"/>
  <c r="B232" i="11"/>
  <c r="E28" i="11"/>
  <c r="C232" i="11"/>
  <c r="C130" i="11"/>
  <c r="D28" i="11"/>
  <c r="H28" i="11"/>
  <c r="P29" i="11"/>
  <c r="J28" i="11"/>
  <c r="C28" i="11"/>
  <c r="B28" i="11"/>
  <c r="L233" i="11" l="1"/>
  <c r="L131" i="11"/>
  <c r="K233" i="11"/>
  <c r="K131" i="11"/>
  <c r="L29" i="11"/>
  <c r="K29" i="11"/>
  <c r="E131" i="11"/>
  <c r="E233" i="11"/>
  <c r="I29" i="11"/>
  <c r="D233" i="11"/>
  <c r="D131" i="11"/>
  <c r="H233" i="11"/>
  <c r="H131" i="11"/>
  <c r="B131" i="11"/>
  <c r="B233" i="11"/>
  <c r="E29" i="11"/>
  <c r="C233" i="11"/>
  <c r="C131" i="11"/>
  <c r="D29" i="11"/>
  <c r="H29" i="11"/>
  <c r="P30" i="11"/>
  <c r="J29" i="11"/>
  <c r="C29" i="11"/>
  <c r="B29" i="11"/>
  <c r="I30" i="11"/>
  <c r="L234" i="11" l="1"/>
  <c r="L132" i="11"/>
  <c r="K132" i="11"/>
  <c r="K234" i="11"/>
  <c r="L30" i="11"/>
  <c r="K30" i="11"/>
  <c r="E132" i="11"/>
  <c r="E234" i="11"/>
  <c r="D234" i="11"/>
  <c r="D132" i="11"/>
  <c r="H234" i="11"/>
  <c r="H132" i="11"/>
  <c r="B132" i="11"/>
  <c r="B234" i="11"/>
  <c r="E30" i="11"/>
  <c r="C234" i="11"/>
  <c r="C132" i="11"/>
  <c r="D30" i="11"/>
  <c r="H30" i="11"/>
  <c r="P31" i="11"/>
  <c r="J30" i="11"/>
  <c r="C30" i="11"/>
  <c r="B30" i="11"/>
  <c r="L235" i="11" l="1"/>
  <c r="L133" i="11"/>
  <c r="K235" i="11"/>
  <c r="K133" i="11"/>
  <c r="L31" i="11"/>
  <c r="K31" i="11"/>
  <c r="E133" i="11"/>
  <c r="E235" i="11"/>
  <c r="D133" i="11"/>
  <c r="D235" i="11"/>
  <c r="H235" i="11"/>
  <c r="H133" i="11"/>
  <c r="B133" i="11"/>
  <c r="B235" i="11"/>
  <c r="C235" i="11"/>
  <c r="C133" i="11"/>
  <c r="H31" i="11"/>
  <c r="E31" i="11"/>
  <c r="I31" i="11"/>
  <c r="D31" i="11"/>
  <c r="P32" i="11"/>
  <c r="J31" i="11"/>
  <c r="C31" i="11"/>
  <c r="B31" i="11"/>
  <c r="L236" i="11" l="1"/>
  <c r="L134" i="11"/>
  <c r="K134" i="11"/>
  <c r="K236" i="11"/>
  <c r="L32" i="11"/>
  <c r="K32" i="11"/>
  <c r="E134" i="11"/>
  <c r="E236" i="11"/>
  <c r="D236" i="11"/>
  <c r="D134" i="11"/>
  <c r="H236" i="11"/>
  <c r="H134" i="11"/>
  <c r="B134" i="11"/>
  <c r="B236" i="11"/>
  <c r="C236" i="11"/>
  <c r="C134" i="11"/>
  <c r="H32" i="11"/>
  <c r="E32" i="11"/>
  <c r="I32" i="11"/>
  <c r="D32" i="11"/>
  <c r="P33" i="11"/>
  <c r="I33" i="11" s="1"/>
  <c r="J32" i="11"/>
  <c r="C32" i="11"/>
  <c r="B32" i="11"/>
  <c r="L135" i="11" l="1"/>
  <c r="L237" i="11"/>
  <c r="K135" i="11"/>
  <c r="K237" i="11"/>
  <c r="L33" i="11"/>
  <c r="K33" i="11"/>
  <c r="E135" i="11"/>
  <c r="E237" i="11"/>
  <c r="D237" i="11"/>
  <c r="D135" i="11"/>
  <c r="H237" i="11"/>
  <c r="H135" i="11"/>
  <c r="B135" i="11"/>
  <c r="B237" i="11"/>
  <c r="E33" i="11"/>
  <c r="C237" i="11"/>
  <c r="C135" i="11"/>
  <c r="D33" i="11"/>
  <c r="H33" i="11"/>
  <c r="P34" i="11"/>
  <c r="J33" i="11"/>
  <c r="C33" i="11"/>
  <c r="B33" i="11"/>
  <c r="L238" i="11" l="1"/>
  <c r="L136" i="11"/>
  <c r="K238" i="11"/>
  <c r="K136" i="11"/>
  <c r="L34" i="11"/>
  <c r="K34" i="11"/>
  <c r="E136" i="11"/>
  <c r="E238" i="11"/>
  <c r="I34" i="11"/>
  <c r="D136" i="11"/>
  <c r="D238" i="11"/>
  <c r="H238" i="11"/>
  <c r="H136" i="11"/>
  <c r="B136" i="11"/>
  <c r="B238" i="11"/>
  <c r="E34" i="11"/>
  <c r="C238" i="11"/>
  <c r="C136" i="11"/>
  <c r="D34" i="11"/>
  <c r="H34" i="11"/>
  <c r="P35" i="11"/>
  <c r="I35" i="11" s="1"/>
  <c r="J34" i="11"/>
  <c r="C34" i="11"/>
  <c r="B34" i="11"/>
  <c r="L239" i="11" l="1"/>
  <c r="L137" i="11"/>
  <c r="K239" i="11"/>
  <c r="K137" i="11"/>
  <c r="L35" i="11"/>
  <c r="K35" i="11"/>
  <c r="E137" i="11"/>
  <c r="E239" i="11"/>
  <c r="D137" i="11"/>
  <c r="D239" i="11"/>
  <c r="H137" i="11"/>
  <c r="H239" i="11"/>
  <c r="B137" i="11"/>
  <c r="B239" i="11"/>
  <c r="E35" i="11"/>
  <c r="C239" i="11"/>
  <c r="C137" i="11"/>
  <c r="D35" i="11"/>
  <c r="H35" i="11"/>
  <c r="P36" i="11"/>
  <c r="J35" i="11"/>
  <c r="C35" i="11"/>
  <c r="B35" i="11"/>
  <c r="L240" i="11" l="1"/>
  <c r="L138" i="11"/>
  <c r="K240" i="11"/>
  <c r="K138" i="11"/>
  <c r="L36" i="11"/>
  <c r="K36" i="11"/>
  <c r="E138" i="11"/>
  <c r="E240" i="11"/>
  <c r="I36" i="11"/>
  <c r="D138" i="11"/>
  <c r="D240" i="11"/>
  <c r="H240" i="11"/>
  <c r="H138" i="11"/>
  <c r="B138" i="11"/>
  <c r="B240" i="11"/>
  <c r="E36" i="11"/>
  <c r="C240" i="11"/>
  <c r="C138" i="11"/>
  <c r="D36" i="11"/>
  <c r="H36" i="11"/>
  <c r="P37" i="11"/>
  <c r="J36" i="11"/>
  <c r="C36" i="11"/>
  <c r="B36" i="11"/>
  <c r="L241" i="11" l="1"/>
  <c r="L139" i="11"/>
  <c r="K241" i="11"/>
  <c r="K139" i="11"/>
  <c r="L37" i="11"/>
  <c r="K37" i="11"/>
  <c r="E139" i="11"/>
  <c r="E241" i="11"/>
  <c r="I37" i="11"/>
  <c r="D139" i="11"/>
  <c r="D241" i="11"/>
  <c r="H241" i="11"/>
  <c r="H139" i="11"/>
  <c r="B139" i="11"/>
  <c r="B241" i="11"/>
  <c r="E37" i="11"/>
  <c r="C241" i="11"/>
  <c r="C139" i="11"/>
  <c r="D37" i="11"/>
  <c r="H37" i="11"/>
  <c r="P38" i="11"/>
  <c r="J37" i="11"/>
  <c r="C37" i="11"/>
  <c r="B37" i="11"/>
  <c r="I38" i="11"/>
  <c r="L140" i="11" l="1"/>
  <c r="L242" i="11"/>
  <c r="K140" i="11"/>
  <c r="K242" i="11"/>
  <c r="L38" i="11"/>
  <c r="K38" i="11"/>
  <c r="E140" i="11"/>
  <c r="E242" i="11"/>
  <c r="D140" i="11"/>
  <c r="D242" i="11"/>
  <c r="H140" i="11"/>
  <c r="H242" i="11"/>
  <c r="B140" i="11"/>
  <c r="B242" i="11"/>
  <c r="E38" i="11"/>
  <c r="C242" i="11"/>
  <c r="C140" i="11"/>
  <c r="D38" i="11"/>
  <c r="H38" i="11"/>
  <c r="P39" i="11"/>
  <c r="J38" i="11"/>
  <c r="C38" i="11"/>
  <c r="B38" i="11"/>
  <c r="L141" i="11" l="1"/>
  <c r="L243" i="11"/>
  <c r="K243" i="11"/>
  <c r="K141" i="11"/>
  <c r="L39" i="11"/>
  <c r="K39" i="11"/>
  <c r="E141" i="11"/>
  <c r="E243" i="11"/>
  <c r="I39" i="11"/>
  <c r="D141" i="11"/>
  <c r="D243" i="11"/>
  <c r="H243" i="11"/>
  <c r="H141" i="11"/>
  <c r="B141" i="11"/>
  <c r="B243" i="11"/>
  <c r="E39" i="11"/>
  <c r="C243" i="11"/>
  <c r="C141" i="11"/>
  <c r="D39" i="11"/>
  <c r="H39" i="11"/>
  <c r="P40" i="11"/>
  <c r="J39" i="11"/>
  <c r="C39" i="11"/>
  <c r="B39" i="11"/>
  <c r="I40" i="11"/>
  <c r="L244" i="11" l="1"/>
  <c r="L142" i="11"/>
  <c r="K142" i="11"/>
  <c r="K244" i="11"/>
  <c r="L40" i="11"/>
  <c r="K40" i="11"/>
  <c r="E142" i="11"/>
  <c r="E244" i="11"/>
  <c r="D142" i="11"/>
  <c r="D244" i="11"/>
  <c r="H244" i="11"/>
  <c r="H142" i="11"/>
  <c r="B142" i="11"/>
  <c r="B244" i="11"/>
  <c r="E40" i="11"/>
  <c r="C244" i="11"/>
  <c r="C142" i="11"/>
  <c r="D40" i="11"/>
  <c r="H40" i="11"/>
  <c r="P41" i="11"/>
  <c r="J40" i="11"/>
  <c r="C40" i="11"/>
  <c r="B40" i="11"/>
  <c r="L143" i="11" l="1"/>
  <c r="L245" i="11"/>
  <c r="K245" i="11"/>
  <c r="K143" i="11"/>
  <c r="L41" i="11"/>
  <c r="K41" i="11"/>
  <c r="E143" i="11"/>
  <c r="E245" i="11"/>
  <c r="I41" i="11"/>
  <c r="D245" i="11"/>
  <c r="D143" i="11"/>
  <c r="H245" i="11"/>
  <c r="H143" i="11"/>
  <c r="B143" i="11"/>
  <c r="B245" i="11"/>
  <c r="E41" i="11"/>
  <c r="C245" i="11"/>
  <c r="C143" i="11"/>
  <c r="D41" i="11"/>
  <c r="H41" i="11"/>
  <c r="P42" i="11"/>
  <c r="J41" i="11"/>
  <c r="C41" i="11"/>
  <c r="B41" i="11"/>
  <c r="L144" i="11" l="1"/>
  <c r="L246" i="11"/>
  <c r="K246" i="11"/>
  <c r="K144" i="11"/>
  <c r="L42" i="11"/>
  <c r="K42" i="11"/>
  <c r="E144" i="11"/>
  <c r="E246" i="11"/>
  <c r="D144" i="11"/>
  <c r="D246" i="11"/>
  <c r="H246" i="11"/>
  <c r="H144" i="11"/>
  <c r="B144" i="11"/>
  <c r="B246" i="11"/>
  <c r="E42" i="11"/>
  <c r="C246" i="11"/>
  <c r="C144" i="11"/>
  <c r="I42" i="11"/>
  <c r="D42" i="11"/>
  <c r="H42" i="11"/>
  <c r="P43" i="11"/>
  <c r="J42" i="11"/>
  <c r="C42" i="11"/>
  <c r="B42" i="11"/>
  <c r="L145" i="11" l="1"/>
  <c r="L247" i="11"/>
  <c r="K247" i="11"/>
  <c r="K145" i="11"/>
  <c r="L43" i="11"/>
  <c r="K43" i="11"/>
  <c r="E145" i="11"/>
  <c r="E247" i="11"/>
  <c r="I43" i="11"/>
  <c r="D247" i="11"/>
  <c r="D145" i="11"/>
  <c r="H145" i="11"/>
  <c r="H247" i="11"/>
  <c r="B145" i="11"/>
  <c r="B247" i="11"/>
  <c r="E43" i="11"/>
  <c r="C247" i="11"/>
  <c r="C145" i="11"/>
  <c r="D43" i="11"/>
  <c r="H43" i="11"/>
  <c r="P44" i="11"/>
  <c r="J43" i="11"/>
  <c r="C43" i="11"/>
  <c r="B43" i="11"/>
  <c r="L248" i="11" l="1"/>
  <c r="L146" i="11"/>
  <c r="K248" i="11"/>
  <c r="K146" i="11"/>
  <c r="L44" i="11"/>
  <c r="K44" i="11"/>
  <c r="E146" i="11"/>
  <c r="E248" i="11"/>
  <c r="I44" i="11"/>
  <c r="D248" i="11"/>
  <c r="D146" i="11"/>
  <c r="H248" i="11"/>
  <c r="H146" i="11"/>
  <c r="B146" i="11"/>
  <c r="B248" i="11"/>
  <c r="E44" i="11"/>
  <c r="C248" i="11"/>
  <c r="C146" i="11"/>
  <c r="D44" i="11"/>
  <c r="H44" i="11"/>
  <c r="P45" i="11"/>
  <c r="J44" i="11"/>
  <c r="C44" i="11"/>
  <c r="B44" i="11"/>
  <c r="L249" i="11" l="1"/>
  <c r="L147" i="11"/>
  <c r="K249" i="11"/>
  <c r="K147" i="11"/>
  <c r="L45" i="11"/>
  <c r="K45" i="11"/>
  <c r="E147" i="11"/>
  <c r="E249" i="11"/>
  <c r="D147" i="11"/>
  <c r="D249" i="11"/>
  <c r="H249" i="11"/>
  <c r="H147" i="11"/>
  <c r="B147" i="11"/>
  <c r="B249" i="11"/>
  <c r="E45" i="11"/>
  <c r="C249" i="11"/>
  <c r="C147" i="11"/>
  <c r="I45" i="11"/>
  <c r="D45" i="11"/>
  <c r="H45" i="11"/>
  <c r="P46" i="11"/>
  <c r="J45" i="11"/>
  <c r="C45" i="11"/>
  <c r="B45" i="11"/>
  <c r="I46" i="11"/>
  <c r="L250" i="11" l="1"/>
  <c r="L148" i="11"/>
  <c r="K148" i="11"/>
  <c r="K250" i="11"/>
  <c r="L46" i="11"/>
  <c r="K46" i="11"/>
  <c r="E148" i="11"/>
  <c r="E250" i="11"/>
  <c r="D148" i="11"/>
  <c r="D250" i="11"/>
  <c r="H250" i="11"/>
  <c r="H148" i="11"/>
  <c r="B148" i="11"/>
  <c r="B250" i="11"/>
  <c r="E46" i="11"/>
  <c r="C250" i="11"/>
  <c r="C148" i="11"/>
  <c r="D46" i="11"/>
  <c r="H46" i="11"/>
  <c r="P47" i="11"/>
  <c r="I47" i="11" s="1"/>
  <c r="J46" i="11"/>
  <c r="C46" i="11"/>
  <c r="B46" i="11"/>
  <c r="L251" i="11" l="1"/>
  <c r="L149" i="11"/>
  <c r="K251" i="11"/>
  <c r="K149" i="11"/>
  <c r="L47" i="11"/>
  <c r="K47" i="11"/>
  <c r="E149" i="11"/>
  <c r="E251" i="11"/>
  <c r="D149" i="11"/>
  <c r="D251" i="11"/>
  <c r="H251" i="11"/>
  <c r="H149" i="11"/>
  <c r="B149" i="11"/>
  <c r="B251" i="11"/>
  <c r="E47" i="11"/>
  <c r="C251" i="11"/>
  <c r="C149" i="11"/>
  <c r="D47" i="11"/>
  <c r="H47" i="11"/>
  <c r="P48" i="11"/>
  <c r="J47" i="11"/>
  <c r="C47" i="11"/>
  <c r="B47" i="11"/>
  <c r="L252" i="11" l="1"/>
  <c r="L150" i="11"/>
  <c r="K252" i="11"/>
  <c r="K150" i="11"/>
  <c r="L48" i="11"/>
  <c r="K48" i="11"/>
  <c r="E150" i="11"/>
  <c r="E252" i="11"/>
  <c r="I48" i="11"/>
  <c r="D252" i="11"/>
  <c r="D150" i="11"/>
  <c r="H150" i="11"/>
  <c r="H252" i="11"/>
  <c r="B150" i="11"/>
  <c r="B252" i="11"/>
  <c r="E48" i="11"/>
  <c r="C252" i="11"/>
  <c r="C150" i="11"/>
  <c r="D48" i="11"/>
  <c r="H48" i="11"/>
  <c r="P49" i="11"/>
  <c r="J48" i="11"/>
  <c r="C48" i="11"/>
  <c r="B48" i="11"/>
  <c r="I49" i="11"/>
  <c r="L151" i="11" l="1"/>
  <c r="L253" i="11"/>
  <c r="K253" i="11"/>
  <c r="K151" i="11"/>
  <c r="L49" i="11"/>
  <c r="K49" i="11"/>
  <c r="E151" i="11"/>
  <c r="E253" i="11"/>
  <c r="D151" i="11"/>
  <c r="D253" i="11"/>
  <c r="H151" i="11"/>
  <c r="H253" i="11"/>
  <c r="B151" i="11"/>
  <c r="B253" i="11"/>
  <c r="E49" i="11"/>
  <c r="C253" i="11"/>
  <c r="C151" i="11"/>
  <c r="D49" i="11"/>
  <c r="H49" i="11"/>
  <c r="P50" i="11"/>
  <c r="J49" i="11"/>
  <c r="C49" i="11"/>
  <c r="B49" i="11"/>
  <c r="I50" i="11"/>
  <c r="L152" i="11" l="1"/>
  <c r="L254" i="11"/>
  <c r="K254" i="11"/>
  <c r="K152" i="11"/>
  <c r="L50" i="11"/>
  <c r="K50" i="11"/>
  <c r="E152" i="11"/>
  <c r="E254" i="11"/>
  <c r="D152" i="11"/>
  <c r="D254" i="11"/>
  <c r="H152" i="11"/>
  <c r="H254" i="11"/>
  <c r="B152" i="11"/>
  <c r="B254" i="11"/>
  <c r="E50" i="11"/>
  <c r="C254" i="11"/>
  <c r="C152" i="11"/>
  <c r="D50" i="11"/>
  <c r="H50" i="11"/>
  <c r="P51" i="11"/>
  <c r="J50" i="11"/>
  <c r="C50" i="11"/>
  <c r="B50" i="11"/>
  <c r="L255" i="11" l="1"/>
  <c r="L153" i="11"/>
  <c r="K255" i="11"/>
  <c r="K153" i="11"/>
  <c r="L51" i="11"/>
  <c r="K51" i="11"/>
  <c r="E153" i="11"/>
  <c r="E255" i="11"/>
  <c r="D153" i="11"/>
  <c r="D255" i="11"/>
  <c r="H255" i="11"/>
  <c r="H153" i="11"/>
  <c r="B153" i="11"/>
  <c r="B255" i="11"/>
  <c r="E51" i="11"/>
  <c r="C153" i="11"/>
  <c r="C255" i="11"/>
  <c r="I51" i="11"/>
  <c r="D51" i="11"/>
  <c r="H51" i="11"/>
  <c r="P52" i="11"/>
  <c r="J51" i="11"/>
  <c r="C51" i="11"/>
  <c r="B51" i="11"/>
  <c r="I52" i="11"/>
  <c r="L256" i="11" l="1"/>
  <c r="L154" i="11"/>
  <c r="K154" i="11"/>
  <c r="K256" i="11"/>
  <c r="L52" i="11"/>
  <c r="K52" i="11"/>
  <c r="E154" i="11"/>
  <c r="E256" i="11"/>
  <c r="D256" i="11"/>
  <c r="D154" i="11"/>
  <c r="H256" i="11"/>
  <c r="H154" i="11"/>
  <c r="B154" i="11"/>
  <c r="B256" i="11"/>
  <c r="E52" i="11"/>
  <c r="C154" i="11"/>
  <c r="C256" i="11"/>
  <c r="D52" i="11"/>
  <c r="H52" i="11"/>
  <c r="P53" i="11"/>
  <c r="J52" i="11"/>
  <c r="C52" i="11"/>
  <c r="B52" i="11"/>
  <c r="L155" i="11" l="1"/>
  <c r="L257" i="11"/>
  <c r="K155" i="11"/>
  <c r="K257" i="11"/>
  <c r="L53" i="11"/>
  <c r="K53" i="11"/>
  <c r="E155" i="11"/>
  <c r="E257" i="11"/>
  <c r="I53" i="11"/>
  <c r="D155" i="11"/>
  <c r="D257" i="11"/>
  <c r="H155" i="11"/>
  <c r="H257" i="11"/>
  <c r="B155" i="11"/>
  <c r="B257" i="11"/>
  <c r="E53" i="11"/>
  <c r="C257" i="11"/>
  <c r="C155" i="11"/>
  <c r="D53" i="11"/>
  <c r="H53" i="11"/>
  <c r="P54" i="11"/>
  <c r="J53" i="11"/>
  <c r="C53" i="11"/>
  <c r="B53" i="11"/>
  <c r="L156" i="11" l="1"/>
  <c r="L258" i="11"/>
  <c r="K156" i="11"/>
  <c r="K258" i="11"/>
  <c r="L54" i="11"/>
  <c r="K54" i="11"/>
  <c r="E156" i="11"/>
  <c r="E258" i="11"/>
  <c r="D156" i="11"/>
  <c r="D258" i="11"/>
  <c r="H258" i="11"/>
  <c r="H156" i="11"/>
  <c r="B156" i="11"/>
  <c r="B258" i="11"/>
  <c r="C258" i="11"/>
  <c r="C156" i="11"/>
  <c r="H54" i="11"/>
  <c r="E54" i="11"/>
  <c r="I54" i="11"/>
  <c r="D54" i="11"/>
  <c r="P55" i="11"/>
  <c r="J54" i="11"/>
  <c r="C54" i="11"/>
  <c r="B54" i="11"/>
  <c r="I55" i="11"/>
  <c r="L157" i="11" l="1"/>
  <c r="L259" i="11"/>
  <c r="K259" i="11"/>
  <c r="K157" i="11"/>
  <c r="L55" i="11"/>
  <c r="K55" i="11"/>
  <c r="E157" i="11"/>
  <c r="E259" i="11"/>
  <c r="D259" i="11"/>
  <c r="D157" i="11"/>
  <c r="H259" i="11"/>
  <c r="H157" i="11"/>
  <c r="B157" i="11"/>
  <c r="B259" i="11"/>
  <c r="E55" i="11"/>
  <c r="C259" i="11"/>
  <c r="C157" i="11"/>
  <c r="D55" i="11"/>
  <c r="H55" i="11"/>
  <c r="P56" i="11"/>
  <c r="I56" i="11" s="1"/>
  <c r="J55" i="11"/>
  <c r="C55" i="11"/>
  <c r="B55" i="11"/>
  <c r="L158" i="11" l="1"/>
  <c r="L260" i="11"/>
  <c r="K158" i="11"/>
  <c r="K260" i="11"/>
  <c r="L56" i="11"/>
  <c r="K56" i="11"/>
  <c r="E158" i="11"/>
  <c r="E260" i="11"/>
  <c r="D260" i="11"/>
  <c r="D158" i="11"/>
  <c r="H260" i="11"/>
  <c r="H158" i="11"/>
  <c r="B158" i="11"/>
  <c r="B260" i="11"/>
  <c r="E56" i="11"/>
  <c r="C260" i="11"/>
  <c r="C158" i="11"/>
  <c r="D56" i="11"/>
  <c r="H56" i="11"/>
  <c r="P57" i="11"/>
  <c r="J56" i="11"/>
  <c r="C56" i="11"/>
  <c r="B56" i="11"/>
  <c r="L159" i="11" l="1"/>
  <c r="L261" i="11"/>
  <c r="K261" i="11"/>
  <c r="K159" i="11"/>
  <c r="L57" i="11"/>
  <c r="K57" i="11"/>
  <c r="E159" i="11"/>
  <c r="E261" i="11"/>
  <c r="D261" i="11"/>
  <c r="D159" i="11"/>
  <c r="H261" i="11"/>
  <c r="H159" i="11"/>
  <c r="B159" i="11"/>
  <c r="B261" i="11"/>
  <c r="C261" i="11"/>
  <c r="C159" i="11"/>
  <c r="H57" i="11"/>
  <c r="E57" i="11"/>
  <c r="I57" i="11"/>
  <c r="D57" i="11"/>
  <c r="P58" i="11"/>
  <c r="I58" i="11" s="1"/>
  <c r="J57" i="11"/>
  <c r="C57" i="11"/>
  <c r="B57" i="11"/>
  <c r="L160" i="11" l="1"/>
  <c r="L262" i="11"/>
  <c r="K262" i="11"/>
  <c r="K160" i="11"/>
  <c r="L58" i="11"/>
  <c r="K58" i="11"/>
  <c r="E160" i="11"/>
  <c r="E262" i="11"/>
  <c r="D262" i="11"/>
  <c r="D160" i="11"/>
  <c r="H262" i="11"/>
  <c r="H160" i="11"/>
  <c r="B160" i="11"/>
  <c r="B262" i="11"/>
  <c r="E58" i="11"/>
  <c r="C160" i="11"/>
  <c r="C262" i="11"/>
  <c r="D58" i="11"/>
  <c r="H58" i="11"/>
  <c r="P59" i="11"/>
  <c r="J58" i="11"/>
  <c r="C58" i="11"/>
  <c r="B58" i="11"/>
  <c r="L263" i="11" l="1"/>
  <c r="L161" i="11"/>
  <c r="K161" i="11"/>
  <c r="K263" i="11"/>
  <c r="L59" i="11"/>
  <c r="K59" i="11"/>
  <c r="E161" i="11"/>
  <c r="E263" i="11"/>
  <c r="D263" i="11"/>
  <c r="D161" i="11"/>
  <c r="H263" i="11"/>
  <c r="H161" i="11"/>
  <c r="B161" i="11"/>
  <c r="B263" i="11"/>
  <c r="C161" i="11"/>
  <c r="C263" i="11"/>
  <c r="H59" i="11"/>
  <c r="E59" i="11"/>
  <c r="I59" i="11"/>
  <c r="D59" i="11"/>
  <c r="P60" i="11"/>
  <c r="I60" i="11" s="1"/>
  <c r="J59" i="11"/>
  <c r="C59" i="11"/>
  <c r="B59" i="11"/>
  <c r="L264" i="11" l="1"/>
  <c r="L162" i="11"/>
  <c r="K264" i="11"/>
  <c r="K162" i="11"/>
  <c r="L60" i="11"/>
  <c r="K60" i="11"/>
  <c r="E162" i="11"/>
  <c r="E264" i="11"/>
  <c r="D162" i="11"/>
  <c r="D264" i="11"/>
  <c r="H264" i="11"/>
  <c r="H162" i="11"/>
  <c r="B162" i="11"/>
  <c r="B264" i="11"/>
  <c r="E60" i="11"/>
  <c r="C162" i="11"/>
  <c r="C264" i="11"/>
  <c r="D60" i="11"/>
  <c r="H60" i="11"/>
  <c r="P61" i="11"/>
  <c r="I61" i="11" s="1"/>
  <c r="J60" i="11"/>
  <c r="C60" i="11"/>
  <c r="B60" i="11"/>
  <c r="L265" i="11" l="1"/>
  <c r="L163" i="11"/>
  <c r="K265" i="11"/>
  <c r="K163" i="11"/>
  <c r="L61" i="11"/>
  <c r="K61" i="11"/>
  <c r="E163" i="11"/>
  <c r="E265" i="11"/>
  <c r="D265" i="11"/>
  <c r="D163" i="11"/>
  <c r="H265" i="11"/>
  <c r="H163" i="11"/>
  <c r="B163" i="11"/>
  <c r="B265" i="11"/>
  <c r="E61" i="11"/>
  <c r="C265" i="11"/>
  <c r="C163" i="11"/>
  <c r="D61" i="11"/>
  <c r="H61" i="11"/>
  <c r="P62" i="11"/>
  <c r="J61" i="11"/>
  <c r="C61" i="11"/>
  <c r="B61" i="11"/>
  <c r="I62" i="11"/>
  <c r="L266" i="11" l="1"/>
  <c r="L164" i="11"/>
  <c r="K266" i="11"/>
  <c r="K164" i="11"/>
  <c r="L62" i="11"/>
  <c r="K62" i="11"/>
  <c r="E164" i="11"/>
  <c r="E266" i="11"/>
  <c r="D266" i="11"/>
  <c r="D164" i="11"/>
  <c r="H266" i="11"/>
  <c r="H164" i="11"/>
  <c r="B164" i="11"/>
  <c r="B266" i="11"/>
  <c r="E62" i="11"/>
  <c r="C266" i="11"/>
  <c r="C164" i="11"/>
  <c r="D62" i="11"/>
  <c r="H62" i="11"/>
  <c r="P63" i="11"/>
  <c r="J62" i="11"/>
  <c r="C62" i="11"/>
  <c r="B62" i="11"/>
  <c r="L165" i="11" l="1"/>
  <c r="L267" i="11"/>
  <c r="K267" i="11"/>
  <c r="K165" i="11"/>
  <c r="L63" i="11"/>
  <c r="K63" i="11"/>
  <c r="E165" i="11"/>
  <c r="E267" i="11"/>
  <c r="D165" i="11"/>
  <c r="D267" i="11"/>
  <c r="H267" i="11"/>
  <c r="H165" i="11"/>
  <c r="B165" i="11"/>
  <c r="B267" i="11"/>
  <c r="C267" i="11"/>
  <c r="C165" i="11"/>
  <c r="H63" i="11"/>
  <c r="E63" i="11"/>
  <c r="I63" i="11"/>
  <c r="D63" i="11"/>
  <c r="P64" i="11"/>
  <c r="J63" i="11"/>
  <c r="C63" i="11"/>
  <c r="B63" i="11"/>
  <c r="I64" i="11"/>
  <c r="L268" i="11" l="1"/>
  <c r="L166" i="11"/>
  <c r="K268" i="11"/>
  <c r="K166" i="11"/>
  <c r="L64" i="11"/>
  <c r="K64" i="11"/>
  <c r="E166" i="11"/>
  <c r="E268" i="11"/>
  <c r="D268" i="11"/>
  <c r="D166" i="11"/>
  <c r="H268" i="11"/>
  <c r="H166" i="11"/>
  <c r="B166" i="11"/>
  <c r="B268" i="11"/>
  <c r="E64" i="11"/>
  <c r="C268" i="11"/>
  <c r="C166" i="11"/>
  <c r="D64" i="11"/>
  <c r="H64" i="11"/>
  <c r="P65" i="11"/>
  <c r="J64" i="11"/>
  <c r="C64" i="11"/>
  <c r="B64" i="11"/>
  <c r="L269" i="11" l="1"/>
  <c r="L167" i="11"/>
  <c r="K167" i="11"/>
  <c r="K269" i="11"/>
  <c r="L65" i="11"/>
  <c r="K65" i="11"/>
  <c r="E167" i="11"/>
  <c r="E269" i="11"/>
  <c r="I65" i="11"/>
  <c r="D269" i="11"/>
  <c r="D167" i="11"/>
  <c r="H269" i="11"/>
  <c r="H167" i="11"/>
  <c r="B167" i="11"/>
  <c r="B269" i="11"/>
  <c r="E65" i="11"/>
  <c r="C269" i="11"/>
  <c r="C167" i="11"/>
  <c r="D65" i="11"/>
  <c r="H65" i="11"/>
  <c r="P66" i="11"/>
  <c r="J65" i="11"/>
  <c r="C65" i="11"/>
  <c r="B65" i="11"/>
  <c r="I66" i="11"/>
  <c r="L168" i="11" l="1"/>
  <c r="L270" i="11"/>
  <c r="K168" i="11"/>
  <c r="K270" i="11"/>
  <c r="L66" i="11"/>
  <c r="K66" i="11"/>
  <c r="E168" i="11"/>
  <c r="E270" i="11"/>
  <c r="D168" i="11"/>
  <c r="D270" i="11"/>
  <c r="H270" i="11"/>
  <c r="H168" i="11"/>
  <c r="B168" i="11"/>
  <c r="B270" i="11"/>
  <c r="E66" i="11"/>
  <c r="C168" i="11"/>
  <c r="C270" i="11"/>
  <c r="D66" i="11"/>
  <c r="H66" i="11"/>
  <c r="P67" i="11"/>
  <c r="J66" i="11"/>
  <c r="C66" i="11"/>
  <c r="B66" i="11"/>
  <c r="L169" i="11" l="1"/>
  <c r="L271" i="11"/>
  <c r="K271" i="11"/>
  <c r="K169" i="11"/>
  <c r="L67" i="11"/>
  <c r="K67" i="11"/>
  <c r="E169" i="11"/>
  <c r="E271" i="11"/>
  <c r="I67" i="11"/>
  <c r="D271" i="11"/>
  <c r="D169" i="11"/>
  <c r="H271" i="11"/>
  <c r="H169" i="11"/>
  <c r="B169" i="11"/>
  <c r="B271" i="11"/>
  <c r="E67" i="11"/>
  <c r="C169" i="11"/>
  <c r="C271" i="11"/>
  <c r="D67" i="11"/>
  <c r="H67" i="11"/>
  <c r="P68" i="11"/>
  <c r="J67" i="11"/>
  <c r="C67" i="11"/>
  <c r="B67" i="11"/>
  <c r="I68" i="11"/>
  <c r="L272" i="11" l="1"/>
  <c r="L170" i="11"/>
  <c r="K170" i="11"/>
  <c r="K272" i="11"/>
  <c r="L68" i="11"/>
  <c r="K68" i="11"/>
  <c r="E170" i="11"/>
  <c r="E272" i="11"/>
  <c r="D272" i="11"/>
  <c r="D170" i="11"/>
  <c r="H272" i="11"/>
  <c r="H170" i="11"/>
  <c r="B170" i="11"/>
  <c r="B272" i="11"/>
  <c r="E68" i="11"/>
  <c r="C170" i="11"/>
  <c r="C272" i="11"/>
  <c r="D68" i="11"/>
  <c r="H68" i="11"/>
  <c r="P69" i="11"/>
  <c r="J68" i="11"/>
  <c r="C68" i="11"/>
  <c r="B68" i="11"/>
  <c r="I69" i="11"/>
  <c r="L171" i="11" l="1"/>
  <c r="L273" i="11"/>
  <c r="K171" i="11"/>
  <c r="K273" i="11"/>
  <c r="L69" i="11"/>
  <c r="K69" i="11"/>
  <c r="E171" i="11"/>
  <c r="E273" i="11"/>
  <c r="D171" i="11"/>
  <c r="D273" i="11"/>
  <c r="H273" i="11"/>
  <c r="H171" i="11"/>
  <c r="B171" i="11"/>
  <c r="B273" i="11"/>
  <c r="E69" i="11"/>
  <c r="C273" i="11"/>
  <c r="C171" i="11"/>
  <c r="D69" i="11"/>
  <c r="H69" i="11"/>
  <c r="P70" i="11"/>
  <c r="J69" i="11"/>
  <c r="C69" i="11"/>
  <c r="B69" i="11"/>
  <c r="I70" i="11"/>
  <c r="L172" i="11" l="1"/>
  <c r="L274" i="11"/>
  <c r="K274" i="11"/>
  <c r="K172" i="11"/>
  <c r="L70" i="11"/>
  <c r="K70" i="11"/>
  <c r="E172" i="11"/>
  <c r="E274" i="11"/>
  <c r="D172" i="11"/>
  <c r="D274" i="11"/>
  <c r="H274" i="11"/>
  <c r="H172" i="11"/>
  <c r="B172" i="11"/>
  <c r="B274" i="11"/>
  <c r="E70" i="11"/>
  <c r="C274" i="11"/>
  <c r="C172" i="11"/>
  <c r="D70" i="11"/>
  <c r="H70" i="11"/>
  <c r="P71" i="11"/>
  <c r="J70" i="11"/>
  <c r="C70" i="11"/>
  <c r="B70" i="11"/>
  <c r="L173" i="11" l="1"/>
  <c r="L275" i="11"/>
  <c r="K275" i="11"/>
  <c r="K173" i="11"/>
  <c r="L71" i="11"/>
  <c r="K71" i="11"/>
  <c r="E173" i="11"/>
  <c r="E275" i="11"/>
  <c r="I71" i="11"/>
  <c r="D275" i="11"/>
  <c r="D173" i="11"/>
  <c r="H275" i="11"/>
  <c r="H173" i="11"/>
  <c r="B173" i="11"/>
  <c r="B275" i="11"/>
  <c r="E71" i="11"/>
  <c r="C275" i="11"/>
  <c r="C173" i="11"/>
  <c r="D71" i="11"/>
  <c r="H71" i="11"/>
  <c r="P72" i="11"/>
  <c r="J71" i="11"/>
  <c r="C71" i="11"/>
  <c r="B71" i="11"/>
  <c r="I72" i="11"/>
  <c r="L276" i="11" l="1"/>
  <c r="L174" i="11"/>
  <c r="K174" i="11"/>
  <c r="K276" i="11"/>
  <c r="L72" i="11"/>
  <c r="K72" i="11"/>
  <c r="E174" i="11"/>
  <c r="E276" i="11"/>
  <c r="D276" i="11"/>
  <c r="D174" i="11"/>
  <c r="H276" i="11"/>
  <c r="H174" i="11"/>
  <c r="B174" i="11"/>
  <c r="B276" i="11"/>
  <c r="E72" i="11"/>
  <c r="C276" i="11"/>
  <c r="C174" i="11"/>
  <c r="D72" i="11"/>
  <c r="H72" i="11"/>
  <c r="P73" i="11"/>
  <c r="J72" i="11"/>
  <c r="C72" i="11"/>
  <c r="B72" i="11"/>
  <c r="L175" i="11" l="1"/>
  <c r="L277" i="11"/>
  <c r="K277" i="11"/>
  <c r="K175" i="11"/>
  <c r="L73" i="11"/>
  <c r="K73" i="11"/>
  <c r="E175" i="11"/>
  <c r="E277" i="11"/>
  <c r="I73" i="11"/>
  <c r="D175" i="11"/>
  <c r="D277" i="11"/>
  <c r="H277" i="11"/>
  <c r="H175" i="11"/>
  <c r="B175" i="11"/>
  <c r="B277" i="11"/>
  <c r="E73" i="11"/>
  <c r="C277" i="11"/>
  <c r="C175" i="11"/>
  <c r="D73" i="11"/>
  <c r="H73" i="11"/>
  <c r="P74" i="11"/>
  <c r="J73" i="11"/>
  <c r="C73" i="11"/>
  <c r="B73" i="11"/>
  <c r="I74" i="11"/>
  <c r="L278" i="11" l="1"/>
  <c r="L176" i="11"/>
  <c r="K176" i="11"/>
  <c r="K278" i="11"/>
  <c r="L74" i="11"/>
  <c r="K74" i="11"/>
  <c r="E176" i="11"/>
  <c r="E278" i="11"/>
  <c r="D278" i="11"/>
  <c r="D176" i="11"/>
  <c r="H278" i="11"/>
  <c r="H176" i="11"/>
  <c r="B176" i="11"/>
  <c r="B278" i="11"/>
  <c r="E74" i="11"/>
  <c r="C176" i="11"/>
  <c r="C278" i="11"/>
  <c r="D74" i="11"/>
  <c r="H74" i="11"/>
  <c r="P75" i="11"/>
  <c r="J74" i="11"/>
  <c r="C74" i="11"/>
  <c r="B74" i="11"/>
  <c r="L279" i="11" l="1"/>
  <c r="L177" i="11"/>
  <c r="K177" i="11"/>
  <c r="K279" i="11"/>
  <c r="L75" i="11"/>
  <c r="K75" i="11"/>
  <c r="E177" i="11"/>
  <c r="E279" i="11"/>
  <c r="D279" i="11"/>
  <c r="D177" i="11"/>
  <c r="H279" i="11"/>
  <c r="H177" i="11"/>
  <c r="B177" i="11"/>
  <c r="B279" i="11"/>
  <c r="C177" i="11"/>
  <c r="C279" i="11"/>
  <c r="H75" i="11"/>
  <c r="E75" i="11"/>
  <c r="I75" i="11"/>
  <c r="D75" i="11"/>
  <c r="P76" i="11"/>
  <c r="J75" i="11"/>
  <c r="C75" i="11"/>
  <c r="B75" i="11"/>
  <c r="L280" i="11" l="1"/>
  <c r="L178" i="11"/>
  <c r="K178" i="11"/>
  <c r="K280" i="11"/>
  <c r="L76" i="11"/>
  <c r="K76" i="11"/>
  <c r="E178" i="11"/>
  <c r="E280" i="11"/>
  <c r="D178" i="11"/>
  <c r="D280" i="11"/>
  <c r="H178" i="11"/>
  <c r="H280" i="11"/>
  <c r="B178" i="11"/>
  <c r="B280" i="11"/>
  <c r="E76" i="11"/>
  <c r="C178" i="11"/>
  <c r="C280" i="11"/>
  <c r="I76" i="11"/>
  <c r="D76" i="11"/>
  <c r="H76" i="11"/>
  <c r="P77" i="11"/>
  <c r="I77" i="11" s="1"/>
  <c r="J76" i="11"/>
  <c r="C76" i="11"/>
  <c r="B76" i="11"/>
  <c r="L179" i="11" l="1"/>
  <c r="L281" i="11"/>
  <c r="K281" i="11"/>
  <c r="K179" i="11"/>
  <c r="L77" i="11"/>
  <c r="K77" i="11"/>
  <c r="E179" i="11"/>
  <c r="E281" i="11"/>
  <c r="D281" i="11"/>
  <c r="D179" i="11"/>
  <c r="H281" i="11"/>
  <c r="H179" i="11"/>
  <c r="B179" i="11"/>
  <c r="B281" i="11"/>
  <c r="E77" i="11"/>
  <c r="C281" i="11"/>
  <c r="C179" i="11"/>
  <c r="D77" i="11"/>
  <c r="H77" i="11"/>
  <c r="P78" i="11"/>
  <c r="J77" i="11"/>
  <c r="C77" i="11"/>
  <c r="B77" i="11"/>
  <c r="L282" i="11" l="1"/>
  <c r="L180" i="11"/>
  <c r="K180" i="11"/>
  <c r="K282" i="11"/>
  <c r="L78" i="11"/>
  <c r="K78" i="11"/>
  <c r="E180" i="11"/>
  <c r="E282" i="11"/>
  <c r="I78" i="11"/>
  <c r="D282" i="11"/>
  <c r="D180" i="11"/>
  <c r="H282" i="11"/>
  <c r="H180" i="11"/>
  <c r="B180" i="11"/>
  <c r="B282" i="11"/>
  <c r="E78" i="11"/>
  <c r="C282" i="11"/>
  <c r="C180" i="11"/>
  <c r="D78" i="11"/>
  <c r="H78" i="11"/>
  <c r="P79" i="11"/>
  <c r="J78" i="11"/>
  <c r="C78" i="11"/>
  <c r="B78" i="11"/>
  <c r="I79" i="11"/>
  <c r="L283" i="11" l="1"/>
  <c r="L181" i="11"/>
  <c r="K283" i="11"/>
  <c r="K181" i="11"/>
  <c r="L79" i="11"/>
  <c r="K79" i="11"/>
  <c r="E181" i="11"/>
  <c r="E283" i="11"/>
  <c r="D181" i="11"/>
  <c r="D283" i="11"/>
  <c r="H283" i="11"/>
  <c r="H181" i="11"/>
  <c r="B181" i="11"/>
  <c r="B283" i="11"/>
  <c r="E79" i="11"/>
  <c r="C283" i="11"/>
  <c r="C181" i="11"/>
  <c r="D79" i="11"/>
  <c r="H79" i="11"/>
  <c r="P80" i="11"/>
  <c r="I80" i="11" s="1"/>
  <c r="J79" i="11"/>
  <c r="C79" i="11"/>
  <c r="B79" i="11"/>
  <c r="L284" i="11" l="1"/>
  <c r="L182" i="11"/>
  <c r="K284" i="11"/>
  <c r="K182" i="11"/>
  <c r="L80" i="11"/>
  <c r="K80" i="11"/>
  <c r="E182" i="11"/>
  <c r="E284" i="11"/>
  <c r="D182" i="11"/>
  <c r="D284" i="11"/>
  <c r="H182" i="11"/>
  <c r="H284" i="11"/>
  <c r="B182" i="11"/>
  <c r="B284" i="11"/>
  <c r="E80" i="11"/>
  <c r="C284" i="11"/>
  <c r="C182" i="11"/>
  <c r="D80" i="11"/>
  <c r="H80" i="11"/>
  <c r="P81" i="11"/>
  <c r="J80" i="11"/>
  <c r="C80" i="11"/>
  <c r="B80" i="11"/>
  <c r="L285" i="11" l="1"/>
  <c r="L183" i="11"/>
  <c r="K183" i="11"/>
  <c r="K285" i="11"/>
  <c r="L81" i="11"/>
  <c r="K81" i="11"/>
  <c r="E183" i="11"/>
  <c r="E285" i="11"/>
  <c r="D183" i="11"/>
  <c r="D285" i="11"/>
  <c r="H285" i="11"/>
  <c r="H183" i="11"/>
  <c r="B183" i="11"/>
  <c r="B285" i="11"/>
  <c r="C285" i="11"/>
  <c r="C183" i="11"/>
  <c r="H81" i="11"/>
  <c r="E81" i="11"/>
  <c r="I81" i="11"/>
  <c r="D81" i="11"/>
  <c r="P82" i="11"/>
  <c r="J81" i="11"/>
  <c r="C81" i="11"/>
  <c r="B81" i="11"/>
  <c r="I82" i="11"/>
  <c r="L286" i="11" l="1"/>
  <c r="L184" i="11"/>
  <c r="K286" i="11"/>
  <c r="K184" i="11"/>
  <c r="L82" i="11"/>
  <c r="K82" i="11"/>
  <c r="E184" i="11"/>
  <c r="E286" i="11"/>
  <c r="D286" i="11"/>
  <c r="D184" i="11"/>
  <c r="H184" i="11"/>
  <c r="H286" i="11"/>
  <c r="B184" i="11"/>
  <c r="B286" i="11"/>
  <c r="E82" i="11"/>
  <c r="C184" i="11"/>
  <c r="C286" i="11"/>
  <c r="D82" i="11"/>
  <c r="H82" i="11"/>
  <c r="P83" i="11"/>
  <c r="J82" i="11"/>
  <c r="C82" i="11"/>
  <c r="B82" i="11"/>
  <c r="L185" i="11" l="1"/>
  <c r="L287" i="11"/>
  <c r="K287" i="11"/>
  <c r="K185" i="11"/>
  <c r="L83" i="11"/>
  <c r="K83" i="11"/>
  <c r="E185" i="11"/>
  <c r="E287" i="11"/>
  <c r="I83" i="11"/>
  <c r="D287" i="11"/>
  <c r="D185" i="11"/>
  <c r="H185" i="11"/>
  <c r="H287" i="11"/>
  <c r="B185" i="11"/>
  <c r="B287" i="11"/>
  <c r="E83" i="11"/>
  <c r="C185" i="11"/>
  <c r="C287" i="11"/>
  <c r="D83" i="11"/>
  <c r="H83" i="11"/>
  <c r="P84" i="11"/>
  <c r="I84" i="11" s="1"/>
  <c r="J83" i="11"/>
  <c r="C83" i="11"/>
  <c r="B83" i="11"/>
  <c r="L186" i="11" l="1"/>
  <c r="L288" i="11"/>
  <c r="K288" i="11"/>
  <c r="K186" i="11"/>
  <c r="L84" i="11"/>
  <c r="K84" i="11"/>
  <c r="E186" i="11"/>
  <c r="E288" i="11"/>
  <c r="D288" i="11"/>
  <c r="D186" i="11"/>
  <c r="H186" i="11"/>
  <c r="H288" i="11"/>
  <c r="B186" i="11"/>
  <c r="B288" i="11"/>
  <c r="E84" i="11"/>
  <c r="C186" i="11"/>
  <c r="C288" i="11"/>
  <c r="D84" i="11"/>
  <c r="H84" i="11"/>
  <c r="P85" i="11"/>
  <c r="J84" i="11"/>
  <c r="C84" i="11"/>
  <c r="B84" i="11"/>
  <c r="I85" i="11"/>
  <c r="L187" i="11" l="1"/>
  <c r="L289" i="11"/>
  <c r="K289" i="11"/>
  <c r="K187" i="11"/>
  <c r="L85" i="11"/>
  <c r="K85" i="11"/>
  <c r="E187" i="11"/>
  <c r="E289" i="11"/>
  <c r="D289" i="11"/>
  <c r="D187" i="11"/>
  <c r="H289" i="11"/>
  <c r="H187" i="11"/>
  <c r="B187" i="11"/>
  <c r="B289" i="11"/>
  <c r="E85" i="11"/>
  <c r="C289" i="11"/>
  <c r="C187" i="11"/>
  <c r="D85" i="11"/>
  <c r="H85" i="11"/>
  <c r="P86" i="11"/>
  <c r="J85" i="11"/>
  <c r="C85" i="11"/>
  <c r="B85" i="11"/>
  <c r="L188" i="11" l="1"/>
  <c r="L290" i="11"/>
  <c r="K290" i="11"/>
  <c r="K188" i="11"/>
  <c r="L86" i="11"/>
  <c r="K86" i="11"/>
  <c r="E188" i="11"/>
  <c r="E290" i="11"/>
  <c r="I86" i="11"/>
  <c r="D290" i="11"/>
  <c r="D188" i="11"/>
  <c r="H290" i="11"/>
  <c r="H188" i="11"/>
  <c r="B188" i="11"/>
  <c r="B290" i="11"/>
  <c r="E86" i="11"/>
  <c r="C290" i="11"/>
  <c r="C188" i="11"/>
  <c r="D86" i="11"/>
  <c r="H86" i="11"/>
  <c r="P87" i="11"/>
  <c r="J86" i="11"/>
  <c r="C86" i="11"/>
  <c r="B86" i="11"/>
  <c r="L291" i="11" l="1"/>
  <c r="L189" i="11"/>
  <c r="K189" i="11"/>
  <c r="K291" i="11"/>
  <c r="L87" i="11"/>
  <c r="K87" i="11"/>
  <c r="E189" i="11"/>
  <c r="E291" i="11"/>
  <c r="D291" i="11"/>
  <c r="D189" i="11"/>
  <c r="H291" i="11"/>
  <c r="H189" i="11"/>
  <c r="B189" i="11"/>
  <c r="B291" i="11"/>
  <c r="C291" i="11"/>
  <c r="C189" i="11"/>
  <c r="H87" i="11"/>
  <c r="E87" i="11"/>
  <c r="I87" i="11"/>
  <c r="D87" i="11"/>
  <c r="P88" i="11"/>
  <c r="I88" i="11" s="1"/>
  <c r="J87" i="11"/>
  <c r="C87" i="11"/>
  <c r="B87" i="11"/>
  <c r="L292" i="11" l="1"/>
  <c r="L190" i="11"/>
  <c r="K190" i="11"/>
  <c r="K292" i="11"/>
  <c r="L88" i="11"/>
  <c r="K88" i="11"/>
  <c r="E190" i="11"/>
  <c r="E292" i="11"/>
  <c r="D292" i="11"/>
  <c r="D190" i="11"/>
  <c r="H190" i="11"/>
  <c r="H292" i="11"/>
  <c r="B190" i="11"/>
  <c r="B292" i="11"/>
  <c r="E88" i="11"/>
  <c r="C292" i="11"/>
  <c r="C190" i="11"/>
  <c r="D88" i="11"/>
  <c r="H88" i="11"/>
  <c r="P89" i="11"/>
  <c r="J88" i="11"/>
  <c r="C88" i="11"/>
  <c r="B88" i="11"/>
  <c r="L191" i="11" l="1"/>
  <c r="L293" i="11"/>
  <c r="K191" i="11"/>
  <c r="K293" i="11"/>
  <c r="L89" i="11"/>
  <c r="K89" i="11"/>
  <c r="E191" i="11"/>
  <c r="E293" i="11"/>
  <c r="I89" i="11"/>
  <c r="D293" i="11"/>
  <c r="D191" i="11"/>
  <c r="H293" i="11"/>
  <c r="H191" i="11"/>
  <c r="B191" i="11"/>
  <c r="B293" i="11"/>
  <c r="E89" i="11"/>
  <c r="C293" i="11"/>
  <c r="C191" i="11"/>
  <c r="D89" i="11"/>
  <c r="H89" i="11"/>
  <c r="P90" i="11"/>
  <c r="J89" i="11"/>
  <c r="C89" i="11"/>
  <c r="B89" i="11"/>
  <c r="L294" i="11" l="1"/>
  <c r="L192" i="11"/>
  <c r="K192" i="11"/>
  <c r="K294" i="11"/>
  <c r="L90" i="11"/>
  <c r="K90" i="11"/>
  <c r="E192" i="11"/>
  <c r="E294" i="11"/>
  <c r="D294" i="11"/>
  <c r="D192" i="11"/>
  <c r="H192" i="11"/>
  <c r="H294" i="11"/>
  <c r="B192" i="11"/>
  <c r="B294" i="11"/>
  <c r="C192" i="11"/>
  <c r="C294" i="11"/>
  <c r="H90" i="11"/>
  <c r="E90" i="11"/>
  <c r="I90" i="11"/>
  <c r="D90" i="11"/>
  <c r="P91" i="11"/>
  <c r="I91" i="11" s="1"/>
  <c r="J90" i="11"/>
  <c r="C90" i="11"/>
  <c r="B90" i="11"/>
  <c r="L193" i="11" l="1"/>
  <c r="L295" i="11"/>
  <c r="K295" i="11"/>
  <c r="K193" i="11"/>
  <c r="L91" i="11"/>
  <c r="K91" i="11"/>
  <c r="E193" i="11"/>
  <c r="E295" i="11"/>
  <c r="D193" i="11"/>
  <c r="D295" i="11"/>
  <c r="H193" i="11"/>
  <c r="H295" i="11"/>
  <c r="B193" i="11"/>
  <c r="B295" i="11"/>
  <c r="E91" i="11"/>
  <c r="C193" i="11"/>
  <c r="C295" i="11"/>
  <c r="D91" i="11"/>
  <c r="H91" i="11"/>
  <c r="P92" i="11"/>
  <c r="J91" i="11"/>
  <c r="C91" i="11"/>
  <c r="B91" i="11"/>
  <c r="L296" i="11" l="1"/>
  <c r="L194" i="11"/>
  <c r="K194" i="11"/>
  <c r="K296" i="11"/>
  <c r="L92" i="11"/>
  <c r="K92" i="11"/>
  <c r="E194" i="11"/>
  <c r="E296" i="11"/>
  <c r="D296" i="11"/>
  <c r="D194" i="11"/>
  <c r="H194" i="11"/>
  <c r="H296" i="11"/>
  <c r="B194" i="11"/>
  <c r="B296" i="11"/>
  <c r="C194" i="11"/>
  <c r="C296" i="11"/>
  <c r="H92" i="11"/>
  <c r="E92" i="11"/>
  <c r="I92" i="11"/>
  <c r="D92" i="11"/>
  <c r="P93" i="11"/>
  <c r="J92" i="11"/>
  <c r="C92" i="11"/>
  <c r="B92" i="11"/>
  <c r="L297" i="11" l="1"/>
  <c r="L195" i="11"/>
  <c r="K297" i="11"/>
  <c r="K195" i="11"/>
  <c r="L93" i="11"/>
  <c r="K93" i="11"/>
  <c r="E195" i="11"/>
  <c r="E297" i="11"/>
  <c r="D195" i="11"/>
  <c r="D297" i="11"/>
  <c r="H297" i="11"/>
  <c r="H195" i="11"/>
  <c r="B195" i="11"/>
  <c r="B297" i="11"/>
  <c r="C297" i="11"/>
  <c r="C195" i="11"/>
  <c r="H93" i="11"/>
  <c r="E93" i="11"/>
  <c r="I93" i="11"/>
  <c r="D93" i="11"/>
  <c r="P94" i="11"/>
  <c r="J93" i="11"/>
  <c r="C93" i="11"/>
  <c r="B93" i="11"/>
  <c r="I94" i="11"/>
  <c r="L298" i="11" l="1"/>
  <c r="L196" i="11"/>
  <c r="K298" i="11"/>
  <c r="K196" i="11"/>
  <c r="L94" i="11"/>
  <c r="K94" i="11"/>
  <c r="E196" i="11"/>
  <c r="E298" i="11"/>
  <c r="D298" i="11"/>
  <c r="D196" i="11"/>
  <c r="H298" i="11"/>
  <c r="H196" i="11"/>
  <c r="B196" i="11"/>
  <c r="B298" i="11"/>
  <c r="E94" i="11"/>
  <c r="C298" i="11"/>
  <c r="C196" i="11"/>
  <c r="D94" i="11"/>
  <c r="H94" i="11"/>
  <c r="P95" i="11"/>
  <c r="J94" i="11"/>
  <c r="C94" i="11"/>
  <c r="B94" i="11"/>
  <c r="I95" i="11"/>
  <c r="L299" i="11" l="1"/>
  <c r="L197" i="11"/>
  <c r="K299" i="11"/>
  <c r="K197" i="11"/>
  <c r="L95" i="11"/>
  <c r="K95" i="11"/>
  <c r="E197" i="11"/>
  <c r="E299" i="11"/>
  <c r="D299" i="11"/>
  <c r="D197" i="11"/>
  <c r="H299" i="11"/>
  <c r="H197" i="11"/>
  <c r="B197" i="11"/>
  <c r="B299" i="11"/>
  <c r="E95" i="11"/>
  <c r="C299" i="11"/>
  <c r="C197" i="11"/>
  <c r="D95" i="11"/>
  <c r="H95" i="11"/>
  <c r="P96" i="11"/>
  <c r="J95" i="11"/>
  <c r="C95" i="11"/>
  <c r="B95" i="11"/>
  <c r="L300" i="11" l="1"/>
  <c r="L198" i="11"/>
  <c r="K300" i="11"/>
  <c r="K198" i="11"/>
  <c r="L96" i="11"/>
  <c r="K96" i="11"/>
  <c r="E198" i="11"/>
  <c r="E300" i="11"/>
  <c r="I96" i="11"/>
  <c r="D198" i="11"/>
  <c r="D300" i="11"/>
  <c r="H198" i="11"/>
  <c r="H300" i="11"/>
  <c r="B198" i="11"/>
  <c r="B300" i="11"/>
  <c r="E96" i="11"/>
  <c r="C300" i="11"/>
  <c r="C198" i="11"/>
  <c r="D96" i="11"/>
  <c r="H96" i="11"/>
  <c r="P97" i="11"/>
  <c r="J96" i="11"/>
  <c r="C96" i="11"/>
  <c r="B96" i="11"/>
  <c r="I97" i="11"/>
  <c r="L301" i="11" l="1"/>
  <c r="L199" i="11"/>
  <c r="K199" i="11"/>
  <c r="K301" i="11"/>
  <c r="L97" i="11"/>
  <c r="K97" i="11"/>
  <c r="E199" i="11"/>
  <c r="E301" i="11"/>
  <c r="D199" i="11"/>
  <c r="D301" i="11"/>
  <c r="H301" i="11"/>
  <c r="H199" i="11"/>
  <c r="B199" i="11"/>
  <c r="B301" i="11"/>
  <c r="E97" i="11"/>
  <c r="C301" i="11"/>
  <c r="C199" i="11"/>
  <c r="D97" i="11"/>
  <c r="H97" i="11"/>
  <c r="P98" i="11"/>
  <c r="J97" i="11"/>
  <c r="C97" i="11"/>
  <c r="B97" i="11"/>
  <c r="L302" i="11" l="1"/>
  <c r="L200" i="11"/>
  <c r="K302" i="11"/>
  <c r="K200" i="11"/>
  <c r="L98" i="11"/>
  <c r="K98" i="11"/>
  <c r="E200" i="11"/>
  <c r="E302" i="11"/>
  <c r="D200" i="11"/>
  <c r="D302" i="11"/>
  <c r="H200" i="11"/>
  <c r="H302" i="11"/>
  <c r="B200" i="11"/>
  <c r="B302" i="11"/>
  <c r="C200" i="11"/>
  <c r="C302" i="11"/>
  <c r="H98" i="11"/>
  <c r="E98" i="11"/>
  <c r="I98" i="11"/>
  <c r="D98" i="11"/>
  <c r="P99" i="11"/>
  <c r="J98" i="11"/>
  <c r="C98" i="11"/>
  <c r="B98" i="11"/>
  <c r="L201" i="11" l="1"/>
  <c r="L303" i="11"/>
  <c r="K303" i="11"/>
  <c r="K201" i="11"/>
  <c r="L99" i="11"/>
  <c r="K99" i="11"/>
  <c r="E201" i="11"/>
  <c r="E303" i="11"/>
  <c r="D201" i="11"/>
  <c r="D303" i="11"/>
  <c r="H201" i="11"/>
  <c r="H303" i="11"/>
  <c r="B201" i="11"/>
  <c r="B303" i="11"/>
  <c r="C201" i="11"/>
  <c r="C303" i="11"/>
  <c r="H99" i="11"/>
  <c r="E99" i="11"/>
  <c r="I99" i="11"/>
  <c r="D99" i="11"/>
  <c r="P100" i="11"/>
  <c r="J99" i="11"/>
  <c r="C99" i="11"/>
  <c r="B99" i="11"/>
  <c r="I100" i="11"/>
  <c r="L202" i="11" l="1"/>
  <c r="L304" i="11"/>
  <c r="K304" i="11"/>
  <c r="K202" i="11"/>
  <c r="L100" i="11"/>
  <c r="K100" i="11"/>
  <c r="E202" i="11"/>
  <c r="E304" i="11"/>
  <c r="D304" i="11"/>
  <c r="D202" i="11"/>
  <c r="H202" i="11"/>
  <c r="H304" i="11"/>
  <c r="B202" i="11"/>
  <c r="B304" i="11"/>
  <c r="E100" i="11"/>
  <c r="C202" i="11"/>
  <c r="C304" i="11"/>
  <c r="D100" i="11"/>
  <c r="H100" i="11"/>
  <c r="P101" i="11"/>
  <c r="J100" i="11"/>
  <c r="C100" i="11"/>
  <c r="B100" i="11"/>
  <c r="L203" i="11" l="1"/>
  <c r="L305" i="11"/>
  <c r="K305" i="11"/>
  <c r="K203" i="11"/>
  <c r="L101" i="11"/>
  <c r="K101" i="11"/>
  <c r="E203" i="11"/>
  <c r="E305" i="11"/>
  <c r="D203" i="11"/>
  <c r="D305" i="11"/>
  <c r="H305" i="11"/>
  <c r="H203" i="11"/>
  <c r="B203" i="11"/>
  <c r="B305" i="11"/>
  <c r="C305" i="11"/>
  <c r="C203" i="11"/>
  <c r="H101" i="11"/>
  <c r="E101" i="11"/>
  <c r="I101" i="11"/>
  <c r="D101" i="11"/>
  <c r="P102" i="11"/>
  <c r="J101" i="11"/>
  <c r="C101" i="11"/>
  <c r="B101" i="11"/>
  <c r="I102" i="11"/>
  <c r="L204" i="11" l="1"/>
  <c r="L306" i="11"/>
  <c r="K306" i="11"/>
  <c r="K204" i="11"/>
  <c r="L102" i="11"/>
  <c r="K102" i="11"/>
  <c r="E204" i="11"/>
  <c r="E306" i="11"/>
  <c r="D306" i="11"/>
  <c r="D204" i="11"/>
  <c r="H306" i="11"/>
  <c r="H204" i="11"/>
  <c r="B204" i="11"/>
  <c r="B306" i="11"/>
  <c r="E102" i="11"/>
  <c r="C306" i="11"/>
  <c r="C204" i="11"/>
  <c r="D102" i="11"/>
  <c r="H102" i="11"/>
  <c r="P103" i="11"/>
  <c r="J102" i="11"/>
  <c r="C102" i="11"/>
  <c r="B102" i="11"/>
  <c r="L307" i="11" l="1"/>
  <c r="L205" i="11"/>
  <c r="K205" i="11"/>
  <c r="K307" i="11"/>
  <c r="L103" i="11"/>
  <c r="K103" i="11"/>
  <c r="E205" i="11"/>
  <c r="E307" i="11"/>
  <c r="D307" i="11"/>
  <c r="D205" i="11"/>
  <c r="H205" i="11"/>
  <c r="H307" i="11"/>
  <c r="B205" i="11"/>
  <c r="B307" i="11"/>
  <c r="C307" i="11"/>
  <c r="C205" i="11"/>
  <c r="H103" i="11"/>
  <c r="E103" i="11"/>
  <c r="I103" i="11"/>
  <c r="D103" i="11"/>
  <c r="P104" i="11"/>
  <c r="J103" i="11"/>
  <c r="C103" i="11"/>
  <c r="B103" i="11"/>
  <c r="L308" i="11" l="1"/>
  <c r="L206" i="11"/>
  <c r="K206" i="11"/>
  <c r="K308" i="11"/>
  <c r="L104" i="11"/>
  <c r="K104" i="11"/>
  <c r="E206" i="11"/>
  <c r="E308" i="11"/>
  <c r="D206" i="11"/>
  <c r="D308" i="11"/>
  <c r="H206" i="11"/>
  <c r="H308" i="11"/>
  <c r="B206" i="11"/>
  <c r="B308" i="11"/>
  <c r="C308" i="11"/>
  <c r="C206" i="11"/>
  <c r="H104" i="11"/>
  <c r="E104" i="11"/>
  <c r="I104" i="11"/>
  <c r="D104" i="11"/>
  <c r="P105" i="11"/>
  <c r="J104" i="11"/>
  <c r="C104" i="11"/>
  <c r="B104" i="11"/>
  <c r="L207" i="11" l="1"/>
  <c r="L309" i="11"/>
  <c r="K207" i="11"/>
  <c r="K309" i="11"/>
  <c r="L105" i="11"/>
  <c r="K105" i="11"/>
  <c r="E207" i="11"/>
  <c r="E309" i="11"/>
  <c r="D309" i="11"/>
  <c r="D207" i="11"/>
  <c r="H309" i="11"/>
  <c r="H207" i="11"/>
  <c r="B207" i="11"/>
  <c r="B309" i="11"/>
  <c r="C309" i="11"/>
  <c r="C207" i="11"/>
  <c r="H105" i="11"/>
  <c r="E105" i="11"/>
  <c r="I105" i="11"/>
  <c r="D105" i="11"/>
  <c r="P106" i="11"/>
  <c r="J105" i="11"/>
  <c r="C105" i="11"/>
  <c r="B105" i="11"/>
  <c r="L310" i="11" l="1"/>
  <c r="L208" i="11"/>
  <c r="K208" i="11"/>
  <c r="K310" i="11"/>
  <c r="L106" i="11"/>
  <c r="K106" i="11"/>
  <c r="E208" i="11"/>
  <c r="E310" i="11"/>
  <c r="D208" i="11"/>
  <c r="D310" i="11"/>
  <c r="H208" i="11"/>
  <c r="H310" i="11"/>
  <c r="B208" i="11"/>
  <c r="B310" i="11"/>
  <c r="E106" i="11"/>
  <c r="C208" i="11"/>
  <c r="C310" i="11"/>
  <c r="I106" i="11"/>
  <c r="D106" i="11"/>
  <c r="H106" i="11"/>
  <c r="P107" i="11"/>
  <c r="J106" i="11"/>
  <c r="C106" i="11"/>
  <c r="B106" i="11"/>
  <c r="L209" i="11" l="1"/>
  <c r="L311" i="11"/>
  <c r="K311" i="11"/>
  <c r="K209" i="11"/>
  <c r="L107" i="11"/>
  <c r="K107" i="11"/>
  <c r="E209" i="11"/>
  <c r="E311" i="11"/>
  <c r="D311" i="11"/>
  <c r="D209" i="11"/>
  <c r="H209" i="11"/>
  <c r="H311" i="11"/>
  <c r="B209" i="11"/>
  <c r="B311" i="11"/>
  <c r="C209" i="11"/>
  <c r="C311" i="11"/>
  <c r="H107" i="11"/>
  <c r="E107" i="11"/>
  <c r="I107" i="11"/>
  <c r="D107" i="11"/>
  <c r="P108" i="11"/>
  <c r="J107" i="11"/>
  <c r="C107" i="11"/>
  <c r="B107" i="11"/>
  <c r="I108" i="11"/>
  <c r="L312" i="11" l="1"/>
  <c r="L210" i="11"/>
  <c r="K312" i="11"/>
  <c r="K210" i="11"/>
  <c r="L108" i="11"/>
  <c r="K108" i="11"/>
  <c r="E210" i="11"/>
  <c r="E312" i="11"/>
  <c r="D312" i="11"/>
  <c r="D210" i="11"/>
  <c r="H210" i="11"/>
  <c r="H312" i="11"/>
  <c r="B210" i="11"/>
  <c r="B312" i="11"/>
  <c r="E108" i="11"/>
  <c r="C210" i="11"/>
  <c r="C312" i="11"/>
  <c r="D108" i="11"/>
  <c r="H108" i="11"/>
  <c r="P109" i="11"/>
  <c r="J108" i="11"/>
  <c r="C108" i="11"/>
  <c r="B108" i="11"/>
  <c r="L313" i="11" l="1"/>
  <c r="L211" i="11"/>
  <c r="K313" i="11"/>
  <c r="K211" i="11"/>
  <c r="L109" i="11"/>
  <c r="K109" i="11"/>
  <c r="E211" i="11"/>
  <c r="E313" i="11"/>
  <c r="D211" i="11"/>
  <c r="D313" i="11"/>
  <c r="H313" i="11"/>
  <c r="H211" i="11"/>
  <c r="B211" i="11"/>
  <c r="B313" i="11"/>
  <c r="I109" i="11"/>
  <c r="C313" i="11"/>
  <c r="C211" i="11"/>
  <c r="H109" i="11"/>
  <c r="E109" i="11"/>
  <c r="J109" i="11"/>
  <c r="D109" i="11"/>
  <c r="C109" i="11"/>
  <c r="B109" i="11"/>
  <c r="C130" i="6" l="1"/>
  <c r="D130" i="6" s="1"/>
  <c r="D126" i="6" s="1"/>
  <c r="D99" i="6" l="1"/>
  <c r="E126" i="6"/>
  <c r="E99" i="6" s="1"/>
  <c r="D98" i="6" l="1"/>
  <c r="C53" i="1"/>
  <c r="E53" i="1"/>
  <c r="E5" i="1"/>
  <c r="E4" i="1"/>
  <c r="F4" i="1"/>
  <c r="G4" i="1"/>
  <c r="C44" i="1" l="1"/>
  <c r="C49" i="1"/>
  <c r="C51" i="1" s="1"/>
  <c r="D4" i="10"/>
  <c r="C43" i="1"/>
  <c r="I4" i="1"/>
  <c r="H4" i="1"/>
  <c r="J4" i="1"/>
  <c r="D4" i="7" l="1"/>
  <c r="D4" i="2"/>
  <c r="C50" i="1"/>
  <c r="E3" i="10"/>
  <c r="D5" i="10"/>
  <c r="D6" i="10" s="1"/>
  <c r="D6" i="7" s="1"/>
  <c r="A4" i="10"/>
  <c r="E3" i="7" l="1"/>
  <c r="E3" i="2"/>
  <c r="E4" i="10"/>
  <c r="F3" i="10"/>
  <c r="F2" i="10" s="1"/>
  <c r="F2" i="7" s="1"/>
  <c r="E2" i="10"/>
  <c r="E2" i="2" s="1"/>
  <c r="A5" i="10"/>
  <c r="A6" i="10"/>
  <c r="A6" i="2" s="1"/>
  <c r="D5" i="2"/>
  <c r="D5" i="7"/>
  <c r="A4" i="2"/>
  <c r="A4" i="7"/>
  <c r="D7" i="10"/>
  <c r="D7" i="2" s="1"/>
  <c r="D6" i="2"/>
  <c r="E4" i="2" l="1"/>
  <c r="F3" i="7"/>
  <c r="G3" i="10"/>
  <c r="F3" i="2"/>
  <c r="E2" i="7"/>
  <c r="D7" i="7"/>
  <c r="A5" i="7"/>
  <c r="A5" i="2"/>
  <c r="A6" i="7"/>
  <c r="D8" i="10"/>
  <c r="D8" i="2" s="1"/>
  <c r="A7" i="10"/>
  <c r="F2" i="2"/>
  <c r="H3" i="10" l="1"/>
  <c r="I3" i="10" s="1"/>
  <c r="J3" i="10" s="1"/>
  <c r="K3" i="10" s="1"/>
  <c r="L3" i="10" s="1"/>
  <c r="M3" i="10" s="1"/>
  <c r="N3" i="10" s="1"/>
  <c r="G3" i="7"/>
  <c r="G2" i="10"/>
  <c r="G2" i="2" s="1"/>
  <c r="G3" i="2"/>
  <c r="A8" i="10"/>
  <c r="A8" i="7" s="1"/>
  <c r="A7" i="7"/>
  <c r="A7" i="2"/>
  <c r="D9" i="10"/>
  <c r="A9" i="10" s="1"/>
  <c r="A9" i="2" s="1"/>
  <c r="D8" i="7"/>
  <c r="I3" i="7" l="1"/>
  <c r="I2" i="10"/>
  <c r="I2" i="2" s="1"/>
  <c r="O3" i="10"/>
  <c r="J2" i="10"/>
  <c r="J2" i="2" s="1"/>
  <c r="H2" i="10"/>
  <c r="H2" i="2" s="1"/>
  <c r="H3" i="2"/>
  <c r="I3" i="2"/>
  <c r="H3" i="7"/>
  <c r="G2" i="7"/>
  <c r="A8" i="2"/>
  <c r="D9" i="2"/>
  <c r="D10" i="10"/>
  <c r="D10" i="2" s="1"/>
  <c r="D9" i="7"/>
  <c r="A9" i="7"/>
  <c r="J3" i="7"/>
  <c r="J3" i="2"/>
  <c r="K3" i="2"/>
  <c r="K2" i="10"/>
  <c r="K2" i="7" s="1"/>
  <c r="K3" i="7"/>
  <c r="L3" i="2"/>
  <c r="L3" i="7"/>
  <c r="L2" i="10"/>
  <c r="I2" i="7" l="1"/>
  <c r="J2" i="7"/>
  <c r="P3" i="10"/>
  <c r="H2" i="7"/>
  <c r="D10" i="7"/>
  <c r="D11" i="10"/>
  <c r="D12" i="10" s="1"/>
  <c r="D13" i="10" s="1"/>
  <c r="D14" i="10" s="1"/>
  <c r="D15" i="10" s="1"/>
  <c r="D16" i="10" s="1"/>
  <c r="D17" i="10" s="1"/>
  <c r="D18" i="10" s="1"/>
  <c r="D19" i="10" s="1"/>
  <c r="D20" i="10" s="1"/>
  <c r="D21" i="10" s="1"/>
  <c r="D22" i="10" s="1"/>
  <c r="D23" i="10" s="1"/>
  <c r="D24" i="10" s="1"/>
  <c r="D25" i="10" s="1"/>
  <c r="D26" i="10" s="1"/>
  <c r="D27" i="10" s="1"/>
  <c r="D28" i="10" s="1"/>
  <c r="D29" i="10" s="1"/>
  <c r="D30" i="10" s="1"/>
  <c r="D31" i="10" s="1"/>
  <c r="D32" i="10" s="1"/>
  <c r="D33" i="10" s="1"/>
  <c r="D34" i="10" s="1"/>
  <c r="D35" i="10" s="1"/>
  <c r="D36" i="10" s="1"/>
  <c r="D37" i="10" s="1"/>
  <c r="D38" i="10" s="1"/>
  <c r="D39" i="10" s="1"/>
  <c r="D40" i="10" s="1"/>
  <c r="D41" i="10" s="1"/>
  <c r="D42" i="10" s="1"/>
  <c r="D43" i="10" s="1"/>
  <c r="D44" i="10" s="1"/>
  <c r="D45" i="10" s="1"/>
  <c r="D46" i="10" s="1"/>
  <c r="D47" i="10" s="1"/>
  <c r="D48" i="10" s="1"/>
  <c r="D49" i="10" s="1"/>
  <c r="D50" i="10" s="1"/>
  <c r="D51" i="10" s="1"/>
  <c r="D52" i="10" s="1"/>
  <c r="D53" i="10" s="1"/>
  <c r="D54" i="10" s="1"/>
  <c r="D55" i="10" s="1"/>
  <c r="D56" i="10" s="1"/>
  <c r="D57" i="10" s="1"/>
  <c r="D58" i="10" s="1"/>
  <c r="D59" i="10" s="1"/>
  <c r="D60" i="10" s="1"/>
  <c r="D61" i="10" s="1"/>
  <c r="D62" i="10" s="1"/>
  <c r="D63" i="10" s="1"/>
  <c r="D64" i="10" s="1"/>
  <c r="D65" i="10" s="1"/>
  <c r="D66" i="10" s="1"/>
  <c r="D67" i="10" s="1"/>
  <c r="D68" i="10" s="1"/>
  <c r="D69" i="10" s="1"/>
  <c r="D70" i="10" s="1"/>
  <c r="D71" i="10" s="1"/>
  <c r="D72" i="10" s="1"/>
  <c r="D73" i="10" s="1"/>
  <c r="D74" i="10" s="1"/>
  <c r="D75" i="10" s="1"/>
  <c r="D76" i="10" s="1"/>
  <c r="D77" i="10" s="1"/>
  <c r="D78" i="10" s="1"/>
  <c r="D79" i="10" s="1"/>
  <c r="D80" i="10" s="1"/>
  <c r="D81" i="10" s="1"/>
  <c r="D82" i="10" s="1"/>
  <c r="D83" i="10" s="1"/>
  <c r="D84" i="10" s="1"/>
  <c r="D85" i="10" s="1"/>
  <c r="D86" i="10" s="1"/>
  <c r="D87" i="10" s="1"/>
  <c r="D88" i="10" s="1"/>
  <c r="D89" i="10" s="1"/>
  <c r="D90" i="10" s="1"/>
  <c r="D91" i="10" s="1"/>
  <c r="D92" i="10" s="1"/>
  <c r="D93" i="10" s="1"/>
  <c r="D94" i="10" s="1"/>
  <c r="D95" i="10" s="1"/>
  <c r="D96" i="10" s="1"/>
  <c r="D97" i="10" s="1"/>
  <c r="D98" i="10" s="1"/>
  <c r="D99" i="10" s="1"/>
  <c r="D100" i="10" s="1"/>
  <c r="D101" i="10" s="1"/>
  <c r="D102" i="10" s="1"/>
  <c r="D103" i="10" s="1"/>
  <c r="D104" i="10" s="1"/>
  <c r="D105" i="10" s="1"/>
  <c r="A10" i="10"/>
  <c r="K2" i="2"/>
  <c r="M3" i="2"/>
  <c r="M3" i="7"/>
  <c r="M2" i="10"/>
  <c r="L2" i="7"/>
  <c r="L2" i="2"/>
  <c r="Q3" i="10" l="1"/>
  <c r="A11" i="10"/>
  <c r="A11" i="7" s="1"/>
  <c r="A12" i="10"/>
  <c r="A12" i="7" s="1"/>
  <c r="D12" i="2"/>
  <c r="D12" i="7"/>
  <c r="D11" i="7"/>
  <c r="D11" i="2"/>
  <c r="A10" i="2"/>
  <c r="A10" i="7"/>
  <c r="D13" i="7"/>
  <c r="D13" i="2"/>
  <c r="A13" i="10"/>
  <c r="M2" i="7"/>
  <c r="M2" i="2"/>
  <c r="N3" i="7"/>
  <c r="N3" i="2"/>
  <c r="N2" i="10"/>
  <c r="R3" i="10" l="1"/>
  <c r="A12" i="2"/>
  <c r="A11" i="2"/>
  <c r="N2" i="2"/>
  <c r="N2" i="7"/>
  <c r="A13" i="7"/>
  <c r="A13" i="2"/>
  <c r="O3" i="2"/>
  <c r="O3" i="7"/>
  <c r="O2" i="10"/>
  <c r="A14" i="10"/>
  <c r="D14" i="2"/>
  <c r="D14" i="7"/>
  <c r="S3" i="10" l="1"/>
  <c r="D15" i="2"/>
  <c r="D15" i="7"/>
  <c r="A15" i="10"/>
  <c r="P3" i="2"/>
  <c r="P3" i="7"/>
  <c r="P2" i="10"/>
  <c r="O2" i="2"/>
  <c r="O2" i="7"/>
  <c r="A14" i="2"/>
  <c r="A14" i="7"/>
  <c r="T3" i="10" l="1"/>
  <c r="P2" i="7"/>
  <c r="P2" i="2"/>
  <c r="A15" i="7"/>
  <c r="A15" i="2"/>
  <c r="Q3" i="7"/>
  <c r="Q3" i="2"/>
  <c r="Q2" i="10"/>
  <c r="D16" i="2"/>
  <c r="A16" i="10"/>
  <c r="D16" i="7"/>
  <c r="U3" i="10" l="1"/>
  <c r="A16" i="7"/>
  <c r="A16" i="2"/>
  <c r="D17" i="2"/>
  <c r="A17" i="10"/>
  <c r="D17" i="7"/>
  <c r="R3" i="7"/>
  <c r="R3" i="2"/>
  <c r="R2" i="10"/>
  <c r="Q2" i="7"/>
  <c r="Q2" i="2"/>
  <c r="V3" i="10" l="1"/>
  <c r="S3" i="2"/>
  <c r="S3" i="7"/>
  <c r="S2" i="10"/>
  <c r="A17" i="7"/>
  <c r="A17" i="2"/>
  <c r="R2" i="7"/>
  <c r="R2" i="2"/>
  <c r="D18" i="7"/>
  <c r="A18" i="10"/>
  <c r="D18" i="2"/>
  <c r="W3" i="10" l="1"/>
  <c r="A18" i="7"/>
  <c r="A18" i="2"/>
  <c r="S2" i="7"/>
  <c r="S2" i="2"/>
  <c r="D19" i="7"/>
  <c r="A19" i="10"/>
  <c r="D19" i="2"/>
  <c r="T3" i="7"/>
  <c r="T3" i="2"/>
  <c r="T2" i="10"/>
  <c r="X3" i="10" l="1"/>
  <c r="T2" i="7"/>
  <c r="T2" i="2"/>
  <c r="D20" i="2"/>
  <c r="D20" i="7"/>
  <c r="A20" i="10"/>
  <c r="A19" i="2"/>
  <c r="A19" i="7"/>
  <c r="U3" i="2"/>
  <c r="U3" i="7"/>
  <c r="U2" i="10"/>
  <c r="Y3" i="10" l="1"/>
  <c r="V3" i="2"/>
  <c r="V3" i="7"/>
  <c r="V2" i="10"/>
  <c r="A21" i="10"/>
  <c r="D21" i="7"/>
  <c r="D21" i="2"/>
  <c r="U2" i="7"/>
  <c r="U2" i="2"/>
  <c r="A20" i="7"/>
  <c r="A20" i="2"/>
  <c r="Z3" i="10" l="1"/>
  <c r="V2" i="2"/>
  <c r="V2" i="7"/>
  <c r="A21" i="7"/>
  <c r="A21" i="2"/>
  <c r="D22" i="7"/>
  <c r="A22" i="10"/>
  <c r="D22" i="2"/>
  <c r="W3" i="7"/>
  <c r="W3" i="2"/>
  <c r="W2" i="10"/>
  <c r="AA3" i="10" l="1"/>
  <c r="X3" i="7"/>
  <c r="X3" i="2"/>
  <c r="X2" i="10"/>
  <c r="A22" i="7"/>
  <c r="A22" i="2"/>
  <c r="W2" i="7"/>
  <c r="W2" i="2"/>
  <c r="D23" i="2"/>
  <c r="A23" i="10"/>
  <c r="D23" i="7"/>
  <c r="AB3" i="10" l="1"/>
  <c r="A23" i="7"/>
  <c r="A23" i="2"/>
  <c r="X2" i="7"/>
  <c r="X2" i="2"/>
  <c r="D24" i="2"/>
  <c r="D24" i="7"/>
  <c r="A24" i="10"/>
  <c r="Y3" i="7"/>
  <c r="Y3" i="2"/>
  <c r="Y2" i="10"/>
  <c r="AC3" i="10" l="1"/>
  <c r="Z3" i="2"/>
  <c r="Z3" i="7"/>
  <c r="Z2" i="10"/>
  <c r="D25" i="2"/>
  <c r="D25" i="7"/>
  <c r="A25" i="10"/>
  <c r="Y2" i="7"/>
  <c r="Y2" i="2"/>
  <c r="A24" i="2"/>
  <c r="A24" i="7"/>
  <c r="AD3" i="10" l="1"/>
  <c r="D26" i="2"/>
  <c r="D26" i="7"/>
  <c r="A26" i="10"/>
  <c r="AA3" i="2"/>
  <c r="AA3" i="7"/>
  <c r="AA2" i="10"/>
  <c r="A25" i="7"/>
  <c r="A25" i="2"/>
  <c r="Z2" i="7"/>
  <c r="Z2" i="2"/>
  <c r="AE3" i="10" l="1"/>
  <c r="AA2" i="7"/>
  <c r="AA2" i="2"/>
  <c r="D27" i="2"/>
  <c r="A27" i="10"/>
  <c r="D27" i="7"/>
  <c r="A26" i="7"/>
  <c r="A26" i="2"/>
  <c r="AB3" i="2"/>
  <c r="AB2" i="10"/>
  <c r="AB3" i="7"/>
  <c r="AF3" i="10" l="1"/>
  <c r="AC3" i="7"/>
  <c r="AC3" i="2"/>
  <c r="AC2" i="10"/>
  <c r="A28" i="10"/>
  <c r="D28" i="2"/>
  <c r="D28" i="7"/>
  <c r="AB2" i="2"/>
  <c r="AB2" i="7"/>
  <c r="A27" i="7"/>
  <c r="A27" i="2"/>
  <c r="AG3" i="10" l="1"/>
  <c r="AD3" i="2"/>
  <c r="AD2" i="10"/>
  <c r="AD3" i="7"/>
  <c r="A28" i="2"/>
  <c r="A28" i="7"/>
  <c r="AC2" i="7"/>
  <c r="AC2" i="2"/>
  <c r="D29" i="7"/>
  <c r="D29" i="2"/>
  <c r="A29" i="10"/>
  <c r="AH3" i="10" l="1"/>
  <c r="A29" i="7"/>
  <c r="A29" i="2"/>
  <c r="AD2" i="2"/>
  <c r="AD2" i="7"/>
  <c r="D30" i="2"/>
  <c r="A30" i="10"/>
  <c r="D30" i="7"/>
  <c r="AE2" i="10"/>
  <c r="AE3" i="7"/>
  <c r="AE3" i="2"/>
  <c r="AI3" i="10" l="1"/>
  <c r="AE2" i="2"/>
  <c r="AE2" i="7"/>
  <c r="AF2" i="10"/>
  <c r="AF3" i="2"/>
  <c r="AF3" i="7"/>
  <c r="A30" i="2"/>
  <c r="A30" i="7"/>
  <c r="A31" i="10"/>
  <c r="D31" i="2"/>
  <c r="D31" i="7"/>
  <c r="AJ3" i="10" l="1"/>
  <c r="AF2" i="7"/>
  <c r="AF2" i="2"/>
  <c r="AG3" i="2"/>
  <c r="AG2" i="10"/>
  <c r="AG3" i="7"/>
  <c r="A31" i="7"/>
  <c r="A31" i="2"/>
  <c r="D32" i="2"/>
  <c r="A32" i="10"/>
  <c r="D32" i="7"/>
  <c r="AK3" i="10" l="1"/>
  <c r="A32" i="2"/>
  <c r="A32" i="7"/>
  <c r="AH2" i="10"/>
  <c r="AH3" i="7"/>
  <c r="AH3" i="2"/>
  <c r="D33" i="7"/>
  <c r="D33" i="2"/>
  <c r="A33" i="10"/>
  <c r="AG2" i="7"/>
  <c r="AG2" i="2"/>
  <c r="AL3" i="10" l="1"/>
  <c r="AH2" i="7"/>
  <c r="AH2" i="2"/>
  <c r="D34" i="7"/>
  <c r="A34" i="10"/>
  <c r="D34" i="2"/>
  <c r="AI3" i="7"/>
  <c r="AI2" i="10"/>
  <c r="AI3" i="2"/>
  <c r="A33" i="7"/>
  <c r="A33" i="2"/>
  <c r="AM3" i="10" l="1"/>
  <c r="AI2" i="7"/>
  <c r="AI2" i="2"/>
  <c r="D35" i="7"/>
  <c r="A35" i="10"/>
  <c r="D35" i="2"/>
  <c r="AJ3" i="2"/>
  <c r="AJ2" i="10"/>
  <c r="AJ3" i="7"/>
  <c r="A34" i="2"/>
  <c r="A34" i="7"/>
  <c r="AN3" i="10" l="1"/>
  <c r="AJ2" i="2"/>
  <c r="AJ2" i="7"/>
  <c r="A36" i="10"/>
  <c r="D36" i="7"/>
  <c r="D36" i="2"/>
  <c r="AK3" i="7"/>
  <c r="AK2" i="10"/>
  <c r="AK3" i="2"/>
  <c r="A35" i="2"/>
  <c r="A35" i="7"/>
  <c r="AO3" i="10" l="1"/>
  <c r="A36" i="7"/>
  <c r="A36" i="2"/>
  <c r="AK2" i="2"/>
  <c r="AK2" i="7"/>
  <c r="D37" i="2"/>
  <c r="A37" i="10"/>
  <c r="D37" i="7"/>
  <c r="AL3" i="7"/>
  <c r="AL3" i="2"/>
  <c r="AL2" i="10"/>
  <c r="AP3" i="10" l="1"/>
  <c r="AM3" i="2"/>
  <c r="AM3" i="7"/>
  <c r="AM2" i="10"/>
  <c r="A37" i="7"/>
  <c r="A37" i="2"/>
  <c r="AL2" i="2"/>
  <c r="AL2" i="7"/>
  <c r="A38" i="10"/>
  <c r="D38" i="2"/>
  <c r="D38" i="7"/>
  <c r="AQ3" i="10" l="1"/>
  <c r="AM2" i="7"/>
  <c r="AM2" i="2"/>
  <c r="A38" i="7"/>
  <c r="A38" i="2"/>
  <c r="D39" i="2"/>
  <c r="A39" i="10"/>
  <c r="D39" i="7"/>
  <c r="AN3" i="2"/>
  <c r="AN2" i="10"/>
  <c r="AN3" i="7"/>
  <c r="AR3" i="10" l="1"/>
  <c r="AO3" i="2"/>
  <c r="AO2" i="10"/>
  <c r="AO3" i="7"/>
  <c r="A39" i="7"/>
  <c r="A39" i="2"/>
  <c r="AN2" i="7"/>
  <c r="AN2" i="2"/>
  <c r="D40" i="7"/>
  <c r="A40" i="10"/>
  <c r="D40" i="2"/>
  <c r="AS3" i="10" l="1"/>
  <c r="A40" i="2"/>
  <c r="A40" i="7"/>
  <c r="AO2" i="7"/>
  <c r="AO2" i="2"/>
  <c r="D41" i="7"/>
  <c r="D41" i="2"/>
  <c r="A41" i="10"/>
  <c r="AP2" i="10"/>
  <c r="AP3" i="2"/>
  <c r="AP3" i="7"/>
  <c r="AT3" i="10" l="1"/>
  <c r="AP2" i="2"/>
  <c r="AP2" i="7"/>
  <c r="A41" i="2"/>
  <c r="A41" i="7"/>
  <c r="AQ2" i="10"/>
  <c r="AQ3" i="2"/>
  <c r="AQ3" i="7"/>
  <c r="D42" i="7"/>
  <c r="A42" i="10"/>
  <c r="D42" i="2"/>
  <c r="AU3" i="10" l="1"/>
  <c r="A42" i="2"/>
  <c r="A42" i="7"/>
  <c r="AQ2" i="7"/>
  <c r="AQ2" i="2"/>
  <c r="A43" i="10"/>
  <c r="D43" i="2"/>
  <c r="D43" i="7"/>
  <c r="AR3" i="7"/>
  <c r="AR2" i="10"/>
  <c r="AR3" i="2"/>
  <c r="AV3" i="10" l="1"/>
  <c r="AS2" i="10"/>
  <c r="AS3" i="2"/>
  <c r="AS3" i="7"/>
  <c r="A43" i="7"/>
  <c r="A43" i="2"/>
  <c r="AR2" i="2"/>
  <c r="AR2" i="7"/>
  <c r="A44" i="10"/>
  <c r="D44" i="2"/>
  <c r="D44" i="7"/>
  <c r="AW3" i="10" l="1"/>
  <c r="A44" i="7"/>
  <c r="A44" i="2"/>
  <c r="AS2" i="2"/>
  <c r="AS2" i="7"/>
  <c r="D45" i="7"/>
  <c r="D45" i="2"/>
  <c r="A45" i="10"/>
  <c r="AT3" i="2"/>
  <c r="AT2" i="10"/>
  <c r="AT3" i="7"/>
  <c r="AX3" i="10" l="1"/>
  <c r="A45" i="7"/>
  <c r="A45" i="2"/>
  <c r="AU3" i="2"/>
  <c r="AU2" i="10"/>
  <c r="AU3" i="7"/>
  <c r="AT2" i="2"/>
  <c r="AT2" i="7"/>
  <c r="D46" i="2"/>
  <c r="A46" i="10"/>
  <c r="D46" i="7"/>
  <c r="AY3" i="10" l="1"/>
  <c r="A46" i="7"/>
  <c r="A46" i="2"/>
  <c r="AV2" i="10"/>
  <c r="AV3" i="7"/>
  <c r="AV3" i="2"/>
  <c r="D47" i="2"/>
  <c r="D47" i="7"/>
  <c r="A47" i="10"/>
  <c r="AU2" i="7"/>
  <c r="AU2" i="2"/>
  <c r="AZ3" i="10" l="1"/>
  <c r="AV2" i="7"/>
  <c r="AV2" i="2"/>
  <c r="A48" i="10"/>
  <c r="D48" i="7"/>
  <c r="D48" i="2"/>
  <c r="AW2" i="10"/>
  <c r="AW3" i="2"/>
  <c r="AW3" i="7"/>
  <c r="A47" i="2"/>
  <c r="A47" i="7"/>
  <c r="BA3" i="10" l="1"/>
  <c r="A48" i="2"/>
  <c r="A48" i="7"/>
  <c r="A49" i="10"/>
  <c r="D49" i="2"/>
  <c r="D49" i="7"/>
  <c r="AW2" i="2"/>
  <c r="AW2" i="7"/>
  <c r="AX3" i="2"/>
  <c r="AX3" i="7"/>
  <c r="AX2" i="10"/>
  <c r="BB3" i="10" l="1"/>
  <c r="A49" i="7"/>
  <c r="A49" i="2"/>
  <c r="AY3" i="2"/>
  <c r="AY3" i="7"/>
  <c r="AY2" i="10"/>
  <c r="D50" i="2"/>
  <c r="D50" i="7"/>
  <c r="A50" i="10"/>
  <c r="AX2" i="2"/>
  <c r="AX2" i="7"/>
  <c r="BC3" i="10" l="1"/>
  <c r="AY2" i="7"/>
  <c r="AY2" i="2"/>
  <c r="D51" i="7"/>
  <c r="A51" i="10"/>
  <c r="D51" i="2"/>
  <c r="A50" i="2"/>
  <c r="A50" i="7"/>
  <c r="AZ2" i="10"/>
  <c r="AZ3" i="7"/>
  <c r="AZ3" i="2"/>
  <c r="BD3" i="10" l="1"/>
  <c r="AZ2" i="2"/>
  <c r="AZ2" i="7"/>
  <c r="BA3" i="7"/>
  <c r="BA2" i="10"/>
  <c r="BA3" i="2"/>
  <c r="A52" i="10"/>
  <c r="D52" i="2"/>
  <c r="D52" i="7"/>
  <c r="A51" i="2"/>
  <c r="A51" i="7"/>
  <c r="BE3" i="10" l="1"/>
  <c r="A52" i="7"/>
  <c r="A52" i="2"/>
  <c r="D53" i="7"/>
  <c r="A53" i="10"/>
  <c r="D53" i="2"/>
  <c r="BA2" i="2"/>
  <c r="BA2" i="7"/>
  <c r="BB3" i="2"/>
  <c r="BB3" i="7"/>
  <c r="BB2" i="10"/>
  <c r="BF3" i="10" l="1"/>
  <c r="BC3" i="7"/>
  <c r="BC3" i="2"/>
  <c r="BC2" i="10"/>
  <c r="A54" i="10"/>
  <c r="D54" i="2"/>
  <c r="D54" i="7"/>
  <c r="BB2" i="2"/>
  <c r="BB2" i="7"/>
  <c r="A53" i="7"/>
  <c r="A53" i="2"/>
  <c r="BG3" i="10" l="1"/>
  <c r="BD3" i="7"/>
  <c r="BD2" i="10"/>
  <c r="BD3" i="2"/>
  <c r="A54" i="2"/>
  <c r="A54" i="7"/>
  <c r="BC2" i="7"/>
  <c r="BC2" i="2"/>
  <c r="A55" i="10"/>
  <c r="D55" i="2"/>
  <c r="D55" i="7"/>
  <c r="BH3" i="10" l="1"/>
  <c r="BD2" i="2"/>
  <c r="BD2" i="7"/>
  <c r="A55" i="7"/>
  <c r="A55" i="2"/>
  <c r="D56" i="2"/>
  <c r="A56" i="10"/>
  <c r="D56" i="7"/>
  <c r="BE3" i="2"/>
  <c r="BE2" i="10"/>
  <c r="BE3" i="7"/>
  <c r="BI3" i="10" l="1"/>
  <c r="BF3" i="7"/>
  <c r="BF3" i="2"/>
  <c r="BF2" i="10"/>
  <c r="A56" i="2"/>
  <c r="A56" i="7"/>
  <c r="BE2" i="2"/>
  <c r="BE2" i="7"/>
  <c r="D57" i="2"/>
  <c r="A57" i="10"/>
  <c r="D57" i="7"/>
  <c r="BJ3" i="10" l="1"/>
  <c r="BF2" i="7"/>
  <c r="BF2" i="2"/>
  <c r="A57" i="2"/>
  <c r="A57" i="7"/>
  <c r="A58" i="10"/>
  <c r="D58" i="2"/>
  <c r="D58" i="7"/>
  <c r="BG3" i="7"/>
  <c r="BG3" i="2"/>
  <c r="BG2" i="10"/>
  <c r="BK3" i="10" l="1"/>
  <c r="BH3" i="2"/>
  <c r="BH2" i="10"/>
  <c r="BH3" i="7"/>
  <c r="BG2" i="7"/>
  <c r="BG2" i="2"/>
  <c r="A58" i="2"/>
  <c r="A58" i="7"/>
  <c r="A59" i="10"/>
  <c r="D59" i="7"/>
  <c r="D59" i="2"/>
  <c r="BL3" i="10" l="1"/>
  <c r="BH2" i="7"/>
  <c r="BH2" i="2"/>
  <c r="A59" i="7"/>
  <c r="A59" i="2"/>
  <c r="D60" i="2"/>
  <c r="D60" i="7"/>
  <c r="A60" i="10"/>
  <c r="BI3" i="2"/>
  <c r="BI2" i="10"/>
  <c r="BI3" i="7"/>
  <c r="BM3" i="10" l="1"/>
  <c r="A60" i="2"/>
  <c r="A60" i="7"/>
  <c r="BJ3" i="2"/>
  <c r="BJ2" i="10"/>
  <c r="BJ3" i="7"/>
  <c r="BI2" i="2"/>
  <c r="BI2" i="7"/>
  <c r="D61" i="7"/>
  <c r="A61" i="10"/>
  <c r="D61" i="2"/>
  <c r="BN3" i="10" l="1"/>
  <c r="A61" i="2"/>
  <c r="A61" i="7"/>
  <c r="BK2" i="10"/>
  <c r="BK3" i="2"/>
  <c r="BK3" i="7"/>
  <c r="D62" i="7"/>
  <c r="A62" i="10"/>
  <c r="D62" i="2"/>
  <c r="BJ2" i="2"/>
  <c r="BJ2" i="7"/>
  <c r="BO3" i="10" l="1"/>
  <c r="BK2" i="2"/>
  <c r="BK2" i="7"/>
  <c r="D63" i="2"/>
  <c r="D63" i="7"/>
  <c r="A63" i="10"/>
  <c r="BL3" i="7"/>
  <c r="BL2" i="10"/>
  <c r="BL3" i="2"/>
  <c r="A62" i="7"/>
  <c r="A62" i="2"/>
  <c r="BP3" i="10" l="1"/>
  <c r="BL2" i="7"/>
  <c r="BL2" i="2"/>
  <c r="A64" i="10"/>
  <c r="D64" i="7"/>
  <c r="D64" i="2"/>
  <c r="A63" i="7"/>
  <c r="A63" i="2"/>
  <c r="BM3" i="2"/>
  <c r="BM2" i="10"/>
  <c r="BM3" i="7"/>
  <c r="BQ3" i="10" l="1"/>
  <c r="A64" i="7"/>
  <c r="A64" i="2"/>
  <c r="BN3" i="2"/>
  <c r="BN3" i="7"/>
  <c r="BN2" i="10"/>
  <c r="D65" i="2"/>
  <c r="A65" i="10"/>
  <c r="D65" i="7"/>
  <c r="BM2" i="2"/>
  <c r="BM2" i="7"/>
  <c r="BR3" i="10" l="1"/>
  <c r="BN2" i="7"/>
  <c r="BN2" i="2"/>
  <c r="D66" i="2"/>
  <c r="D66" i="7"/>
  <c r="A66" i="10"/>
  <c r="A65" i="2"/>
  <c r="A65" i="7"/>
  <c r="BO3" i="7"/>
  <c r="BO3" i="2"/>
  <c r="BO2" i="10"/>
  <c r="BS3" i="10" l="1"/>
  <c r="BP3" i="2"/>
  <c r="BP2" i="10"/>
  <c r="BP3" i="7"/>
  <c r="A67" i="10"/>
  <c r="D67" i="7"/>
  <c r="D67" i="2"/>
  <c r="BO2" i="7"/>
  <c r="BO2" i="2"/>
  <c r="A66" i="2"/>
  <c r="A66" i="7"/>
  <c r="BT3" i="10" l="1"/>
  <c r="BQ2" i="10"/>
  <c r="BQ3" i="2"/>
  <c r="BQ3" i="7"/>
  <c r="A67" i="2"/>
  <c r="A67" i="7"/>
  <c r="D68" i="2"/>
  <c r="A68" i="10"/>
  <c r="D68" i="7"/>
  <c r="BP2" i="7"/>
  <c r="BP2" i="2"/>
  <c r="BU3" i="10" l="1"/>
  <c r="D69" i="7"/>
  <c r="D69" i="2"/>
  <c r="A69" i="10"/>
  <c r="BQ2" i="2"/>
  <c r="BQ2" i="7"/>
  <c r="A68" i="2"/>
  <c r="A68" i="7"/>
  <c r="BR2" i="10"/>
  <c r="BR3" i="7"/>
  <c r="BR3" i="2"/>
  <c r="BV3" i="10" l="1"/>
  <c r="BR2" i="7"/>
  <c r="BR2" i="2"/>
  <c r="A69" i="2"/>
  <c r="A69" i="7"/>
  <c r="BS3" i="7"/>
  <c r="BS2" i="10"/>
  <c r="BS3" i="2"/>
  <c r="D70" i="7"/>
  <c r="D70" i="2"/>
  <c r="A70" i="10"/>
  <c r="BW3" i="10" l="1"/>
  <c r="A70" i="7"/>
  <c r="A70" i="2"/>
  <c r="BS2" i="2"/>
  <c r="BS2" i="7"/>
  <c r="D71" i="2"/>
  <c r="D71" i="7"/>
  <c r="A71" i="10"/>
  <c r="BT3" i="7"/>
  <c r="BT3" i="2"/>
  <c r="BT2" i="10"/>
  <c r="BX3" i="10" l="1"/>
  <c r="A71" i="7"/>
  <c r="A71" i="2"/>
  <c r="BU3" i="2"/>
  <c r="BU2" i="10"/>
  <c r="BU3" i="7"/>
  <c r="BT2" i="2"/>
  <c r="BT2" i="7"/>
  <c r="D72" i="7"/>
  <c r="A72" i="10"/>
  <c r="D72" i="2"/>
  <c r="BY3" i="10" l="1"/>
  <c r="A72" i="2"/>
  <c r="A72" i="7"/>
  <c r="BV2" i="10"/>
  <c r="BV3" i="7"/>
  <c r="BV3" i="2"/>
  <c r="A73" i="10"/>
  <c r="D73" i="2"/>
  <c r="D73" i="7"/>
  <c r="BU2" i="7"/>
  <c r="BU2" i="2"/>
  <c r="BZ3" i="10" l="1"/>
  <c r="A73" i="7"/>
  <c r="A73" i="2"/>
  <c r="BV2" i="2"/>
  <c r="BV2" i="7"/>
  <c r="D74" i="7"/>
  <c r="D74" i="2"/>
  <c r="A74" i="10"/>
  <c r="BW3" i="2"/>
  <c r="BW2" i="10"/>
  <c r="BW3" i="7"/>
  <c r="CA3" i="10" l="1"/>
  <c r="A74" i="2"/>
  <c r="A74" i="7"/>
  <c r="BX3" i="7"/>
  <c r="BX2" i="10"/>
  <c r="BX3" i="2"/>
  <c r="BW2" i="7"/>
  <c r="BW2" i="2"/>
  <c r="D75" i="7"/>
  <c r="A75" i="10"/>
  <c r="D75" i="2"/>
  <c r="CB3" i="10" l="1"/>
  <c r="A75" i="7"/>
  <c r="A75" i="2"/>
  <c r="BY3" i="7"/>
  <c r="BY2" i="10"/>
  <c r="BY3" i="2"/>
  <c r="D76" i="2"/>
  <c r="D76" i="7"/>
  <c r="A76" i="10"/>
  <c r="BX2" i="2"/>
  <c r="BX2" i="7"/>
  <c r="CC3" i="10" l="1"/>
  <c r="A77" i="10"/>
  <c r="D77" i="2"/>
  <c r="D77" i="7"/>
  <c r="BZ2" i="10"/>
  <c r="BZ3" i="2"/>
  <c r="BZ3" i="7"/>
  <c r="A76" i="2"/>
  <c r="A76" i="7"/>
  <c r="BY2" i="2"/>
  <c r="BY2" i="7"/>
  <c r="CD3" i="10" l="1"/>
  <c r="BZ2" i="2"/>
  <c r="BZ2" i="7"/>
  <c r="CA3" i="2"/>
  <c r="CA2" i="10"/>
  <c r="CA3" i="7"/>
  <c r="A77" i="7"/>
  <c r="A77" i="2"/>
  <c r="D78" i="2"/>
  <c r="D78" i="7"/>
  <c r="A78" i="10"/>
  <c r="CE3" i="10" l="1"/>
  <c r="A78" i="2"/>
  <c r="A78" i="7"/>
  <c r="CB2" i="10"/>
  <c r="CB3" i="7"/>
  <c r="CB3" i="2"/>
  <c r="D79" i="2"/>
  <c r="A79" i="10"/>
  <c r="D79" i="7"/>
  <c r="CA2" i="2"/>
  <c r="CA2" i="7"/>
  <c r="CF3" i="10" l="1"/>
  <c r="CB2" i="7"/>
  <c r="CB2" i="2"/>
  <c r="D80" i="7"/>
  <c r="A80" i="10"/>
  <c r="D80" i="2"/>
  <c r="CC3" i="2"/>
  <c r="CC3" i="7"/>
  <c r="CC2" i="10"/>
  <c r="A79" i="7"/>
  <c r="A79" i="2"/>
  <c r="CG3" i="10" l="1"/>
  <c r="CC2" i="7"/>
  <c r="CC2" i="2"/>
  <c r="D81" i="7"/>
  <c r="D81" i="2"/>
  <c r="A81" i="10"/>
  <c r="CD3" i="2"/>
  <c r="CD3" i="7"/>
  <c r="CD2" i="10"/>
  <c r="A80" i="2"/>
  <c r="A80" i="7"/>
  <c r="CH3" i="10" l="1"/>
  <c r="CD2" i="2"/>
  <c r="CD2" i="7"/>
  <c r="D82" i="7"/>
  <c r="A82" i="10"/>
  <c r="D82" i="2"/>
  <c r="A81" i="7"/>
  <c r="A81" i="2"/>
  <c r="CE2" i="10"/>
  <c r="CE3" i="7"/>
  <c r="CE3" i="2"/>
  <c r="CI3" i="10" l="1"/>
  <c r="CE2" i="2"/>
  <c r="CE2" i="7"/>
  <c r="CF2" i="10"/>
  <c r="CF3" i="2"/>
  <c r="CF3" i="7"/>
  <c r="D83" i="7"/>
  <c r="A83" i="10"/>
  <c r="D83" i="2"/>
  <c r="A82" i="2"/>
  <c r="A82" i="7"/>
  <c r="CJ3" i="10" l="1"/>
  <c r="A84" i="10"/>
  <c r="D84" i="7"/>
  <c r="D84" i="2"/>
  <c r="CF2" i="2"/>
  <c r="CF2" i="7"/>
  <c r="A83" i="2"/>
  <c r="A83" i="7"/>
  <c r="CG2" i="10"/>
  <c r="CG3" i="2"/>
  <c r="CG3" i="7"/>
  <c r="CK3" i="10" l="1"/>
  <c r="CG2" i="7"/>
  <c r="CG2" i="2"/>
  <c r="CH3" i="2"/>
  <c r="CH3" i="7"/>
  <c r="CH2" i="10"/>
  <c r="A84" i="2"/>
  <c r="A84" i="7"/>
  <c r="D85" i="7"/>
  <c r="D85" i="2"/>
  <c r="A85" i="10"/>
  <c r="CL3" i="10" l="1"/>
  <c r="A85" i="7"/>
  <c r="A85" i="2"/>
  <c r="CI2" i="10"/>
  <c r="CI3" i="2"/>
  <c r="CI3" i="7"/>
  <c r="CH2" i="7"/>
  <c r="CH2" i="2"/>
  <c r="D86" i="2"/>
  <c r="D86" i="7"/>
  <c r="A86" i="10"/>
  <c r="CM3" i="10" l="1"/>
  <c r="A86" i="2"/>
  <c r="A86" i="7"/>
  <c r="CI2" i="2"/>
  <c r="CI2" i="7"/>
  <c r="CJ3" i="2"/>
  <c r="CJ2" i="10"/>
  <c r="CJ3" i="7"/>
  <c r="D87" i="2"/>
  <c r="D87" i="7"/>
  <c r="A87" i="10"/>
  <c r="CN3" i="10" l="1"/>
  <c r="A87" i="7"/>
  <c r="A87" i="2"/>
  <c r="CJ2" i="7"/>
  <c r="CJ2" i="2"/>
  <c r="D88" i="7"/>
  <c r="A88" i="10"/>
  <c r="D88" i="2"/>
  <c r="CK3" i="7"/>
  <c r="CK2" i="10"/>
  <c r="CK3" i="2"/>
  <c r="CO3" i="10" l="1"/>
  <c r="CL3" i="2"/>
  <c r="CL2" i="10"/>
  <c r="CL3" i="7"/>
  <c r="A88" i="7"/>
  <c r="A88" i="2"/>
  <c r="CK2" i="2"/>
  <c r="CK2" i="7"/>
  <c r="D89" i="2"/>
  <c r="A89" i="10"/>
  <c r="D89" i="7"/>
  <c r="CP3" i="10" l="1"/>
  <c r="A89" i="7"/>
  <c r="A89" i="2"/>
  <c r="CL2" i="7"/>
  <c r="CL2" i="2"/>
  <c r="D90" i="2"/>
  <c r="A90" i="10"/>
  <c r="D90" i="7"/>
  <c r="CM2" i="10"/>
  <c r="CM3" i="2"/>
  <c r="CM3" i="7"/>
  <c r="CQ3" i="10" l="1"/>
  <c r="CM2" i="7"/>
  <c r="CM2" i="2"/>
  <c r="CN3" i="2"/>
  <c r="CN2" i="10"/>
  <c r="CN3" i="7"/>
  <c r="A90" i="2"/>
  <c r="A90" i="7"/>
  <c r="D91" i="2"/>
  <c r="A91" i="10"/>
  <c r="D91" i="7"/>
  <c r="CR3" i="10" l="1"/>
  <c r="A91" i="2"/>
  <c r="A91" i="7"/>
  <c r="CO3" i="2"/>
  <c r="CO2" i="10"/>
  <c r="CO3" i="7"/>
  <c r="D92" i="2"/>
  <c r="D92" i="7"/>
  <c r="A92" i="10"/>
  <c r="CN2" i="7"/>
  <c r="CN2" i="2"/>
  <c r="CS3" i="10" l="1"/>
  <c r="D93" i="7"/>
  <c r="D93" i="2"/>
  <c r="A93" i="10"/>
  <c r="CP3" i="2"/>
  <c r="CP2" i="10"/>
  <c r="CP3" i="7"/>
  <c r="A92" i="2"/>
  <c r="A92" i="7"/>
  <c r="CO2" i="2"/>
  <c r="CO2" i="7"/>
  <c r="CT3" i="10" l="1"/>
  <c r="A93" i="2"/>
  <c r="A93" i="7"/>
  <c r="CQ3" i="7"/>
  <c r="CQ2" i="10"/>
  <c r="CQ3" i="2"/>
  <c r="CP2" i="7"/>
  <c r="CP2" i="2"/>
  <c r="D94" i="2"/>
  <c r="D94" i="7"/>
  <c r="A94" i="10"/>
  <c r="CU3" i="10" l="1"/>
  <c r="A94" i="7"/>
  <c r="A94" i="2"/>
  <c r="CR3" i="7"/>
  <c r="CR2" i="10"/>
  <c r="CR3" i="2"/>
  <c r="D95" i="2"/>
  <c r="D95" i="7"/>
  <c r="A95" i="10"/>
  <c r="CQ2" i="2"/>
  <c r="CQ2" i="7"/>
  <c r="CV3" i="10" l="1"/>
  <c r="D96" i="2"/>
  <c r="D96" i="7"/>
  <c r="A96" i="10"/>
  <c r="CS3" i="2"/>
  <c r="CS3" i="7"/>
  <c r="CS2" i="10"/>
  <c r="A95" i="7"/>
  <c r="A95" i="2"/>
  <c r="CR2" i="7"/>
  <c r="CR2" i="2"/>
  <c r="CW3" i="10" l="1"/>
  <c r="A96" i="2"/>
  <c r="A96" i="7"/>
  <c r="CT3" i="7"/>
  <c r="CT2" i="10"/>
  <c r="CT3" i="2"/>
  <c r="CS2" i="2"/>
  <c r="CS2" i="7"/>
  <c r="A97" i="10"/>
  <c r="D97" i="7"/>
  <c r="D97" i="2"/>
  <c r="CX3" i="10" l="1"/>
  <c r="CU3" i="2"/>
  <c r="CU2" i="10"/>
  <c r="CU3" i="7"/>
  <c r="A97" i="7"/>
  <c r="A97" i="2"/>
  <c r="D98" i="2"/>
  <c r="A98" i="10"/>
  <c r="D98" i="7"/>
  <c r="CT2" i="7"/>
  <c r="CT2" i="2"/>
  <c r="CY3" i="10" l="1"/>
  <c r="A99" i="10"/>
  <c r="D99" i="2"/>
  <c r="D99" i="7"/>
  <c r="CU2" i="2"/>
  <c r="CU2" i="7"/>
  <c r="A98" i="7"/>
  <c r="A98" i="2"/>
  <c r="CV3" i="7"/>
  <c r="CV3" i="2"/>
  <c r="CV2" i="10"/>
  <c r="CZ3" i="10" l="1"/>
  <c r="CW3" i="2"/>
  <c r="CW2" i="10"/>
  <c r="CW3" i="7"/>
  <c r="CV2" i="2"/>
  <c r="CV2" i="7"/>
  <c r="A99" i="7"/>
  <c r="A99" i="2"/>
  <c r="A100" i="10"/>
  <c r="D100" i="2"/>
  <c r="D100" i="7"/>
  <c r="DA3" i="10" l="1"/>
  <c r="CW2" i="2"/>
  <c r="CW2" i="7"/>
  <c r="A100" i="7"/>
  <c r="A100" i="2"/>
  <c r="D101" i="7"/>
  <c r="A101" i="10"/>
  <c r="D101" i="2"/>
  <c r="CX2" i="10"/>
  <c r="CX3" i="7"/>
  <c r="CX3" i="2"/>
  <c r="DB3" i="10" l="1"/>
  <c r="CX2" i="2"/>
  <c r="CX2" i="7"/>
  <c r="CY3" i="2"/>
  <c r="CY3" i="7"/>
  <c r="CY2" i="10"/>
  <c r="A101" i="2"/>
  <c r="A101" i="7"/>
  <c r="D102" i="7"/>
  <c r="A102" i="10"/>
  <c r="D102" i="2"/>
  <c r="A102" i="7" l="1"/>
  <c r="A102" i="2"/>
  <c r="CZ3" i="2"/>
  <c r="CZ2" i="10"/>
  <c r="CZ3" i="7"/>
  <c r="CY2" i="7"/>
  <c r="CY2" i="2"/>
  <c r="D103" i="7"/>
  <c r="D103" i="2"/>
  <c r="A103" i="10"/>
  <c r="A103" i="7" l="1"/>
  <c r="A103" i="2"/>
  <c r="DA3" i="7"/>
  <c r="DA2" i="10"/>
  <c r="DA3" i="2"/>
  <c r="A104" i="10"/>
  <c r="D104" i="2"/>
  <c r="D104" i="7"/>
  <c r="CZ2" i="7"/>
  <c r="CZ2" i="2"/>
  <c r="A104" i="2" l="1"/>
  <c r="A104" i="7"/>
  <c r="D105" i="2"/>
  <c r="A105" i="10"/>
  <c r="D105" i="7"/>
  <c r="DB3" i="7"/>
  <c r="DB3" i="2"/>
  <c r="DB2" i="10"/>
  <c r="DA2" i="7"/>
  <c r="DA2" i="2"/>
  <c r="A105" i="7" l="1"/>
  <c r="A105" i="2"/>
  <c r="A2" i="10"/>
  <c r="DB2" i="2"/>
  <c r="DB2" i="7"/>
  <c r="B26" i="10" l="1"/>
  <c r="B27" i="10"/>
  <c r="B28" i="10"/>
  <c r="B29" i="10"/>
  <c r="B30" i="10"/>
  <c r="B31" i="10"/>
  <c r="B32" i="10"/>
  <c r="B33" i="10"/>
  <c r="B34" i="10"/>
  <c r="B35" i="10"/>
  <c r="B36" i="10"/>
  <c r="B37" i="10"/>
  <c r="B38" i="10"/>
  <c r="B39" i="10"/>
  <c r="B40" i="10"/>
  <c r="B41" i="10"/>
  <c r="B42" i="10"/>
  <c r="B43" i="10"/>
  <c r="B44" i="10"/>
  <c r="B45" i="10"/>
  <c r="B46" i="10"/>
  <c r="B47" i="10"/>
  <c r="B48" i="10"/>
  <c r="B49" i="10"/>
  <c r="B50" i="10"/>
  <c r="B51" i="10"/>
  <c r="B52" i="10"/>
  <c r="B53" i="10"/>
  <c r="B54" i="10"/>
  <c r="B55" i="10"/>
  <c r="B56" i="10"/>
  <c r="B57" i="10"/>
  <c r="B58" i="10"/>
  <c r="B59" i="10"/>
  <c r="B60" i="10"/>
  <c r="B61" i="10"/>
  <c r="B62" i="10"/>
  <c r="B63" i="10"/>
  <c r="B64" i="10"/>
  <c r="B65" i="10"/>
  <c r="B67" i="10"/>
  <c r="B66" i="10"/>
  <c r="B68" i="10"/>
  <c r="B69" i="10"/>
  <c r="B70" i="10"/>
  <c r="B71" i="10"/>
  <c r="B72" i="10"/>
  <c r="B73" i="10"/>
  <c r="B74" i="10"/>
  <c r="B75" i="10"/>
  <c r="B76" i="10"/>
  <c r="B77" i="10"/>
  <c r="B78" i="10"/>
  <c r="B79" i="10"/>
  <c r="B80" i="10"/>
  <c r="B81" i="10"/>
  <c r="B82" i="10"/>
  <c r="B83" i="10"/>
  <c r="B84" i="10"/>
  <c r="B85" i="10"/>
  <c r="B86" i="10"/>
  <c r="B87" i="10"/>
  <c r="B88" i="10"/>
  <c r="B89" i="10"/>
  <c r="B90" i="10"/>
  <c r="B91" i="10"/>
  <c r="B92" i="10"/>
  <c r="B93" i="10"/>
  <c r="B94" i="10"/>
  <c r="B95" i="10"/>
  <c r="B96" i="10"/>
  <c r="B97" i="10"/>
  <c r="B98" i="10"/>
  <c r="B99" i="10"/>
  <c r="B100" i="10"/>
  <c r="B101" i="10"/>
  <c r="B103" i="10"/>
  <c r="B102" i="10"/>
  <c r="B104" i="10"/>
  <c r="B105" i="10"/>
  <c r="B4" i="10"/>
  <c r="A2" i="2"/>
  <c r="A2" i="7"/>
  <c r="B5" i="10"/>
  <c r="B6" i="10"/>
  <c r="B7" i="10"/>
  <c r="B8" i="10"/>
  <c r="B9" i="10"/>
  <c r="B10" i="10"/>
  <c r="B11" i="10"/>
  <c r="B12" i="10"/>
  <c r="B13" i="10"/>
  <c r="B14" i="10"/>
  <c r="B15" i="10"/>
  <c r="B16" i="10"/>
  <c r="B17" i="10"/>
  <c r="B18" i="10"/>
  <c r="B19" i="10"/>
  <c r="B20" i="10"/>
  <c r="B21" i="10"/>
  <c r="B22" i="10"/>
  <c r="B23" i="10"/>
  <c r="B24" i="10"/>
  <c r="B25" i="10"/>
  <c r="B101" i="2" l="1"/>
  <c r="B101" i="7"/>
  <c r="B97" i="2"/>
  <c r="B97" i="7"/>
  <c r="B93" i="2"/>
  <c r="B93" i="7"/>
  <c r="B89" i="2"/>
  <c r="B89" i="7"/>
  <c r="B85" i="7"/>
  <c r="B85" i="2"/>
  <c r="B81" i="2"/>
  <c r="B81" i="7"/>
  <c r="B77" i="2"/>
  <c r="B77" i="7"/>
  <c r="B73" i="2"/>
  <c r="B73" i="7"/>
  <c r="B69" i="7"/>
  <c r="B69" i="2"/>
  <c r="B65" i="2"/>
  <c r="B65" i="7"/>
  <c r="B61" i="7"/>
  <c r="B61" i="2"/>
  <c r="B57" i="2"/>
  <c r="B57" i="7"/>
  <c r="B53" i="2"/>
  <c r="B53" i="7"/>
  <c r="B49" i="2"/>
  <c r="B49" i="7"/>
  <c r="B45" i="2"/>
  <c r="B45" i="7"/>
  <c r="B41" i="7"/>
  <c r="B41" i="2"/>
  <c r="B37" i="7"/>
  <c r="B37" i="2"/>
  <c r="B33" i="2"/>
  <c r="B33" i="7"/>
  <c r="B29" i="2"/>
  <c r="B29" i="7"/>
  <c r="B104" i="2"/>
  <c r="B104" i="7"/>
  <c r="B100" i="7"/>
  <c r="B100" i="2"/>
  <c r="B96" i="7"/>
  <c r="B96" i="2"/>
  <c r="B92" i="7"/>
  <c r="B92" i="2"/>
  <c r="B88" i="7"/>
  <c r="B88" i="2"/>
  <c r="B84" i="7"/>
  <c r="B84" i="2"/>
  <c r="B80" i="2"/>
  <c r="B80" i="7"/>
  <c r="B76" i="2"/>
  <c r="B76" i="7"/>
  <c r="B72" i="7"/>
  <c r="B72" i="2"/>
  <c r="B68" i="7"/>
  <c r="B68" i="2"/>
  <c r="B64" i="2"/>
  <c r="B64" i="7"/>
  <c r="B60" i="2"/>
  <c r="B60" i="7"/>
  <c r="B56" i="2"/>
  <c r="B56" i="7"/>
  <c r="B52" i="7"/>
  <c r="B52" i="2"/>
  <c r="B48" i="7"/>
  <c r="B48" i="2"/>
  <c r="B44" i="7"/>
  <c r="B44" i="2"/>
  <c r="B40" i="7"/>
  <c r="B40" i="2"/>
  <c r="B36" i="2"/>
  <c r="B36" i="7"/>
  <c r="B32" i="7"/>
  <c r="B32" i="2"/>
  <c r="B28" i="2"/>
  <c r="B28" i="7"/>
  <c r="B102" i="7"/>
  <c r="B102" i="2"/>
  <c r="B99" i="2"/>
  <c r="B99" i="7"/>
  <c r="B95" i="7"/>
  <c r="B95" i="2"/>
  <c r="B91" i="2"/>
  <c r="B91" i="7"/>
  <c r="B87" i="7"/>
  <c r="B87" i="2"/>
  <c r="B83" i="2"/>
  <c r="B83" i="7"/>
  <c r="B79" i="7"/>
  <c r="B79" i="2"/>
  <c r="B75" i="2"/>
  <c r="B75" i="7"/>
  <c r="B71" i="7"/>
  <c r="B71" i="2"/>
  <c r="B66" i="7"/>
  <c r="B66" i="2"/>
  <c r="B63" i="7"/>
  <c r="B63" i="2"/>
  <c r="B59" i="2"/>
  <c r="B59" i="7"/>
  <c r="B55" i="2"/>
  <c r="B55" i="7"/>
  <c r="B51" i="2"/>
  <c r="B51" i="7"/>
  <c r="B47" i="2"/>
  <c r="B47" i="7"/>
  <c r="B43" i="2"/>
  <c r="B43" i="7"/>
  <c r="B39" i="7"/>
  <c r="B39" i="2"/>
  <c r="B35" i="2"/>
  <c r="B35" i="7"/>
  <c r="B31" i="2"/>
  <c r="B31" i="7"/>
  <c r="B27" i="7"/>
  <c r="B27" i="2"/>
  <c r="B103" i="7"/>
  <c r="B103" i="2"/>
  <c r="B98" i="7"/>
  <c r="B98" i="2"/>
  <c r="B94" i="2"/>
  <c r="B94" i="7"/>
  <c r="B90" i="7"/>
  <c r="B90" i="2"/>
  <c r="B86" i="2"/>
  <c r="B86" i="7"/>
  <c r="B82" i="2"/>
  <c r="B82" i="7"/>
  <c r="B78" i="7"/>
  <c r="B78" i="2"/>
  <c r="B74" i="7"/>
  <c r="B74" i="2"/>
  <c r="B70" i="7"/>
  <c r="B70" i="2"/>
  <c r="B67" i="7"/>
  <c r="B67" i="2"/>
  <c r="B62" i="2"/>
  <c r="B62" i="7"/>
  <c r="B58" i="2"/>
  <c r="B58" i="7"/>
  <c r="B54" i="7"/>
  <c r="B54" i="2"/>
  <c r="B50" i="2"/>
  <c r="B50" i="7"/>
  <c r="B46" i="2"/>
  <c r="B46" i="7"/>
  <c r="B42" i="2"/>
  <c r="B42" i="7"/>
  <c r="B38" i="7"/>
  <c r="B38" i="2"/>
  <c r="B34" i="2"/>
  <c r="B34" i="7"/>
  <c r="B30" i="7"/>
  <c r="B30" i="2"/>
  <c r="B26" i="7"/>
  <c r="B26" i="2"/>
  <c r="B24" i="2"/>
  <c r="B24" i="7"/>
  <c r="B20" i="7"/>
  <c r="B20" i="2"/>
  <c r="B16" i="7"/>
  <c r="B16" i="2"/>
  <c r="B12" i="7"/>
  <c r="B12" i="2"/>
  <c r="B8" i="7"/>
  <c r="B8" i="2"/>
  <c r="B23" i="2"/>
  <c r="B23" i="7"/>
  <c r="B19" i="2"/>
  <c r="B19" i="7"/>
  <c r="B15" i="7"/>
  <c r="B15" i="2"/>
  <c r="B11" i="2"/>
  <c r="B11" i="7"/>
  <c r="B7" i="7"/>
  <c r="B7" i="2"/>
  <c r="B22" i="2"/>
  <c r="B22" i="7"/>
  <c r="B18" i="2"/>
  <c r="B18" i="7"/>
  <c r="B14" i="7"/>
  <c r="B14" i="2"/>
  <c r="B10" i="2"/>
  <c r="B10" i="7"/>
  <c r="B6" i="7"/>
  <c r="B6" i="2"/>
  <c r="B2" i="10"/>
  <c r="B4" i="7"/>
  <c r="B4" i="2"/>
  <c r="B25" i="2"/>
  <c r="B25" i="7"/>
  <c r="B21" i="7"/>
  <c r="B21" i="2"/>
  <c r="B17" i="2"/>
  <c r="B17" i="7"/>
  <c r="B13" i="2"/>
  <c r="B13" i="7"/>
  <c r="B9" i="7"/>
  <c r="B9" i="2"/>
  <c r="B5" i="7"/>
  <c r="B5" i="2"/>
  <c r="B105" i="2"/>
  <c r="B105" i="7"/>
  <c r="B2" i="2" l="1"/>
  <c r="B2" i="7"/>
  <c r="M135" i="11" l="1"/>
  <c r="N135" i="11" s="1"/>
  <c r="M308" i="11"/>
  <c r="N308" i="11" s="1"/>
  <c r="M245" i="11"/>
  <c r="N245" i="11" s="1"/>
  <c r="M267" i="11"/>
  <c r="N267" i="11" s="1"/>
  <c r="M313" i="11"/>
  <c r="N313" i="11" s="1"/>
  <c r="M151" i="11"/>
  <c r="N151" i="11" s="1"/>
  <c r="M291" i="11"/>
  <c r="N291" i="11" s="1"/>
  <c r="M288" i="11"/>
  <c r="N288" i="11" s="1"/>
  <c r="M277" i="11"/>
  <c r="N277" i="11" s="1"/>
  <c r="M188" i="11"/>
  <c r="N188" i="11" s="1"/>
  <c r="M271" i="11"/>
  <c r="N271" i="11" s="1"/>
  <c r="M219" i="11"/>
  <c r="N219" i="11" s="1"/>
  <c r="M242" i="11"/>
  <c r="N242" i="11" s="1"/>
  <c r="M162" i="11"/>
  <c r="N162" i="11" s="1"/>
  <c r="M198" i="11"/>
  <c r="N198" i="11" s="1"/>
  <c r="M226" i="11"/>
  <c r="N226" i="11" s="1"/>
  <c r="M238" i="11"/>
  <c r="N238" i="11" s="1"/>
  <c r="M283" i="11"/>
  <c r="N283" i="11" s="1"/>
  <c r="M208" i="11"/>
  <c r="N208" i="11" s="1"/>
  <c r="F136" i="11" l="1"/>
  <c r="G136" i="11" s="1"/>
  <c r="M112" i="11"/>
  <c r="N112" i="11" s="1"/>
  <c r="M146" i="11"/>
  <c r="N146" i="11" s="1"/>
  <c r="M260" i="11"/>
  <c r="N260" i="11" s="1"/>
  <c r="M250" i="11"/>
  <c r="N250" i="11" s="1"/>
  <c r="M264" i="11"/>
  <c r="N264" i="11" s="1"/>
  <c r="M128" i="11"/>
  <c r="N128" i="11" s="1"/>
  <c r="M284" i="11"/>
  <c r="N284" i="11" s="1"/>
  <c r="M159" i="11"/>
  <c r="N159" i="11" s="1"/>
  <c r="M265" i="11"/>
  <c r="N265" i="11" s="1"/>
  <c r="M149" i="11"/>
  <c r="N149" i="11" s="1"/>
  <c r="M293" i="11"/>
  <c r="N293" i="11" s="1"/>
  <c r="M209" i="11"/>
  <c r="N209" i="11" s="1"/>
  <c r="M170" i="11"/>
  <c r="N170" i="11" s="1"/>
  <c r="M215" i="11"/>
  <c r="N215" i="11" s="1"/>
  <c r="M137" i="11"/>
  <c r="N137" i="11" s="1"/>
  <c r="M171" i="11"/>
  <c r="N171" i="11" s="1"/>
  <c r="M295" i="11"/>
  <c r="N295" i="11" s="1"/>
  <c r="M152" i="11"/>
  <c r="N152" i="11" s="1"/>
  <c r="M272" i="11"/>
  <c r="N272" i="11" s="1"/>
  <c r="M236" i="11"/>
  <c r="N236" i="11" s="1"/>
  <c r="M205" i="11"/>
  <c r="N205" i="11" s="1"/>
  <c r="M266" i="11"/>
  <c r="N266" i="11" s="1"/>
  <c r="M173" i="11"/>
  <c r="N173" i="11" s="1"/>
  <c r="M174" i="11"/>
  <c r="N174" i="11" s="1"/>
  <c r="M273" i="11"/>
  <c r="N273" i="11" s="1"/>
  <c r="M113" i="11"/>
  <c r="N113" i="11" s="1"/>
  <c r="M193" i="11"/>
  <c r="N193" i="11" s="1"/>
  <c r="M190" i="11"/>
  <c r="N190" i="11" s="1"/>
  <c r="M262" i="11"/>
  <c r="N262" i="11" s="1"/>
  <c r="M142" i="11"/>
  <c r="N142" i="11" s="1"/>
  <c r="M221" i="11"/>
  <c r="N221" i="11" s="1"/>
  <c r="M197" i="11"/>
  <c r="N197" i="11" s="1"/>
  <c r="M131" i="11"/>
  <c r="N131" i="11" s="1"/>
  <c r="M202" i="11"/>
  <c r="N202" i="11" s="1"/>
  <c r="M191" i="11"/>
  <c r="N191" i="11" s="1"/>
  <c r="M167" i="11"/>
  <c r="N167" i="11" s="1"/>
  <c r="M157" i="11"/>
  <c r="N157" i="11" s="1"/>
  <c r="M305" i="11"/>
  <c r="N305" i="11" s="1"/>
  <c r="M125" i="11"/>
  <c r="N125" i="11" s="1"/>
  <c r="M172" i="11"/>
  <c r="N172" i="11" s="1"/>
  <c r="M119" i="11"/>
  <c r="N119" i="11" s="1"/>
  <c r="M126" i="11"/>
  <c r="N126" i="11" s="1"/>
  <c r="M114" i="11"/>
  <c r="N114" i="11" s="1"/>
  <c r="M196" i="11"/>
  <c r="N196" i="11" s="1"/>
  <c r="M118" i="11"/>
  <c r="N118" i="11" s="1"/>
  <c r="M223" i="11"/>
  <c r="N223" i="11" s="1"/>
  <c r="M280" i="11"/>
  <c r="N280" i="11" s="1"/>
  <c r="M148" i="11"/>
  <c r="N148" i="11" s="1"/>
  <c r="M257" i="11"/>
  <c r="N257" i="11" s="1"/>
  <c r="M232" i="11"/>
  <c r="N232" i="11" s="1"/>
  <c r="M150" i="11"/>
  <c r="N150" i="11" s="1"/>
  <c r="M189" i="11"/>
  <c r="N189" i="11" s="1"/>
  <c r="M274" i="11"/>
  <c r="N274" i="11" s="1"/>
  <c r="M187" i="11"/>
  <c r="N187" i="11" s="1"/>
  <c r="M287" i="11"/>
  <c r="N287" i="11" s="1"/>
  <c r="M123" i="11"/>
  <c r="N123" i="11" s="1"/>
  <c r="M235" i="11"/>
  <c r="N235" i="11" s="1"/>
  <c r="M121" i="11"/>
  <c r="N121" i="11" s="1"/>
  <c r="M247" i="11"/>
  <c r="N247" i="11" s="1"/>
  <c r="M309" i="11"/>
  <c r="N309" i="11" s="1"/>
  <c r="M225" i="11"/>
  <c r="N225" i="11" s="1"/>
  <c r="M303" i="11"/>
  <c r="N303" i="11" s="1"/>
  <c r="M175" i="11"/>
  <c r="N175" i="11" s="1"/>
  <c r="M255" i="11"/>
  <c r="N255" i="11" s="1"/>
  <c r="M130" i="11"/>
  <c r="N130" i="11" s="1"/>
  <c r="M166" i="11"/>
  <c r="N166" i="11" s="1"/>
  <c r="M147" i="11"/>
  <c r="N147" i="11" s="1"/>
  <c r="M290" i="11"/>
  <c r="N290" i="11" s="1"/>
  <c r="M156" i="11"/>
  <c r="N156" i="11" s="1"/>
  <c r="M301" i="11"/>
  <c r="N301" i="11" s="1"/>
  <c r="M254" i="11"/>
  <c r="N254" i="11" s="1"/>
  <c r="M116" i="11"/>
  <c r="N116" i="11" s="1"/>
  <c r="M220" i="11"/>
  <c r="N220" i="11" s="1"/>
  <c r="M275" i="11"/>
  <c r="N275" i="11" s="1"/>
  <c r="M311" i="11"/>
  <c r="N311" i="11" s="1"/>
  <c r="M181" i="11"/>
  <c r="N181" i="11" s="1"/>
  <c r="M258" i="11"/>
  <c r="N258" i="11" s="1"/>
  <c r="M182" i="11"/>
  <c r="N182" i="11" s="1"/>
  <c r="M251" i="11"/>
  <c r="N251" i="11" s="1"/>
  <c r="M184" i="11"/>
  <c r="N184" i="11" s="1"/>
  <c r="M248" i="11"/>
  <c r="N248" i="11" s="1"/>
  <c r="M207" i="11"/>
  <c r="N207" i="11" s="1"/>
  <c r="M143" i="11"/>
  <c r="N143" i="11" s="1"/>
  <c r="M153" i="11"/>
  <c r="N153" i="11" s="1"/>
  <c r="M216" i="11"/>
  <c r="N216" i="11" s="1"/>
  <c r="M180" i="11"/>
  <c r="N180" i="11" s="1"/>
  <c r="M120" i="11"/>
  <c r="N120" i="11" s="1"/>
  <c r="M213" i="11"/>
  <c r="N213" i="11" s="1"/>
  <c r="M176" i="11"/>
  <c r="N176" i="11" s="1"/>
  <c r="M237" i="11"/>
  <c r="N237" i="11" s="1"/>
  <c r="M246" i="11"/>
  <c r="N246" i="11" s="1"/>
  <c r="M286" i="11"/>
  <c r="N286" i="11" s="1"/>
  <c r="M231" i="11"/>
  <c r="N231" i="11" s="1"/>
  <c r="M179" i="11"/>
  <c r="N179" i="11" s="1"/>
  <c r="M186" i="11"/>
  <c r="N186" i="11" s="1"/>
  <c r="M270" i="11"/>
  <c r="N270" i="11" s="1"/>
  <c r="M298" i="11"/>
  <c r="N298" i="11" s="1"/>
  <c r="M239" i="11"/>
  <c r="N239" i="11" s="1"/>
  <c r="M307" i="11"/>
  <c r="N307" i="11" s="1"/>
  <c r="M302" i="11"/>
  <c r="N302" i="11" s="1"/>
  <c r="M168" i="11"/>
  <c r="N168" i="11" s="1"/>
  <c r="M214" i="11"/>
  <c r="N214" i="11" s="1"/>
  <c r="M199" i="11"/>
  <c r="N199" i="11" s="1"/>
  <c r="M269" i="11"/>
  <c r="N269" i="11" s="1"/>
  <c r="M227" i="11"/>
  <c r="N227" i="11" s="1"/>
  <c r="M210" i="11"/>
  <c r="N210" i="11" s="1"/>
  <c r="M256" i="11"/>
  <c r="N256" i="11" s="1"/>
  <c r="M136" i="11"/>
  <c r="N136" i="11" s="1"/>
  <c r="M203" i="11"/>
  <c r="N203" i="11" s="1"/>
  <c r="M139" i="11"/>
  <c r="N139" i="11" s="1"/>
  <c r="M201" i="11"/>
  <c r="N201" i="11" s="1"/>
  <c r="M195" i="11"/>
  <c r="N195" i="11" s="1"/>
  <c r="M177" i="11"/>
  <c r="N177" i="11" s="1"/>
  <c r="M115" i="11"/>
  <c r="N115" i="11" s="1"/>
  <c r="M124" i="11"/>
  <c r="N124" i="11" s="1"/>
  <c r="M144" i="11"/>
  <c r="N144" i="11" s="1"/>
  <c r="M164" i="11"/>
  <c r="N164" i="11" s="1"/>
  <c r="M297" i="11"/>
  <c r="N297" i="11" s="1"/>
  <c r="M154" i="11"/>
  <c r="N154" i="11" s="1"/>
  <c r="M160" i="11"/>
  <c r="N160" i="11" s="1"/>
  <c r="M122" i="11"/>
  <c r="N122" i="11" s="1"/>
  <c r="M127" i="11"/>
  <c r="N127" i="11" s="1"/>
  <c r="M299" i="11"/>
  <c r="N299" i="11" s="1"/>
  <c r="M276" i="11"/>
  <c r="N276" i="11" s="1"/>
  <c r="M282" i="11"/>
  <c r="N282" i="11" s="1"/>
  <c r="M310" i="11"/>
  <c r="N310" i="11" s="1"/>
  <c r="M169" i="11"/>
  <c r="N169" i="11" s="1"/>
  <c r="M279" i="11"/>
  <c r="N279" i="11" s="1"/>
  <c r="M165" i="11"/>
  <c r="N165" i="11" s="1"/>
  <c r="M296" i="11"/>
  <c r="N296" i="11" s="1"/>
  <c r="M263" i="11"/>
  <c r="N263" i="11" s="1"/>
  <c r="M240" i="11"/>
  <c r="N240" i="11" s="1"/>
  <c r="M141" i="11"/>
  <c r="N141" i="11" s="1"/>
  <c r="M294" i="11"/>
  <c r="N294" i="11" s="1"/>
  <c r="M134" i="11"/>
  <c r="N134" i="11" s="1"/>
  <c r="M300" i="11"/>
  <c r="N300" i="11" s="1"/>
  <c r="M211" i="11"/>
  <c r="N211" i="11" s="1"/>
  <c r="M161" i="11"/>
  <c r="N161" i="11" s="1"/>
  <c r="M111" i="11"/>
  <c r="N111" i="11" s="1"/>
  <c r="M129" i="11"/>
  <c r="N129" i="11" s="1"/>
  <c r="M278" i="11"/>
  <c r="N278" i="11" s="1"/>
  <c r="M155" i="11"/>
  <c r="N155" i="11" s="1"/>
  <c r="M224" i="11"/>
  <c r="N224" i="11" s="1"/>
  <c r="M192" i="11"/>
  <c r="N192" i="11" s="1"/>
  <c r="M234" i="11"/>
  <c r="N234" i="11" s="1"/>
  <c r="M243" i="11"/>
  <c r="N243" i="11" s="1"/>
  <c r="M306" i="11"/>
  <c r="N306" i="11" s="1"/>
  <c r="M206" i="11"/>
  <c r="N206" i="11" s="1"/>
  <c r="M268" i="11"/>
  <c r="N268" i="11" s="1"/>
  <c r="M117" i="11"/>
  <c r="N117" i="11" s="1"/>
  <c r="M304" i="11"/>
  <c r="N304" i="11" s="1"/>
  <c r="M229" i="11"/>
  <c r="N229" i="11" s="1"/>
  <c r="M183" i="11"/>
  <c r="N183" i="11" s="1"/>
  <c r="M285" i="11"/>
  <c r="N285" i="11" s="1"/>
  <c r="M228" i="11"/>
  <c r="N228" i="11" s="1"/>
  <c r="M312" i="11"/>
  <c r="N312" i="11" s="1"/>
  <c r="M281" i="11"/>
  <c r="N281" i="11" s="1"/>
  <c r="M140" i="11"/>
  <c r="N140" i="11" s="1"/>
  <c r="M252" i="11"/>
  <c r="N252" i="11" s="1"/>
  <c r="M241" i="11"/>
  <c r="N241" i="11" s="1"/>
  <c r="M132" i="11"/>
  <c r="N132" i="11" s="1"/>
  <c r="M133" i="11"/>
  <c r="N133" i="11" s="1"/>
  <c r="M222" i="11"/>
  <c r="N222" i="11" s="1"/>
  <c r="M178" i="11"/>
  <c r="N178" i="11" s="1"/>
  <c r="M158" i="11"/>
  <c r="N158" i="11" s="1"/>
  <c r="M233" i="11"/>
  <c r="N233" i="11" s="1"/>
  <c r="M289" i="11"/>
  <c r="N289" i="11" s="1"/>
  <c r="M185" i="11"/>
  <c r="N185" i="11" s="1"/>
  <c r="M163" i="11"/>
  <c r="N163" i="11" s="1"/>
  <c r="M253" i="11"/>
  <c r="N253" i="11" s="1"/>
  <c r="M218" i="11"/>
  <c r="N218" i="11" s="1"/>
  <c r="M200" i="11"/>
  <c r="N200" i="11" s="1"/>
  <c r="M244" i="11"/>
  <c r="N244" i="11" s="1"/>
  <c r="M259" i="11"/>
  <c r="N259" i="11" s="1"/>
  <c r="M145" i="11"/>
  <c r="N145" i="11" s="1"/>
  <c r="M217" i="11"/>
  <c r="N217" i="11" s="1"/>
  <c r="M194" i="11"/>
  <c r="N194" i="11" s="1"/>
  <c r="M261" i="11"/>
  <c r="N261" i="11" s="1"/>
  <c r="M204" i="11"/>
  <c r="N204" i="11" s="1"/>
  <c r="M292" i="11"/>
  <c r="N292" i="11" s="1"/>
  <c r="M138" i="11"/>
  <c r="N138" i="11" s="1"/>
  <c r="M249" i="11"/>
  <c r="N249" i="11" s="1"/>
  <c r="M230" i="11"/>
  <c r="N230" i="11" s="1"/>
  <c r="F128" i="11"/>
  <c r="G128" i="11" s="1"/>
  <c r="F265" i="11"/>
  <c r="G265" i="11" s="1"/>
  <c r="F170" i="11"/>
  <c r="G170" i="11" s="1"/>
  <c r="F250" i="11"/>
  <c r="G250" i="11" s="1"/>
  <c r="F209" i="11"/>
  <c r="G209" i="11" s="1"/>
  <c r="F264" i="11"/>
  <c r="G264" i="11" s="1"/>
  <c r="F284" i="11"/>
  <c r="G284" i="11" s="1"/>
  <c r="F149" i="11"/>
  <c r="G149" i="11" s="1"/>
  <c r="F146" i="11"/>
  <c r="G146" i="11" s="1"/>
  <c r="F112" i="11"/>
  <c r="G112" i="11" s="1"/>
  <c r="F260" i="11"/>
  <c r="G260" i="11" s="1"/>
  <c r="F159" i="11"/>
  <c r="G159" i="11" s="1"/>
  <c r="F293" i="11"/>
  <c r="G293" i="11" s="1"/>
  <c r="O284" i="11"/>
  <c r="O250" i="11"/>
  <c r="O264" i="11"/>
  <c r="O265" i="11"/>
  <c r="O260" i="11"/>
  <c r="O293" i="11"/>
  <c r="O170" i="11"/>
  <c r="O128" i="11"/>
  <c r="O209" i="11"/>
  <c r="O112" i="11"/>
  <c r="O146" i="11"/>
  <c r="O149" i="11"/>
  <c r="O136" i="11"/>
  <c r="O159" i="11"/>
  <c r="R34" i="11" l="1"/>
  <c r="S61" i="11"/>
  <c r="S80" i="11"/>
  <c r="S56" i="11"/>
  <c r="S60" i="11"/>
  <c r="S46" i="11"/>
  <c r="S89" i="11"/>
  <c r="R47" i="11"/>
  <c r="R57" i="11"/>
  <c r="R107" i="11"/>
  <c r="R44" i="11"/>
  <c r="R26" i="11"/>
  <c r="R10" i="11"/>
  <c r="R68" i="11"/>
  <c r="F236" i="11"/>
  <c r="G236" i="11" s="1"/>
  <c r="F273" i="11"/>
  <c r="G273" i="11" s="1"/>
  <c r="F171" i="11"/>
  <c r="G171" i="11" s="1"/>
  <c r="F272" i="11"/>
  <c r="G272" i="11" s="1"/>
  <c r="F295" i="11"/>
  <c r="G295" i="11" s="1"/>
  <c r="F215" i="11"/>
  <c r="G215" i="11" s="1"/>
  <c r="F174" i="11"/>
  <c r="G174" i="11" s="1"/>
  <c r="F113" i="11"/>
  <c r="G113" i="11" s="1"/>
  <c r="F266" i="11"/>
  <c r="G266" i="11" s="1"/>
  <c r="F208" i="11"/>
  <c r="G208" i="11" s="1"/>
  <c r="F173" i="11"/>
  <c r="G173" i="11" s="1"/>
  <c r="F137" i="11"/>
  <c r="G137" i="11" s="1"/>
  <c r="F152" i="11"/>
  <c r="G152" i="11" s="1"/>
  <c r="F205" i="11"/>
  <c r="G205" i="11" s="1"/>
  <c r="O266" i="11"/>
  <c r="O215" i="11"/>
  <c r="O295" i="11"/>
  <c r="O273" i="11"/>
  <c r="O272" i="11"/>
  <c r="O236" i="11"/>
  <c r="O137" i="11"/>
  <c r="O173" i="11"/>
  <c r="O152" i="11"/>
  <c r="O171" i="11"/>
  <c r="O208" i="11"/>
  <c r="O174" i="11"/>
  <c r="O113" i="11"/>
  <c r="O205" i="11"/>
  <c r="S69" i="11" l="1"/>
  <c r="S11" i="11"/>
  <c r="S91" i="11"/>
  <c r="S32" i="11"/>
  <c r="S68" i="11"/>
  <c r="S62" i="11"/>
  <c r="R103" i="11"/>
  <c r="R69" i="11"/>
  <c r="R50" i="11"/>
  <c r="R35" i="11"/>
  <c r="R11" i="11"/>
  <c r="R71" i="11"/>
  <c r="R72" i="11"/>
  <c r="R106" i="11"/>
  <c r="F188" i="11"/>
  <c r="G188" i="11" s="1"/>
  <c r="F277" i="11"/>
  <c r="G277" i="11" s="1"/>
  <c r="O277" i="11"/>
  <c r="O188" i="11"/>
  <c r="S73" i="11" l="1"/>
  <c r="R86" i="11"/>
  <c r="F131" i="11"/>
  <c r="G131" i="11" s="1"/>
  <c r="F167" i="11"/>
  <c r="G167" i="11" s="1"/>
  <c r="F190" i="11"/>
  <c r="G190" i="11" s="1"/>
  <c r="F221" i="11"/>
  <c r="G221" i="11" s="1"/>
  <c r="F202" i="11"/>
  <c r="G202" i="11" s="1"/>
  <c r="F157" i="11"/>
  <c r="G157" i="11" s="1"/>
  <c r="F162" i="11"/>
  <c r="G162" i="11" s="1"/>
  <c r="F142" i="11"/>
  <c r="G142" i="11" s="1"/>
  <c r="F262" i="11"/>
  <c r="G262" i="11" s="1"/>
  <c r="F197" i="11"/>
  <c r="G197" i="11" s="1"/>
  <c r="F191" i="11"/>
  <c r="G191" i="11" s="1"/>
  <c r="O221" i="11"/>
  <c r="O262" i="11"/>
  <c r="O167" i="11"/>
  <c r="O142" i="11"/>
  <c r="O131" i="11"/>
  <c r="O191" i="11"/>
  <c r="O157" i="11"/>
  <c r="O162" i="11"/>
  <c r="O202" i="11"/>
  <c r="O197" i="11"/>
  <c r="O190" i="11"/>
  <c r="S58" i="11" l="1"/>
  <c r="S17" i="11"/>
  <c r="R89" i="11"/>
  <c r="R29" i="11"/>
  <c r="R55" i="11"/>
  <c r="R100" i="11"/>
  <c r="R65" i="11"/>
  <c r="R95" i="11"/>
  <c r="R40" i="11"/>
  <c r="R60" i="11"/>
  <c r="R88" i="11"/>
  <c r="F151" i="11"/>
  <c r="G151" i="11" s="1"/>
  <c r="O151" i="11"/>
  <c r="R49" i="11" l="1"/>
  <c r="F172" i="11"/>
  <c r="G172" i="11" s="1"/>
  <c r="F223" i="11"/>
  <c r="G223" i="11" s="1"/>
  <c r="F280" i="11"/>
  <c r="G280" i="11" s="1"/>
  <c r="F232" i="11"/>
  <c r="G232" i="11" s="1"/>
  <c r="F119" i="11"/>
  <c r="G119" i="11" s="1"/>
  <c r="F148" i="11"/>
  <c r="G148" i="11" s="1"/>
  <c r="F283" i="11"/>
  <c r="G283" i="11" s="1"/>
  <c r="F305" i="11"/>
  <c r="G305" i="11" s="1"/>
  <c r="F126" i="11"/>
  <c r="G126" i="11" s="1"/>
  <c r="F257" i="11"/>
  <c r="G257" i="11" s="1"/>
  <c r="F150" i="11"/>
  <c r="G150" i="11" s="1"/>
  <c r="F114" i="11"/>
  <c r="G114" i="11" s="1"/>
  <c r="F196" i="11"/>
  <c r="G196" i="11" s="1"/>
  <c r="F125" i="11"/>
  <c r="G125" i="11" s="1"/>
  <c r="F118" i="11"/>
  <c r="G118" i="11" s="1"/>
  <c r="O280" i="11"/>
  <c r="O232" i="11"/>
  <c r="O283" i="11"/>
  <c r="O305" i="11"/>
  <c r="O223" i="11"/>
  <c r="O257" i="11"/>
  <c r="O125" i="11"/>
  <c r="O196" i="11"/>
  <c r="O114" i="11"/>
  <c r="O172" i="11"/>
  <c r="O148" i="11"/>
  <c r="O126" i="11"/>
  <c r="O118" i="11"/>
  <c r="O119" i="11"/>
  <c r="O150" i="11"/>
  <c r="S101" i="11" l="1"/>
  <c r="S19" i="11"/>
  <c r="S79" i="11"/>
  <c r="S53" i="11"/>
  <c r="S28" i="11"/>
  <c r="S76" i="11"/>
  <c r="R23" i="11"/>
  <c r="R94" i="11"/>
  <c r="R17" i="11"/>
  <c r="R70" i="11"/>
  <c r="R16" i="11"/>
  <c r="R12" i="11"/>
  <c r="R48" i="11"/>
  <c r="R24" i="11"/>
  <c r="R46" i="11"/>
  <c r="F271" i="11"/>
  <c r="G271" i="11" s="1"/>
  <c r="F187" i="11"/>
  <c r="G187" i="11" s="1"/>
  <c r="F274" i="11"/>
  <c r="G274" i="11" s="1"/>
  <c r="F189" i="11"/>
  <c r="G189" i="11" s="1"/>
  <c r="F287" i="11"/>
  <c r="G287" i="11" s="1"/>
  <c r="O274" i="11"/>
  <c r="O287" i="11"/>
  <c r="O271" i="11"/>
  <c r="O189" i="11"/>
  <c r="O187" i="11"/>
  <c r="S67" i="11" l="1"/>
  <c r="S83" i="11"/>
  <c r="S70" i="11"/>
  <c r="R85" i="11"/>
  <c r="R87" i="11"/>
  <c r="F309" i="11"/>
  <c r="G309" i="11" s="1"/>
  <c r="F225" i="11"/>
  <c r="G225" i="11" s="1"/>
  <c r="F267" i="11"/>
  <c r="G267" i="11" s="1"/>
  <c r="F247" i="11"/>
  <c r="G247" i="11" s="1"/>
  <c r="F121" i="11"/>
  <c r="G121" i="11" s="1"/>
  <c r="F235" i="11"/>
  <c r="G235" i="11" s="1"/>
  <c r="O309" i="11"/>
  <c r="O267" i="11"/>
  <c r="O225" i="11"/>
  <c r="O235" i="11"/>
  <c r="O247" i="11"/>
  <c r="O121" i="11"/>
  <c r="S43" i="11" l="1"/>
  <c r="S63" i="11"/>
  <c r="S105" i="11"/>
  <c r="S31" i="11"/>
  <c r="S21" i="11"/>
  <c r="R19" i="11"/>
  <c r="F303" i="11"/>
  <c r="G303" i="11" s="1"/>
  <c r="F175" i="11"/>
  <c r="G175" i="11" s="1"/>
  <c r="F313" i="11"/>
  <c r="G313" i="11" s="1"/>
  <c r="O313" i="11"/>
  <c r="O303" i="11"/>
  <c r="O175" i="11"/>
  <c r="S109" i="11" l="1"/>
  <c r="S99" i="11"/>
  <c r="R73" i="11"/>
  <c r="F255" i="11"/>
  <c r="G255" i="11" s="1"/>
  <c r="F288" i="11"/>
  <c r="G288" i="11" s="1"/>
  <c r="F130" i="11"/>
  <c r="G130" i="11" s="1"/>
  <c r="F166" i="11"/>
  <c r="G166" i="11" s="1"/>
  <c r="O288" i="11"/>
  <c r="O255" i="11"/>
  <c r="O130" i="11"/>
  <c r="O166" i="11"/>
  <c r="S84" i="11" l="1"/>
  <c r="S51" i="11"/>
  <c r="R64" i="11"/>
  <c r="R28" i="11"/>
  <c r="F116" i="11"/>
  <c r="G116" i="11" s="1"/>
  <c r="F182" i="11"/>
  <c r="G182" i="11" s="1"/>
  <c r="F207" i="11"/>
  <c r="G207" i="11" s="1"/>
  <c r="F147" i="11"/>
  <c r="G147" i="11" s="1"/>
  <c r="F220" i="11"/>
  <c r="G220" i="11" s="1"/>
  <c r="F251" i="11"/>
  <c r="G251" i="11" s="1"/>
  <c r="F226" i="11"/>
  <c r="G226" i="11" s="1"/>
  <c r="F290" i="11"/>
  <c r="G290" i="11" s="1"/>
  <c r="F301" i="11"/>
  <c r="G301" i="11" s="1"/>
  <c r="F275" i="11"/>
  <c r="G275" i="11" s="1"/>
  <c r="F181" i="11"/>
  <c r="G181" i="11" s="1"/>
  <c r="F258" i="11"/>
  <c r="G258" i="11" s="1"/>
  <c r="F184" i="11"/>
  <c r="G184" i="11" s="1"/>
  <c r="F156" i="11"/>
  <c r="G156" i="11" s="1"/>
  <c r="F254" i="11"/>
  <c r="G254" i="11" s="1"/>
  <c r="F311" i="11"/>
  <c r="G311" i="11" s="1"/>
  <c r="F248" i="11"/>
  <c r="G248" i="11" s="1"/>
  <c r="O248" i="11"/>
  <c r="O226" i="11"/>
  <c r="O290" i="11"/>
  <c r="O301" i="11"/>
  <c r="O220" i="11"/>
  <c r="O254" i="11"/>
  <c r="O258" i="11"/>
  <c r="O275" i="11"/>
  <c r="O251" i="11"/>
  <c r="O311" i="11"/>
  <c r="O116" i="11"/>
  <c r="O182" i="11"/>
  <c r="O156" i="11"/>
  <c r="O207" i="11"/>
  <c r="O181" i="11"/>
  <c r="O184" i="11"/>
  <c r="O147" i="11"/>
  <c r="S54" i="11" l="1"/>
  <c r="S86" i="11"/>
  <c r="S107" i="11"/>
  <c r="S44" i="11"/>
  <c r="S50" i="11"/>
  <c r="S22" i="11"/>
  <c r="S16" i="11"/>
  <c r="S71" i="11"/>
  <c r="S47" i="11"/>
  <c r="S97" i="11"/>
  <c r="R54" i="11"/>
  <c r="R82" i="11"/>
  <c r="R45" i="11"/>
  <c r="R105" i="11"/>
  <c r="R14" i="11"/>
  <c r="R79" i="11"/>
  <c r="R80" i="11"/>
  <c r="F213" i="11"/>
  <c r="G213" i="11" s="1"/>
  <c r="F246" i="11"/>
  <c r="G246" i="11" s="1"/>
  <c r="F270" i="11"/>
  <c r="G270" i="11" s="1"/>
  <c r="F153" i="11"/>
  <c r="G153" i="11" s="1"/>
  <c r="F180" i="11"/>
  <c r="G180" i="11" s="1"/>
  <c r="F286" i="11"/>
  <c r="G286" i="11" s="1"/>
  <c r="F179" i="11"/>
  <c r="G179" i="11" s="1"/>
  <c r="F298" i="11"/>
  <c r="G298" i="11" s="1"/>
  <c r="F216" i="11"/>
  <c r="G216" i="11" s="1"/>
  <c r="F176" i="11"/>
  <c r="G176" i="11" s="1"/>
  <c r="F186" i="11"/>
  <c r="G186" i="11" s="1"/>
  <c r="F239" i="11"/>
  <c r="G239" i="11" s="1"/>
  <c r="F291" i="11"/>
  <c r="G291" i="11" s="1"/>
  <c r="F120" i="11"/>
  <c r="G120" i="11" s="1"/>
  <c r="F237" i="11"/>
  <c r="G237" i="11" s="1"/>
  <c r="F231" i="11"/>
  <c r="G231" i="11" s="1"/>
  <c r="F199" i="11"/>
  <c r="G199" i="11" s="1"/>
  <c r="F307" i="11"/>
  <c r="G307" i="11" s="1"/>
  <c r="F269" i="11"/>
  <c r="G269" i="11" s="1"/>
  <c r="F302" i="11"/>
  <c r="G302" i="11" s="1"/>
  <c r="F214" i="11"/>
  <c r="G214" i="11" s="1"/>
  <c r="F227" i="11"/>
  <c r="G227" i="11" s="1"/>
  <c r="F168" i="11"/>
  <c r="G168" i="11" s="1"/>
  <c r="O307" i="11"/>
  <c r="O239" i="11"/>
  <c r="O214" i="11"/>
  <c r="O237" i="11"/>
  <c r="O227" i="11"/>
  <c r="O269" i="11"/>
  <c r="O286" i="11"/>
  <c r="O298" i="11"/>
  <c r="O213" i="11"/>
  <c r="O302" i="11"/>
  <c r="O291" i="11"/>
  <c r="O270" i="11"/>
  <c r="O216" i="11"/>
  <c r="O231" i="11"/>
  <c r="O246" i="11"/>
  <c r="O180" i="11"/>
  <c r="O186" i="11"/>
  <c r="O168" i="11"/>
  <c r="O199" i="11"/>
  <c r="O120" i="11"/>
  <c r="O179" i="11"/>
  <c r="O176" i="11"/>
  <c r="O153" i="11"/>
  <c r="S10" i="11" l="1"/>
  <c r="S103" i="11"/>
  <c r="S33" i="11"/>
  <c r="S12" i="11"/>
  <c r="S94" i="11"/>
  <c r="S42" i="11"/>
  <c r="S98" i="11"/>
  <c r="S87" i="11"/>
  <c r="S9" i="11"/>
  <c r="S23" i="11"/>
  <c r="S65" i="11"/>
  <c r="S27" i="11"/>
  <c r="S35" i="11"/>
  <c r="S82" i="11"/>
  <c r="S66" i="11"/>
  <c r="R77" i="11"/>
  <c r="R51" i="11"/>
  <c r="R74" i="11"/>
  <c r="R84" i="11"/>
  <c r="R66" i="11"/>
  <c r="R97" i="11"/>
  <c r="R18" i="11"/>
  <c r="R78" i="11"/>
  <c r="F256" i="11"/>
  <c r="G256" i="11" s="1"/>
  <c r="F219" i="11"/>
  <c r="G219" i="11" s="1"/>
  <c r="F210" i="11"/>
  <c r="G210" i="11" s="1"/>
  <c r="O256" i="11"/>
  <c r="O219" i="11"/>
  <c r="O210" i="11"/>
  <c r="S52" i="11" l="1"/>
  <c r="S15" i="11"/>
  <c r="R108" i="11"/>
  <c r="F195" i="11"/>
  <c r="G195" i="11" s="1"/>
  <c r="F203" i="11"/>
  <c r="G203" i="11" s="1"/>
  <c r="F177" i="11"/>
  <c r="G177" i="11" s="1"/>
  <c r="F198" i="11"/>
  <c r="G198" i="11" s="1"/>
  <c r="F139" i="11"/>
  <c r="G139" i="11" s="1"/>
  <c r="F201" i="11"/>
  <c r="G201" i="11" s="1"/>
  <c r="O203" i="11"/>
  <c r="O201" i="11"/>
  <c r="O139" i="11"/>
  <c r="O195" i="11"/>
  <c r="O177" i="11"/>
  <c r="O198" i="11"/>
  <c r="R37" i="11" l="1"/>
  <c r="R99" i="11"/>
  <c r="R96" i="11"/>
  <c r="R93" i="11"/>
  <c r="R101" i="11"/>
  <c r="R75" i="11"/>
  <c r="F124" i="11"/>
  <c r="G124" i="11" s="1"/>
  <c r="F127" i="11"/>
  <c r="G127" i="11" s="1"/>
  <c r="F154" i="11"/>
  <c r="G154" i="11" s="1"/>
  <c r="F164" i="11"/>
  <c r="G164" i="11" s="1"/>
  <c r="F160" i="11"/>
  <c r="G160" i="11" s="1"/>
  <c r="F238" i="11"/>
  <c r="G238" i="11" s="1"/>
  <c r="F144" i="11"/>
  <c r="G144" i="11" s="1"/>
  <c r="F115" i="11"/>
  <c r="G115" i="11" s="1"/>
  <c r="F297" i="11"/>
  <c r="G297" i="11" s="1"/>
  <c r="F122" i="11"/>
  <c r="G122" i="11" s="1"/>
  <c r="O297" i="11"/>
  <c r="O238" i="11"/>
  <c r="O160" i="11"/>
  <c r="O164" i="11"/>
  <c r="O115" i="11"/>
  <c r="O144" i="11"/>
  <c r="O122" i="11"/>
  <c r="O127" i="11"/>
  <c r="O154" i="11"/>
  <c r="O124" i="11"/>
  <c r="S34" i="11" l="1"/>
  <c r="S93" i="11"/>
  <c r="R22" i="11"/>
  <c r="R20" i="11"/>
  <c r="R13" i="11"/>
  <c r="R58" i="11"/>
  <c r="R52" i="11"/>
  <c r="R42" i="11"/>
  <c r="R62" i="11"/>
  <c r="R25" i="11"/>
  <c r="F169" i="11"/>
  <c r="G169" i="11" s="1"/>
  <c r="F282" i="11"/>
  <c r="G282" i="11" s="1"/>
  <c r="F279" i="11"/>
  <c r="G279" i="11" s="1"/>
  <c r="F242" i="11"/>
  <c r="G242" i="11" s="1"/>
  <c r="F310" i="11"/>
  <c r="G310" i="11" s="1"/>
  <c r="F276" i="11"/>
  <c r="G276" i="11" s="1"/>
  <c r="F165" i="11"/>
  <c r="G165" i="11" s="1"/>
  <c r="O310" i="11"/>
  <c r="O279" i="11"/>
  <c r="O282" i="11"/>
  <c r="O276" i="11"/>
  <c r="O242" i="11"/>
  <c r="O165" i="11"/>
  <c r="O169" i="11"/>
  <c r="S38" i="11" l="1"/>
  <c r="S72" i="11"/>
  <c r="S75" i="11"/>
  <c r="S78" i="11"/>
  <c r="S106" i="11"/>
  <c r="R63" i="11"/>
  <c r="R67" i="11"/>
  <c r="F249" i="11"/>
  <c r="G249" i="11" s="1"/>
  <c r="F278" i="11"/>
  <c r="G278" i="11" s="1"/>
  <c r="F285" i="11"/>
  <c r="G285" i="11" s="1"/>
  <c r="F211" i="11"/>
  <c r="G211" i="11" s="1"/>
  <c r="F138" i="11"/>
  <c r="G138" i="11" s="1"/>
  <c r="F268" i="11"/>
  <c r="G268" i="11" s="1"/>
  <c r="F194" i="11"/>
  <c r="G194" i="11" s="1"/>
  <c r="F245" i="11"/>
  <c r="G245" i="11" s="1"/>
  <c r="F217" i="11"/>
  <c r="G217" i="11" s="1"/>
  <c r="F306" i="11"/>
  <c r="G306" i="11" s="1"/>
  <c r="F158" i="11"/>
  <c r="G158" i="11" s="1"/>
  <c r="F240" i="11"/>
  <c r="G240" i="11" s="1"/>
  <c r="F135" i="11"/>
  <c r="G135" i="11" s="1"/>
  <c r="F192" i="11"/>
  <c r="G192" i="11" s="1"/>
  <c r="F178" i="11"/>
  <c r="G178" i="11" s="1"/>
  <c r="F222" i="11"/>
  <c r="G222" i="11" s="1"/>
  <c r="F292" i="11"/>
  <c r="G292" i="11" s="1"/>
  <c r="F133" i="11"/>
  <c r="G133" i="11" s="1"/>
  <c r="F241" i="11"/>
  <c r="G241" i="11" s="1"/>
  <c r="F263" i="11"/>
  <c r="G263" i="11" s="1"/>
  <c r="F163" i="11"/>
  <c r="G163" i="11" s="1"/>
  <c r="F304" i="11"/>
  <c r="G304" i="11" s="1"/>
  <c r="F252" i="11"/>
  <c r="G252" i="11" s="1"/>
  <c r="F141" i="11"/>
  <c r="G141" i="11" s="1"/>
  <c r="F145" i="11"/>
  <c r="G145" i="11" s="1"/>
  <c r="F259" i="11"/>
  <c r="G259" i="11" s="1"/>
  <c r="F218" i="11"/>
  <c r="G218" i="11" s="1"/>
  <c r="F111" i="11"/>
  <c r="G111" i="11" s="1"/>
  <c r="F132" i="11"/>
  <c r="G132" i="11" s="1"/>
  <c r="F312" i="11"/>
  <c r="G312" i="11" s="1"/>
  <c r="F253" i="11"/>
  <c r="G253" i="11" s="1"/>
  <c r="F155" i="11"/>
  <c r="G155" i="11" s="1"/>
  <c r="F204" i="11"/>
  <c r="G204" i="11" s="1"/>
  <c r="F300" i="11"/>
  <c r="G300" i="11" s="1"/>
  <c r="F261" i="11"/>
  <c r="G261" i="11" s="1"/>
  <c r="F134" i="11"/>
  <c r="G134" i="11" s="1"/>
  <c r="F294" i="11"/>
  <c r="G294" i="11" s="1"/>
  <c r="F296" i="11"/>
  <c r="G296" i="11" s="1"/>
  <c r="F117" i="11"/>
  <c r="G117" i="11" s="1"/>
  <c r="F185" i="11"/>
  <c r="G185" i="11" s="1"/>
  <c r="F289" i="11"/>
  <c r="G289" i="11" s="1"/>
  <c r="F230" i="11"/>
  <c r="G230" i="11" s="1"/>
  <c r="F281" i="11"/>
  <c r="G281" i="11" s="1"/>
  <c r="F161" i="11"/>
  <c r="G161" i="11" s="1"/>
  <c r="F224" i="11"/>
  <c r="G224" i="11" s="1"/>
  <c r="F308" i="11"/>
  <c r="G308" i="11" s="1"/>
  <c r="F129" i="11"/>
  <c r="G129" i="11" s="1"/>
  <c r="F183" i="11"/>
  <c r="G183" i="11" s="1"/>
  <c r="F228" i="11"/>
  <c r="G228" i="11" s="1"/>
  <c r="F229" i="11"/>
  <c r="G229" i="11" s="1"/>
  <c r="F140" i="11"/>
  <c r="G140" i="11" s="1"/>
  <c r="F206" i="11"/>
  <c r="G206" i="11" s="1"/>
  <c r="F244" i="11"/>
  <c r="G244" i="11" s="1"/>
  <c r="F233" i="11"/>
  <c r="G233" i="11" s="1"/>
  <c r="F200" i="11"/>
  <c r="G200" i="11" s="1"/>
  <c r="F243" i="11"/>
  <c r="G243" i="11" s="1"/>
  <c r="F234" i="11"/>
  <c r="G234" i="11" s="1"/>
  <c r="O278" i="11"/>
  <c r="O294" i="11"/>
  <c r="O296" i="11"/>
  <c r="O244" i="11"/>
  <c r="O263" i="11"/>
  <c r="O241" i="11"/>
  <c r="O308" i="11"/>
  <c r="O261" i="11"/>
  <c r="O252" i="11"/>
  <c r="O229" i="11"/>
  <c r="O292" i="11"/>
  <c r="O230" i="11"/>
  <c r="O222" i="11"/>
  <c r="O245" i="11"/>
  <c r="O300" i="11"/>
  <c r="O224" i="11"/>
  <c r="O253" i="11"/>
  <c r="O243" i="11"/>
  <c r="O312" i="11"/>
  <c r="O304" i="11"/>
  <c r="O306" i="11"/>
  <c r="O217" i="11"/>
  <c r="O289" i="11"/>
  <c r="O240" i="11"/>
  <c r="O249" i="11"/>
  <c r="O233" i="11"/>
  <c r="O234" i="11"/>
  <c r="O228" i="11"/>
  <c r="O259" i="11"/>
  <c r="O218" i="11"/>
  <c r="O285" i="11"/>
  <c r="O281" i="11"/>
  <c r="O268" i="11"/>
  <c r="O200" i="11"/>
  <c r="O192" i="11"/>
  <c r="O158" i="11"/>
  <c r="O138" i="11"/>
  <c r="O141" i="11"/>
  <c r="O145" i="11"/>
  <c r="O183" i="11"/>
  <c r="O163" i="11"/>
  <c r="O140" i="11"/>
  <c r="O178" i="11"/>
  <c r="O204" i="11"/>
  <c r="O185" i="11"/>
  <c r="O211" i="11"/>
  <c r="O161" i="11"/>
  <c r="O206" i="11"/>
  <c r="O155" i="11"/>
  <c r="O132" i="11"/>
  <c r="O194" i="11"/>
  <c r="O134" i="11"/>
  <c r="O129" i="11"/>
  <c r="O117" i="11"/>
  <c r="O133" i="11"/>
  <c r="O111" i="11"/>
  <c r="O135" i="11"/>
  <c r="S104" i="11" l="1"/>
  <c r="S26" i="11"/>
  <c r="S49" i="11"/>
  <c r="S88" i="11"/>
  <c r="S36" i="11"/>
  <c r="S102" i="11"/>
  <c r="S45" i="11"/>
  <c r="S30" i="11"/>
  <c r="S20" i="11"/>
  <c r="S85" i="11"/>
  <c r="S108" i="11"/>
  <c r="S14" i="11"/>
  <c r="S55" i="11"/>
  <c r="S18" i="11"/>
  <c r="S13" i="11"/>
  <c r="S64" i="11"/>
  <c r="S29" i="11"/>
  <c r="S92" i="11"/>
  <c r="S57" i="11"/>
  <c r="S48" i="11"/>
  <c r="S59" i="11"/>
  <c r="S41" i="11"/>
  <c r="S81" i="11"/>
  <c r="S39" i="11"/>
  <c r="S25" i="11"/>
  <c r="S40" i="11"/>
  <c r="S24" i="11"/>
  <c r="S77" i="11"/>
  <c r="S90" i="11"/>
  <c r="S96" i="11"/>
  <c r="S100" i="11"/>
  <c r="S37" i="11"/>
  <c r="S74" i="11"/>
  <c r="R104" i="11"/>
  <c r="R81" i="11"/>
  <c r="R32" i="11"/>
  <c r="R102" i="11"/>
  <c r="R9" i="11"/>
  <c r="R61" i="11"/>
  <c r="R31" i="11"/>
  <c r="R90" i="11"/>
  <c r="R27" i="11"/>
  <c r="R53" i="11"/>
  <c r="R33" i="11"/>
  <c r="R56" i="11"/>
  <c r="R38" i="11"/>
  <c r="R59" i="11"/>
  <c r="R83" i="11"/>
  <c r="R43" i="11"/>
  <c r="R36" i="11"/>
  <c r="R98" i="11"/>
  <c r="R15" i="11"/>
  <c r="R30" i="11"/>
  <c r="R39" i="11"/>
  <c r="R76" i="11"/>
  <c r="R92" i="11"/>
  <c r="R109" i="11"/>
  <c r="F143" i="11" l="1"/>
  <c r="G143" i="11" s="1"/>
  <c r="F123" i="11"/>
  <c r="G123" i="11" s="1"/>
  <c r="F193" i="11"/>
  <c r="G193" i="11" s="1"/>
  <c r="F299" i="11"/>
  <c r="G299" i="11" s="1"/>
  <c r="O299" i="11"/>
  <c r="O143" i="11"/>
  <c r="O123" i="11"/>
  <c r="O193" i="11"/>
  <c r="S95" i="11" l="1"/>
  <c r="R21" i="11"/>
  <c r="R91" i="11"/>
  <c r="R41" i="11"/>
  <c r="C47" i="1" l="1"/>
  <c r="C46" i="1" l="1"/>
  <c r="F5" i="10" s="1"/>
  <c r="F5" i="2" s="1"/>
  <c r="C48" i="1"/>
  <c r="C6" i="10" s="1"/>
  <c r="C45" i="1"/>
  <c r="F4" i="10" s="1"/>
  <c r="C97" i="10" l="1"/>
  <c r="C103" i="10"/>
  <c r="C93" i="10"/>
  <c r="C101" i="10"/>
  <c r="C101" i="7" s="1"/>
  <c r="C91" i="10"/>
  <c r="C91" i="2" s="1"/>
  <c r="C89" i="10"/>
  <c r="C89" i="7" s="1"/>
  <c r="C105" i="10"/>
  <c r="C105" i="2" s="1"/>
  <c r="C99" i="10"/>
  <c r="C99" i="2" s="1"/>
  <c r="C95" i="10"/>
  <c r="C95" i="7" s="1"/>
  <c r="C85" i="10"/>
  <c r="C85" i="2" s="1"/>
  <c r="C81" i="10"/>
  <c r="C81" i="7" s="1"/>
  <c r="C105" i="7"/>
  <c r="C97" i="2"/>
  <c r="C97" i="7"/>
  <c r="C104" i="10"/>
  <c r="C100" i="10"/>
  <c r="C96" i="10"/>
  <c r="C92" i="10"/>
  <c r="C88" i="10"/>
  <c r="C84" i="10"/>
  <c r="C79" i="10"/>
  <c r="C76" i="10"/>
  <c r="C72" i="10"/>
  <c r="C68" i="10"/>
  <c r="C64" i="10"/>
  <c r="C60" i="10"/>
  <c r="C56" i="10"/>
  <c r="C52" i="10"/>
  <c r="C48" i="10"/>
  <c r="C44" i="10"/>
  <c r="C39" i="10"/>
  <c r="C36" i="10"/>
  <c r="C32" i="10"/>
  <c r="C28" i="10"/>
  <c r="C87" i="10"/>
  <c r="C83" i="10"/>
  <c r="C80" i="10"/>
  <c r="C75" i="10"/>
  <c r="C71" i="10"/>
  <c r="C67" i="10"/>
  <c r="C63" i="10"/>
  <c r="C59" i="10"/>
  <c r="C55" i="10"/>
  <c r="C51" i="10"/>
  <c r="C47" i="10"/>
  <c r="C42" i="10"/>
  <c r="C40" i="10"/>
  <c r="C35" i="10"/>
  <c r="C31" i="10"/>
  <c r="C27" i="10"/>
  <c r="C103" i="7"/>
  <c r="C103" i="2"/>
  <c r="C102" i="10"/>
  <c r="C98" i="10"/>
  <c r="C94" i="10"/>
  <c r="C90" i="10"/>
  <c r="C86" i="10"/>
  <c r="C82" i="10"/>
  <c r="C78" i="10"/>
  <c r="C74" i="10"/>
  <c r="C70" i="10"/>
  <c r="C66" i="10"/>
  <c r="C62" i="10"/>
  <c r="C58" i="10"/>
  <c r="C54" i="10"/>
  <c r="C50" i="10"/>
  <c r="C46" i="10"/>
  <c r="C43" i="10"/>
  <c r="C38" i="10"/>
  <c r="C34" i="10"/>
  <c r="C30" i="10"/>
  <c r="C26" i="10"/>
  <c r="C93" i="7"/>
  <c r="C93" i="2"/>
  <c r="C77" i="10"/>
  <c r="C73" i="10"/>
  <c r="C69" i="10"/>
  <c r="C65" i="10"/>
  <c r="C61" i="10"/>
  <c r="C57" i="10"/>
  <c r="C53" i="10"/>
  <c r="C49" i="10"/>
  <c r="C45" i="10"/>
  <c r="C41" i="10"/>
  <c r="C37" i="10"/>
  <c r="C33" i="10"/>
  <c r="C29" i="10"/>
  <c r="G6" i="10"/>
  <c r="C6" i="7"/>
  <c r="C6" i="2"/>
  <c r="C8" i="10"/>
  <c r="C12" i="10"/>
  <c r="C16" i="10"/>
  <c r="C20" i="10"/>
  <c r="C24" i="10"/>
  <c r="C11" i="10"/>
  <c r="C19" i="10"/>
  <c r="C5" i="10"/>
  <c r="C9" i="10"/>
  <c r="C13" i="10"/>
  <c r="C17" i="10"/>
  <c r="C21" i="10"/>
  <c r="C25" i="10"/>
  <c r="C7" i="10"/>
  <c r="C15" i="10"/>
  <c r="C23" i="10"/>
  <c r="C18" i="10"/>
  <c r="C22" i="10"/>
  <c r="C10" i="10"/>
  <c r="C4" i="10"/>
  <c r="C14" i="10"/>
  <c r="G4" i="10"/>
  <c r="F4" i="2"/>
  <c r="G5" i="10"/>
  <c r="C101" i="2" l="1"/>
  <c r="C89" i="2"/>
  <c r="C91" i="7"/>
  <c r="C99" i="7"/>
  <c r="C81" i="2"/>
  <c r="C85" i="7"/>
  <c r="C95" i="2"/>
  <c r="H7" i="10"/>
  <c r="G6" i="2"/>
  <c r="H6" i="10"/>
  <c r="H6" i="2" s="1"/>
  <c r="C41" i="2"/>
  <c r="C41" i="7"/>
  <c r="C57" i="2"/>
  <c r="C57" i="7"/>
  <c r="C73" i="7"/>
  <c r="C73" i="2"/>
  <c r="C26" i="2"/>
  <c r="C26" i="7"/>
  <c r="C43" i="2"/>
  <c r="C43" i="7"/>
  <c r="C58" i="2"/>
  <c r="C58" i="7"/>
  <c r="C74" i="2"/>
  <c r="C74" i="7"/>
  <c r="C90" i="7"/>
  <c r="C90" i="2"/>
  <c r="C27" i="2"/>
  <c r="C27" i="7"/>
  <c r="C42" i="7"/>
  <c r="C42" i="2"/>
  <c r="C59" i="2"/>
  <c r="C59" i="7"/>
  <c r="C75" i="7"/>
  <c r="C75" i="2"/>
  <c r="C28" i="2"/>
  <c r="C28" i="7"/>
  <c r="C44" i="7"/>
  <c r="C44" i="2"/>
  <c r="C60" i="7"/>
  <c r="C60" i="2"/>
  <c r="C76" i="2"/>
  <c r="C76" i="7"/>
  <c r="C92" i="7"/>
  <c r="C92" i="2"/>
  <c r="C29" i="2"/>
  <c r="C29" i="7"/>
  <c r="C45" i="2"/>
  <c r="C45" i="7"/>
  <c r="C61" i="7"/>
  <c r="C61" i="2"/>
  <c r="C77" i="2"/>
  <c r="C77" i="7"/>
  <c r="C30" i="2"/>
  <c r="C30" i="7"/>
  <c r="C46" i="2"/>
  <c r="C46" i="7"/>
  <c r="C62" i="2"/>
  <c r="C62" i="7"/>
  <c r="C78" i="7"/>
  <c r="C78" i="2"/>
  <c r="C94" i="2"/>
  <c r="C94" i="7"/>
  <c r="C31" i="7"/>
  <c r="C31" i="2"/>
  <c r="C47" i="2"/>
  <c r="C47" i="7"/>
  <c r="C63" i="2"/>
  <c r="C63" i="7"/>
  <c r="C80" i="7"/>
  <c r="C80" i="2"/>
  <c r="C32" i="7"/>
  <c r="C32" i="2"/>
  <c r="C48" i="7"/>
  <c r="C48" i="2"/>
  <c r="C64" i="2"/>
  <c r="C64" i="7"/>
  <c r="C79" i="7"/>
  <c r="C79" i="2"/>
  <c r="C96" i="2"/>
  <c r="C96" i="7"/>
  <c r="C33" i="2"/>
  <c r="C33" i="7"/>
  <c r="C49" i="2"/>
  <c r="C49" i="7"/>
  <c r="C65" i="2"/>
  <c r="C65" i="7"/>
  <c r="C34" i="7"/>
  <c r="C34" i="2"/>
  <c r="C50" i="2"/>
  <c r="C50" i="7"/>
  <c r="C66" i="2"/>
  <c r="C66" i="7"/>
  <c r="C82" i="2"/>
  <c r="C82" i="7"/>
  <c r="C98" i="7"/>
  <c r="C98" i="2"/>
  <c r="C35" i="2"/>
  <c r="C35" i="7"/>
  <c r="C51" i="7"/>
  <c r="C51" i="2"/>
  <c r="C67" i="7"/>
  <c r="C67" i="2"/>
  <c r="C83" i="2"/>
  <c r="C83" i="7"/>
  <c r="C36" i="2"/>
  <c r="C36" i="7"/>
  <c r="C52" i="2"/>
  <c r="C52" i="7"/>
  <c r="C68" i="2"/>
  <c r="C68" i="7"/>
  <c r="C84" i="2"/>
  <c r="C84" i="7"/>
  <c r="C100" i="2"/>
  <c r="C100" i="7"/>
  <c r="C37" i="2"/>
  <c r="C37" i="7"/>
  <c r="C53" i="2"/>
  <c r="C53" i="7"/>
  <c r="C69" i="7"/>
  <c r="C69" i="2"/>
  <c r="C38" i="2"/>
  <c r="C38" i="7"/>
  <c r="C54" i="7"/>
  <c r="C54" i="2"/>
  <c r="C70" i="7"/>
  <c r="C70" i="2"/>
  <c r="C86" i="2"/>
  <c r="C86" i="7"/>
  <c r="C102" i="7"/>
  <c r="C102" i="2"/>
  <c r="C40" i="7"/>
  <c r="C40" i="2"/>
  <c r="C55" i="7"/>
  <c r="C55" i="2"/>
  <c r="C71" i="2"/>
  <c r="C71" i="7"/>
  <c r="C87" i="7"/>
  <c r="C87" i="2"/>
  <c r="C39" i="7"/>
  <c r="C39" i="2"/>
  <c r="C56" i="2"/>
  <c r="C56" i="7"/>
  <c r="C72" i="7"/>
  <c r="C72" i="2"/>
  <c r="C88" i="7"/>
  <c r="C88" i="2"/>
  <c r="C104" i="7"/>
  <c r="C104" i="2"/>
  <c r="C22" i="2"/>
  <c r="C22" i="7"/>
  <c r="C11" i="2"/>
  <c r="C11" i="7"/>
  <c r="C12" i="7"/>
  <c r="C12" i="2"/>
  <c r="C14" i="2"/>
  <c r="C14" i="7"/>
  <c r="C18" i="7"/>
  <c r="C18" i="2"/>
  <c r="C25" i="2"/>
  <c r="C25" i="7"/>
  <c r="C9" i="7"/>
  <c r="C9" i="2"/>
  <c r="C24" i="2"/>
  <c r="C24" i="7"/>
  <c r="C8" i="2"/>
  <c r="C8" i="7"/>
  <c r="C13" i="2"/>
  <c r="C13" i="7"/>
  <c r="C4" i="7"/>
  <c r="C4" i="2"/>
  <c r="C2" i="10"/>
  <c r="C23" i="2"/>
  <c r="C23" i="7"/>
  <c r="C21" i="7"/>
  <c r="C21" i="2"/>
  <c r="C5" i="2"/>
  <c r="C5" i="7"/>
  <c r="C20" i="2"/>
  <c r="C20" i="7"/>
  <c r="C7" i="2"/>
  <c r="C7" i="7"/>
  <c r="C10" i="7"/>
  <c r="C10" i="2"/>
  <c r="C15" i="7"/>
  <c r="C15" i="2"/>
  <c r="C17" i="7"/>
  <c r="C17" i="2"/>
  <c r="C19" i="7"/>
  <c r="C19" i="2"/>
  <c r="C16" i="2"/>
  <c r="C16" i="7"/>
  <c r="H4" i="10"/>
  <c r="G4" i="2"/>
  <c r="H5" i="10"/>
  <c r="G5" i="2"/>
  <c r="I7" i="10"/>
  <c r="I6" i="10" l="1"/>
  <c r="I6" i="2" s="1"/>
  <c r="I8" i="10"/>
  <c r="J8" i="10" s="1"/>
  <c r="H7" i="2"/>
  <c r="C2" i="7"/>
  <c r="C2" i="2"/>
  <c r="J7" i="10"/>
  <c r="I7" i="2"/>
  <c r="H4" i="2"/>
  <c r="I4" i="10"/>
  <c r="I5" i="10"/>
  <c r="H5" i="2"/>
  <c r="J6" i="10"/>
  <c r="J9" i="10" l="1"/>
  <c r="K9" i="10" s="1"/>
  <c r="I8" i="2"/>
  <c r="J5" i="10"/>
  <c r="I5" i="2"/>
  <c r="J4" i="10"/>
  <c r="I4" i="2"/>
  <c r="K6" i="10"/>
  <c r="J6" i="2"/>
  <c r="K8" i="10"/>
  <c r="J8" i="2"/>
  <c r="K7" i="10"/>
  <c r="J7" i="2"/>
  <c r="K10" i="10" l="1"/>
  <c r="L10" i="10" s="1"/>
  <c r="J9" i="2"/>
  <c r="L8" i="10"/>
  <c r="K8" i="2"/>
  <c r="L6" i="10"/>
  <c r="K6" i="2"/>
  <c r="J4" i="2"/>
  <c r="K4" i="10"/>
  <c r="L9" i="10"/>
  <c r="K9" i="2"/>
  <c r="L7" i="10"/>
  <c r="K7" i="2"/>
  <c r="K5" i="10"/>
  <c r="J5" i="2"/>
  <c r="L11" i="10" l="1"/>
  <c r="M11" i="10" s="1"/>
  <c r="N11" i="10" s="1"/>
  <c r="O11" i="10" s="1"/>
  <c r="P11" i="10" s="1"/>
  <c r="Q11" i="10" s="1"/>
  <c r="R11" i="10" s="1"/>
  <c r="S11" i="10" s="1"/>
  <c r="T11" i="10" s="1"/>
  <c r="U11" i="10" s="1"/>
  <c r="V11" i="10" s="1"/>
  <c r="W11" i="10" s="1"/>
  <c r="X11" i="10" s="1"/>
  <c r="Y11" i="10" s="1"/>
  <c r="Z11" i="10" s="1"/>
  <c r="AA11" i="10" s="1"/>
  <c r="K10" i="2"/>
  <c r="L5" i="10"/>
  <c r="K5" i="2"/>
  <c r="M9" i="10"/>
  <c r="N9" i="10" s="1"/>
  <c r="O9" i="10" s="1"/>
  <c r="P9" i="10" s="1"/>
  <c r="Q9" i="10" s="1"/>
  <c r="R9" i="10" s="1"/>
  <c r="S9" i="10" s="1"/>
  <c r="T9" i="10" s="1"/>
  <c r="U9" i="10" s="1"/>
  <c r="V9" i="10" s="1"/>
  <c r="W9" i="10" s="1"/>
  <c r="X9" i="10" s="1"/>
  <c r="Y9" i="10" s="1"/>
  <c r="Z9" i="10" s="1"/>
  <c r="AA9" i="10" s="1"/>
  <c r="L9" i="2"/>
  <c r="M6" i="10"/>
  <c r="N6" i="10" s="1"/>
  <c r="O6" i="10" s="1"/>
  <c r="P6" i="10" s="1"/>
  <c r="Q6" i="10" s="1"/>
  <c r="R6" i="10" s="1"/>
  <c r="S6" i="10" s="1"/>
  <c r="T6" i="10" s="1"/>
  <c r="U6" i="10" s="1"/>
  <c r="V6" i="10" s="1"/>
  <c r="W6" i="10" s="1"/>
  <c r="X6" i="10" s="1"/>
  <c r="Y6" i="10" s="1"/>
  <c r="Z6" i="10" s="1"/>
  <c r="AA6" i="10" s="1"/>
  <c r="L6" i="2"/>
  <c r="M10" i="10"/>
  <c r="N10" i="10" s="1"/>
  <c r="O10" i="10" s="1"/>
  <c r="P10" i="10" s="1"/>
  <c r="Q10" i="10" s="1"/>
  <c r="R10" i="10" s="1"/>
  <c r="S10" i="10" s="1"/>
  <c r="T10" i="10" s="1"/>
  <c r="U10" i="10" s="1"/>
  <c r="V10" i="10" s="1"/>
  <c r="W10" i="10" s="1"/>
  <c r="X10" i="10" s="1"/>
  <c r="Y10" i="10" s="1"/>
  <c r="Z10" i="10" s="1"/>
  <c r="AA10" i="10" s="1"/>
  <c r="L10" i="2"/>
  <c r="M7" i="10"/>
  <c r="N7" i="10" s="1"/>
  <c r="O7" i="10" s="1"/>
  <c r="P7" i="10" s="1"/>
  <c r="Q7" i="10" s="1"/>
  <c r="R7" i="10" s="1"/>
  <c r="S7" i="10" s="1"/>
  <c r="T7" i="10" s="1"/>
  <c r="U7" i="10" s="1"/>
  <c r="V7" i="10" s="1"/>
  <c r="W7" i="10" s="1"/>
  <c r="X7" i="10" s="1"/>
  <c r="Y7" i="10" s="1"/>
  <c r="Z7" i="10" s="1"/>
  <c r="AA7" i="10" s="1"/>
  <c r="L7" i="2"/>
  <c r="L4" i="10"/>
  <c r="K4" i="2"/>
  <c r="M8" i="10"/>
  <c r="N8" i="10" s="1"/>
  <c r="O8" i="10" s="1"/>
  <c r="P8" i="10" s="1"/>
  <c r="Q8" i="10" s="1"/>
  <c r="R8" i="10" s="1"/>
  <c r="S8" i="10" s="1"/>
  <c r="T8" i="10" s="1"/>
  <c r="U8" i="10" s="1"/>
  <c r="V8" i="10" s="1"/>
  <c r="W8" i="10" s="1"/>
  <c r="X8" i="10" s="1"/>
  <c r="Y8" i="10" s="1"/>
  <c r="Z8" i="10" s="1"/>
  <c r="AA8" i="10" s="1"/>
  <c r="L8" i="2"/>
  <c r="M12" i="10" l="1"/>
  <c r="L11" i="2"/>
  <c r="AB7" i="10"/>
  <c r="AA7" i="2"/>
  <c r="AB11" i="10"/>
  <c r="AA11" i="2"/>
  <c r="AB10" i="10"/>
  <c r="AA10" i="2"/>
  <c r="AB6" i="10"/>
  <c r="AA6" i="2"/>
  <c r="AB9" i="10"/>
  <c r="AA9" i="2"/>
  <c r="AB8" i="10"/>
  <c r="AA8" i="2"/>
  <c r="M6" i="2"/>
  <c r="M11" i="2"/>
  <c r="M8" i="2"/>
  <c r="L4" i="2"/>
  <c r="M4" i="10"/>
  <c r="N4" i="10" s="1"/>
  <c r="O4" i="10" s="1"/>
  <c r="P4" i="10" s="1"/>
  <c r="Q4" i="10" s="1"/>
  <c r="R4" i="10" s="1"/>
  <c r="S4" i="10" s="1"/>
  <c r="T4" i="10" s="1"/>
  <c r="U4" i="10" s="1"/>
  <c r="V4" i="10" s="1"/>
  <c r="W4" i="10" s="1"/>
  <c r="X4" i="10" s="1"/>
  <c r="Y4" i="10" s="1"/>
  <c r="Z4" i="10" s="1"/>
  <c r="AA4" i="10" s="1"/>
  <c r="M10" i="2"/>
  <c r="L5" i="2"/>
  <c r="M5" i="10"/>
  <c r="N5" i="10" s="1"/>
  <c r="O5" i="10" s="1"/>
  <c r="P5" i="10" s="1"/>
  <c r="Q5" i="10" s="1"/>
  <c r="R5" i="10" s="1"/>
  <c r="S5" i="10" s="1"/>
  <c r="T5" i="10" s="1"/>
  <c r="U5" i="10" s="1"/>
  <c r="V5" i="10" s="1"/>
  <c r="W5" i="10" s="1"/>
  <c r="X5" i="10" s="1"/>
  <c r="Y5" i="10" s="1"/>
  <c r="Z5" i="10" s="1"/>
  <c r="AA5" i="10" s="1"/>
  <c r="M7" i="2"/>
  <c r="M9" i="2"/>
  <c r="M12" i="2" l="1"/>
  <c r="N12" i="10"/>
  <c r="O12" i="10" s="1"/>
  <c r="P12" i="10" s="1"/>
  <c r="Q12" i="10" s="1"/>
  <c r="R12" i="10" s="1"/>
  <c r="S12" i="10" s="1"/>
  <c r="T12" i="10" s="1"/>
  <c r="U12" i="10" s="1"/>
  <c r="V12" i="10" s="1"/>
  <c r="W12" i="10" s="1"/>
  <c r="X12" i="10" s="1"/>
  <c r="Y12" i="10" s="1"/>
  <c r="Z12" i="10" s="1"/>
  <c r="AA12" i="10" s="1"/>
  <c r="N13" i="10"/>
  <c r="AB5" i="10"/>
  <c r="AA5" i="2"/>
  <c r="AC6" i="10"/>
  <c r="AB6" i="2"/>
  <c r="AC11" i="10"/>
  <c r="AB11" i="2"/>
  <c r="AB4" i="10"/>
  <c r="AA4" i="2"/>
  <c r="AC9" i="10"/>
  <c r="AB9" i="2"/>
  <c r="AC8" i="10"/>
  <c r="AB8" i="2"/>
  <c r="AC10" i="10"/>
  <c r="AB10" i="2"/>
  <c r="AC7" i="10"/>
  <c r="AB7" i="2"/>
  <c r="N10" i="2"/>
  <c r="M4" i="2"/>
  <c r="N6" i="2"/>
  <c r="M5" i="2"/>
  <c r="N9" i="2"/>
  <c r="N7" i="2"/>
  <c r="N8" i="2"/>
  <c r="N11" i="2"/>
  <c r="AA12" i="2" l="1"/>
  <c r="AB12" i="10"/>
  <c r="N12" i="2"/>
  <c r="N13" i="2"/>
  <c r="O13" i="10"/>
  <c r="P13" i="10" s="1"/>
  <c r="Q13" i="10" s="1"/>
  <c r="R13" i="10" s="1"/>
  <c r="S13" i="10" s="1"/>
  <c r="T13" i="10" s="1"/>
  <c r="U13" i="10" s="1"/>
  <c r="V13" i="10" s="1"/>
  <c r="W13" i="10" s="1"/>
  <c r="X13" i="10" s="1"/>
  <c r="Y13" i="10" s="1"/>
  <c r="Z13" i="10" s="1"/>
  <c r="AA13" i="10" s="1"/>
  <c r="O14" i="10"/>
  <c r="AD11" i="10"/>
  <c r="AC11" i="2"/>
  <c r="AD10" i="10"/>
  <c r="AC10" i="2"/>
  <c r="AD8" i="10"/>
  <c r="AC8" i="2"/>
  <c r="AC4" i="10"/>
  <c r="AB4" i="2"/>
  <c r="AD7" i="10"/>
  <c r="AC7" i="2"/>
  <c r="AD9" i="10"/>
  <c r="AC9" i="2"/>
  <c r="AD6" i="10"/>
  <c r="AC6" i="2"/>
  <c r="AC5" i="10"/>
  <c r="AB5" i="2"/>
  <c r="O11" i="2"/>
  <c r="O8" i="2"/>
  <c r="O7" i="2"/>
  <c r="N5" i="2"/>
  <c r="O12" i="2"/>
  <c r="O9" i="2"/>
  <c r="O6" i="2"/>
  <c r="N4" i="2"/>
  <c r="O10" i="2"/>
  <c r="AB13" i="10" l="1"/>
  <c r="AA13" i="2"/>
  <c r="AB12" i="2"/>
  <c r="AC12" i="10"/>
  <c r="O13" i="2"/>
  <c r="O14" i="2"/>
  <c r="P14" i="10"/>
  <c r="P15" i="10"/>
  <c r="AD5" i="10"/>
  <c r="AC5" i="2"/>
  <c r="AD4" i="10"/>
  <c r="AC4" i="2"/>
  <c r="AE8" i="10"/>
  <c r="AD8" i="2"/>
  <c r="AE6" i="10"/>
  <c r="AD6" i="2"/>
  <c r="AE9" i="10"/>
  <c r="AD9" i="2"/>
  <c r="AE7" i="10"/>
  <c r="AD7" i="2"/>
  <c r="AE11" i="10"/>
  <c r="AD11" i="2"/>
  <c r="AE10" i="10"/>
  <c r="AD10" i="2"/>
  <c r="P10" i="2"/>
  <c r="P13" i="2"/>
  <c r="P9" i="2"/>
  <c r="O5" i="2"/>
  <c r="P8" i="2"/>
  <c r="O4" i="2"/>
  <c r="P6" i="2"/>
  <c r="P7" i="2"/>
  <c r="P12" i="2"/>
  <c r="P11" i="2"/>
  <c r="AC12" i="2" l="1"/>
  <c r="AD12" i="10"/>
  <c r="AC13" i="10"/>
  <c r="AB13" i="2"/>
  <c r="P15" i="2"/>
  <c r="Q15" i="10"/>
  <c r="Q16" i="10"/>
  <c r="Q14" i="10"/>
  <c r="P14" i="2"/>
  <c r="AF9" i="10"/>
  <c r="AE9" i="2"/>
  <c r="AE4" i="10"/>
  <c r="AD4" i="2"/>
  <c r="AF10" i="10"/>
  <c r="AE10" i="2"/>
  <c r="AF11" i="10"/>
  <c r="AE11" i="2"/>
  <c r="AF7" i="10"/>
  <c r="AE7" i="2"/>
  <c r="AF6" i="10"/>
  <c r="AE6" i="2"/>
  <c r="AF8" i="10"/>
  <c r="AE8" i="2"/>
  <c r="AE5" i="10"/>
  <c r="AD5" i="2"/>
  <c r="Q8" i="2"/>
  <c r="Q9" i="2"/>
  <c r="Q13" i="2"/>
  <c r="P4" i="2"/>
  <c r="Q11" i="2"/>
  <c r="Q12" i="2"/>
  <c r="Q6" i="2"/>
  <c r="P5" i="2"/>
  <c r="Q10" i="2"/>
  <c r="Q7" i="2"/>
  <c r="AD13" i="10" l="1"/>
  <c r="AC13" i="2"/>
  <c r="AD12" i="2"/>
  <c r="AE12" i="10"/>
  <c r="R14" i="10"/>
  <c r="Q14" i="2"/>
  <c r="Q16" i="2"/>
  <c r="R16" i="10"/>
  <c r="R17" i="10"/>
  <c r="R15" i="10"/>
  <c r="Q15" i="2"/>
  <c r="AF4" i="10"/>
  <c r="AE4" i="2"/>
  <c r="AG9" i="10"/>
  <c r="AF9" i="2"/>
  <c r="AF5" i="10"/>
  <c r="AE5" i="2"/>
  <c r="AG8" i="10"/>
  <c r="AF8" i="2"/>
  <c r="AG7" i="10"/>
  <c r="AF7" i="2"/>
  <c r="AG6" i="10"/>
  <c r="AF6" i="2"/>
  <c r="AG11" i="10"/>
  <c r="AF11" i="2"/>
  <c r="AG10" i="10"/>
  <c r="AF10" i="2"/>
  <c r="R7" i="2"/>
  <c r="R6" i="2"/>
  <c r="Q4" i="2"/>
  <c r="R9" i="2"/>
  <c r="R10" i="2"/>
  <c r="Q5" i="2"/>
  <c r="R12" i="2"/>
  <c r="R8" i="2"/>
  <c r="R11" i="2"/>
  <c r="R13" i="2"/>
  <c r="AF12" i="10" l="1"/>
  <c r="AE12" i="2"/>
  <c r="AE13" i="10"/>
  <c r="AD13" i="2"/>
  <c r="S16" i="10"/>
  <c r="R16" i="2"/>
  <c r="S15" i="10"/>
  <c r="R15" i="2"/>
  <c r="R17" i="2"/>
  <c r="S18" i="10"/>
  <c r="S17" i="10"/>
  <c r="S14" i="10"/>
  <c r="R14" i="2"/>
  <c r="AH11" i="10"/>
  <c r="AI11" i="10" s="1"/>
  <c r="AJ11" i="10" s="1"/>
  <c r="AK11" i="10" s="1"/>
  <c r="AL11" i="10" s="1"/>
  <c r="AM11" i="10" s="1"/>
  <c r="AN11" i="10" s="1"/>
  <c r="AO11" i="10" s="1"/>
  <c r="AP11" i="10" s="1"/>
  <c r="AQ11" i="10" s="1"/>
  <c r="AR11" i="10" s="1"/>
  <c r="AS11" i="10" s="1"/>
  <c r="AT11" i="10" s="1"/>
  <c r="AU11" i="10" s="1"/>
  <c r="AV11" i="10" s="1"/>
  <c r="AW11" i="10" s="1"/>
  <c r="AX11" i="10" s="1"/>
  <c r="AY11" i="10" s="1"/>
  <c r="AZ11" i="10" s="1"/>
  <c r="BA11" i="10" s="1"/>
  <c r="BB11" i="10" s="1"/>
  <c r="BC11" i="10" s="1"/>
  <c r="BD11" i="10" s="1"/>
  <c r="BE11" i="10" s="1"/>
  <c r="BF11" i="10" s="1"/>
  <c r="BG11" i="10" s="1"/>
  <c r="BH11" i="10" s="1"/>
  <c r="BI11" i="10" s="1"/>
  <c r="BJ11" i="10" s="1"/>
  <c r="BK11" i="10" s="1"/>
  <c r="BL11" i="10" s="1"/>
  <c r="BM11" i="10" s="1"/>
  <c r="BN11" i="10" s="1"/>
  <c r="BO11" i="10" s="1"/>
  <c r="BP11" i="10" s="1"/>
  <c r="BQ11" i="10" s="1"/>
  <c r="BR11" i="10" s="1"/>
  <c r="BS11" i="10" s="1"/>
  <c r="BT11" i="10" s="1"/>
  <c r="BU11" i="10" s="1"/>
  <c r="BV11" i="10" s="1"/>
  <c r="BW11" i="10" s="1"/>
  <c r="BX11" i="10" s="1"/>
  <c r="BY11" i="10" s="1"/>
  <c r="BZ11" i="10" s="1"/>
  <c r="CA11" i="10" s="1"/>
  <c r="CB11" i="10" s="1"/>
  <c r="CC11" i="10" s="1"/>
  <c r="CD11" i="10" s="1"/>
  <c r="CE11" i="10" s="1"/>
  <c r="CF11" i="10" s="1"/>
  <c r="CG11" i="10" s="1"/>
  <c r="CH11" i="10" s="1"/>
  <c r="CI11" i="10" s="1"/>
  <c r="CJ11" i="10" s="1"/>
  <c r="CK11" i="10" s="1"/>
  <c r="CL11" i="10" s="1"/>
  <c r="CM11" i="10" s="1"/>
  <c r="CN11" i="10" s="1"/>
  <c r="CO11" i="10" s="1"/>
  <c r="CP11" i="10" s="1"/>
  <c r="CQ11" i="10" s="1"/>
  <c r="CR11" i="10" s="1"/>
  <c r="CS11" i="10" s="1"/>
  <c r="CT11" i="10" s="1"/>
  <c r="CU11" i="10" s="1"/>
  <c r="CV11" i="10" s="1"/>
  <c r="CW11" i="10" s="1"/>
  <c r="CX11" i="10" s="1"/>
  <c r="CY11" i="10" s="1"/>
  <c r="CZ11" i="10" s="1"/>
  <c r="DA11" i="10" s="1"/>
  <c r="DB11" i="10" s="1"/>
  <c r="AG11" i="2"/>
  <c r="AH7" i="10"/>
  <c r="AI7" i="10" s="1"/>
  <c r="AJ7" i="10" s="1"/>
  <c r="AK7" i="10" s="1"/>
  <c r="AL7" i="10" s="1"/>
  <c r="AM7" i="10" s="1"/>
  <c r="AN7" i="10" s="1"/>
  <c r="AO7" i="10" s="1"/>
  <c r="AP7" i="10" s="1"/>
  <c r="AQ7" i="10" s="1"/>
  <c r="AR7" i="10" s="1"/>
  <c r="AS7" i="10" s="1"/>
  <c r="AT7" i="10" s="1"/>
  <c r="AU7" i="10" s="1"/>
  <c r="AV7" i="10" s="1"/>
  <c r="AW7" i="10" s="1"/>
  <c r="AX7" i="10" s="1"/>
  <c r="AY7" i="10" s="1"/>
  <c r="AZ7" i="10" s="1"/>
  <c r="BA7" i="10" s="1"/>
  <c r="BB7" i="10" s="1"/>
  <c r="BC7" i="10" s="1"/>
  <c r="BD7" i="10" s="1"/>
  <c r="BE7" i="10" s="1"/>
  <c r="BF7" i="10" s="1"/>
  <c r="BG7" i="10" s="1"/>
  <c r="BH7" i="10" s="1"/>
  <c r="BI7" i="10" s="1"/>
  <c r="BJ7" i="10" s="1"/>
  <c r="BK7" i="10" s="1"/>
  <c r="BL7" i="10" s="1"/>
  <c r="BM7" i="10" s="1"/>
  <c r="BN7" i="10" s="1"/>
  <c r="BO7" i="10" s="1"/>
  <c r="BP7" i="10" s="1"/>
  <c r="BQ7" i="10" s="1"/>
  <c r="BR7" i="10" s="1"/>
  <c r="BS7" i="10" s="1"/>
  <c r="BT7" i="10" s="1"/>
  <c r="BU7" i="10" s="1"/>
  <c r="BV7" i="10" s="1"/>
  <c r="BW7" i="10" s="1"/>
  <c r="BX7" i="10" s="1"/>
  <c r="BY7" i="10" s="1"/>
  <c r="BZ7" i="10" s="1"/>
  <c r="CA7" i="10" s="1"/>
  <c r="CB7" i="10" s="1"/>
  <c r="CC7" i="10" s="1"/>
  <c r="CD7" i="10" s="1"/>
  <c r="CE7" i="10" s="1"/>
  <c r="CF7" i="10" s="1"/>
  <c r="CG7" i="10" s="1"/>
  <c r="CH7" i="10" s="1"/>
  <c r="CI7" i="10" s="1"/>
  <c r="CJ7" i="10" s="1"/>
  <c r="CK7" i="10" s="1"/>
  <c r="CL7" i="10" s="1"/>
  <c r="CM7" i="10" s="1"/>
  <c r="CN7" i="10" s="1"/>
  <c r="CO7" i="10" s="1"/>
  <c r="CP7" i="10" s="1"/>
  <c r="CQ7" i="10" s="1"/>
  <c r="CR7" i="10" s="1"/>
  <c r="CS7" i="10" s="1"/>
  <c r="CT7" i="10" s="1"/>
  <c r="CU7" i="10" s="1"/>
  <c r="CV7" i="10" s="1"/>
  <c r="CW7" i="10" s="1"/>
  <c r="CX7" i="10" s="1"/>
  <c r="CY7" i="10" s="1"/>
  <c r="CZ7" i="10" s="1"/>
  <c r="DA7" i="10" s="1"/>
  <c r="DB7" i="10" s="1"/>
  <c r="AG7" i="2"/>
  <c r="AH9" i="10"/>
  <c r="AI9" i="10" s="1"/>
  <c r="AJ9" i="10" s="1"/>
  <c r="AK9" i="10" s="1"/>
  <c r="AL9" i="10" s="1"/>
  <c r="AM9" i="10" s="1"/>
  <c r="AN9" i="10" s="1"/>
  <c r="AO9" i="10" s="1"/>
  <c r="AP9" i="10" s="1"/>
  <c r="AQ9" i="10" s="1"/>
  <c r="AR9" i="10" s="1"/>
  <c r="AS9" i="10" s="1"/>
  <c r="AT9" i="10" s="1"/>
  <c r="AU9" i="10" s="1"/>
  <c r="AV9" i="10" s="1"/>
  <c r="AW9" i="10" s="1"/>
  <c r="AX9" i="10" s="1"/>
  <c r="AY9" i="10" s="1"/>
  <c r="AZ9" i="10" s="1"/>
  <c r="BA9" i="10" s="1"/>
  <c r="BB9" i="10" s="1"/>
  <c r="BC9" i="10" s="1"/>
  <c r="BD9" i="10" s="1"/>
  <c r="BE9" i="10" s="1"/>
  <c r="BF9" i="10" s="1"/>
  <c r="BG9" i="10" s="1"/>
  <c r="BH9" i="10" s="1"/>
  <c r="BI9" i="10" s="1"/>
  <c r="BJ9" i="10" s="1"/>
  <c r="BK9" i="10" s="1"/>
  <c r="BL9" i="10" s="1"/>
  <c r="BM9" i="10" s="1"/>
  <c r="BN9" i="10" s="1"/>
  <c r="BO9" i="10" s="1"/>
  <c r="BP9" i="10" s="1"/>
  <c r="BQ9" i="10" s="1"/>
  <c r="BR9" i="10" s="1"/>
  <c r="BS9" i="10" s="1"/>
  <c r="BT9" i="10" s="1"/>
  <c r="BU9" i="10" s="1"/>
  <c r="BV9" i="10" s="1"/>
  <c r="BW9" i="10" s="1"/>
  <c r="BX9" i="10" s="1"/>
  <c r="BY9" i="10" s="1"/>
  <c r="BZ9" i="10" s="1"/>
  <c r="CA9" i="10" s="1"/>
  <c r="CB9" i="10" s="1"/>
  <c r="CC9" i="10" s="1"/>
  <c r="CD9" i="10" s="1"/>
  <c r="CE9" i="10" s="1"/>
  <c r="CF9" i="10" s="1"/>
  <c r="CG9" i="10" s="1"/>
  <c r="CH9" i="10" s="1"/>
  <c r="CI9" i="10" s="1"/>
  <c r="CJ9" i="10" s="1"/>
  <c r="CK9" i="10" s="1"/>
  <c r="CL9" i="10" s="1"/>
  <c r="CM9" i="10" s="1"/>
  <c r="CN9" i="10" s="1"/>
  <c r="CO9" i="10" s="1"/>
  <c r="CP9" i="10" s="1"/>
  <c r="CQ9" i="10" s="1"/>
  <c r="CR9" i="10" s="1"/>
  <c r="CS9" i="10" s="1"/>
  <c r="CT9" i="10" s="1"/>
  <c r="CU9" i="10" s="1"/>
  <c r="CV9" i="10" s="1"/>
  <c r="CW9" i="10" s="1"/>
  <c r="CX9" i="10" s="1"/>
  <c r="CY9" i="10" s="1"/>
  <c r="CZ9" i="10" s="1"/>
  <c r="DA9" i="10" s="1"/>
  <c r="DB9" i="10" s="1"/>
  <c r="AG9" i="2"/>
  <c r="AH10" i="10"/>
  <c r="AI10" i="10" s="1"/>
  <c r="AJ10" i="10" s="1"/>
  <c r="AK10" i="10" s="1"/>
  <c r="AL10" i="10" s="1"/>
  <c r="AM10" i="10" s="1"/>
  <c r="AN10" i="10" s="1"/>
  <c r="AO10" i="10" s="1"/>
  <c r="AP10" i="10" s="1"/>
  <c r="AQ10" i="10" s="1"/>
  <c r="AR10" i="10" s="1"/>
  <c r="AS10" i="10" s="1"/>
  <c r="AT10" i="10" s="1"/>
  <c r="AU10" i="10" s="1"/>
  <c r="AV10" i="10" s="1"/>
  <c r="AW10" i="10" s="1"/>
  <c r="AX10" i="10" s="1"/>
  <c r="AY10" i="10" s="1"/>
  <c r="AZ10" i="10" s="1"/>
  <c r="BA10" i="10" s="1"/>
  <c r="BB10" i="10" s="1"/>
  <c r="BC10" i="10" s="1"/>
  <c r="BD10" i="10" s="1"/>
  <c r="BE10" i="10" s="1"/>
  <c r="BF10" i="10" s="1"/>
  <c r="BG10" i="10" s="1"/>
  <c r="BH10" i="10" s="1"/>
  <c r="BI10" i="10" s="1"/>
  <c r="BJ10" i="10" s="1"/>
  <c r="BK10" i="10" s="1"/>
  <c r="BL10" i="10" s="1"/>
  <c r="BM10" i="10" s="1"/>
  <c r="BN10" i="10" s="1"/>
  <c r="BO10" i="10" s="1"/>
  <c r="BP10" i="10" s="1"/>
  <c r="BQ10" i="10" s="1"/>
  <c r="BR10" i="10" s="1"/>
  <c r="BS10" i="10" s="1"/>
  <c r="BT10" i="10" s="1"/>
  <c r="BU10" i="10" s="1"/>
  <c r="BV10" i="10" s="1"/>
  <c r="BW10" i="10" s="1"/>
  <c r="BX10" i="10" s="1"/>
  <c r="BY10" i="10" s="1"/>
  <c r="BZ10" i="10" s="1"/>
  <c r="CA10" i="10" s="1"/>
  <c r="CB10" i="10" s="1"/>
  <c r="CC10" i="10" s="1"/>
  <c r="CD10" i="10" s="1"/>
  <c r="CE10" i="10" s="1"/>
  <c r="CF10" i="10" s="1"/>
  <c r="CG10" i="10" s="1"/>
  <c r="CH10" i="10" s="1"/>
  <c r="CI10" i="10" s="1"/>
  <c r="CJ10" i="10" s="1"/>
  <c r="CK10" i="10" s="1"/>
  <c r="CL10" i="10" s="1"/>
  <c r="CM10" i="10" s="1"/>
  <c r="CN10" i="10" s="1"/>
  <c r="CO10" i="10" s="1"/>
  <c r="CP10" i="10" s="1"/>
  <c r="CQ10" i="10" s="1"/>
  <c r="CR10" i="10" s="1"/>
  <c r="CS10" i="10" s="1"/>
  <c r="CT10" i="10" s="1"/>
  <c r="CU10" i="10" s="1"/>
  <c r="CV10" i="10" s="1"/>
  <c r="CW10" i="10" s="1"/>
  <c r="CX10" i="10" s="1"/>
  <c r="CY10" i="10" s="1"/>
  <c r="CZ10" i="10" s="1"/>
  <c r="DA10" i="10" s="1"/>
  <c r="DB10" i="10" s="1"/>
  <c r="AG10" i="2"/>
  <c r="AH6" i="10"/>
  <c r="AI6" i="10" s="1"/>
  <c r="AJ6" i="10" s="1"/>
  <c r="AK6" i="10" s="1"/>
  <c r="AL6" i="10" s="1"/>
  <c r="AM6" i="10" s="1"/>
  <c r="AN6" i="10" s="1"/>
  <c r="AO6" i="10" s="1"/>
  <c r="AP6" i="10" s="1"/>
  <c r="AQ6" i="10" s="1"/>
  <c r="AR6" i="10" s="1"/>
  <c r="AS6" i="10" s="1"/>
  <c r="AT6" i="10" s="1"/>
  <c r="AU6" i="10" s="1"/>
  <c r="AV6" i="10" s="1"/>
  <c r="AW6" i="10" s="1"/>
  <c r="AX6" i="10" s="1"/>
  <c r="AY6" i="10" s="1"/>
  <c r="AZ6" i="10" s="1"/>
  <c r="BA6" i="10" s="1"/>
  <c r="BB6" i="10" s="1"/>
  <c r="BC6" i="10" s="1"/>
  <c r="BD6" i="10" s="1"/>
  <c r="BE6" i="10" s="1"/>
  <c r="BF6" i="10" s="1"/>
  <c r="BG6" i="10" s="1"/>
  <c r="BH6" i="10" s="1"/>
  <c r="BI6" i="10" s="1"/>
  <c r="BJ6" i="10" s="1"/>
  <c r="BK6" i="10" s="1"/>
  <c r="BL6" i="10" s="1"/>
  <c r="BM6" i="10" s="1"/>
  <c r="BN6" i="10" s="1"/>
  <c r="BO6" i="10" s="1"/>
  <c r="BP6" i="10" s="1"/>
  <c r="BQ6" i="10" s="1"/>
  <c r="BR6" i="10" s="1"/>
  <c r="BS6" i="10" s="1"/>
  <c r="BT6" i="10" s="1"/>
  <c r="BU6" i="10" s="1"/>
  <c r="BV6" i="10" s="1"/>
  <c r="BW6" i="10" s="1"/>
  <c r="BX6" i="10" s="1"/>
  <c r="BY6" i="10" s="1"/>
  <c r="BZ6" i="10" s="1"/>
  <c r="CA6" i="10" s="1"/>
  <c r="CB6" i="10" s="1"/>
  <c r="CC6" i="10" s="1"/>
  <c r="CD6" i="10" s="1"/>
  <c r="CE6" i="10" s="1"/>
  <c r="CF6" i="10" s="1"/>
  <c r="CG6" i="10" s="1"/>
  <c r="CH6" i="10" s="1"/>
  <c r="CI6" i="10" s="1"/>
  <c r="CJ6" i="10" s="1"/>
  <c r="CK6" i="10" s="1"/>
  <c r="CL6" i="10" s="1"/>
  <c r="CM6" i="10" s="1"/>
  <c r="CN6" i="10" s="1"/>
  <c r="CO6" i="10" s="1"/>
  <c r="CP6" i="10" s="1"/>
  <c r="CQ6" i="10" s="1"/>
  <c r="CR6" i="10" s="1"/>
  <c r="CS6" i="10" s="1"/>
  <c r="CT6" i="10" s="1"/>
  <c r="CU6" i="10" s="1"/>
  <c r="CV6" i="10" s="1"/>
  <c r="CW6" i="10" s="1"/>
  <c r="CX6" i="10" s="1"/>
  <c r="CY6" i="10" s="1"/>
  <c r="CZ6" i="10" s="1"/>
  <c r="DA6" i="10" s="1"/>
  <c r="DB6" i="10" s="1"/>
  <c r="AG6" i="2"/>
  <c r="AH8" i="10"/>
  <c r="AI8" i="10" s="1"/>
  <c r="AJ8" i="10" s="1"/>
  <c r="AK8" i="10" s="1"/>
  <c r="AL8" i="10" s="1"/>
  <c r="AM8" i="10" s="1"/>
  <c r="AN8" i="10" s="1"/>
  <c r="AO8" i="10" s="1"/>
  <c r="AP8" i="10" s="1"/>
  <c r="AQ8" i="10" s="1"/>
  <c r="AR8" i="10" s="1"/>
  <c r="AS8" i="10" s="1"/>
  <c r="AT8" i="10" s="1"/>
  <c r="AU8" i="10" s="1"/>
  <c r="AV8" i="10" s="1"/>
  <c r="AW8" i="10" s="1"/>
  <c r="AX8" i="10" s="1"/>
  <c r="AY8" i="10" s="1"/>
  <c r="AZ8" i="10" s="1"/>
  <c r="BA8" i="10" s="1"/>
  <c r="BB8" i="10" s="1"/>
  <c r="BC8" i="10" s="1"/>
  <c r="BD8" i="10" s="1"/>
  <c r="BE8" i="10" s="1"/>
  <c r="BF8" i="10" s="1"/>
  <c r="BG8" i="10" s="1"/>
  <c r="BH8" i="10" s="1"/>
  <c r="BI8" i="10" s="1"/>
  <c r="BJ8" i="10" s="1"/>
  <c r="BK8" i="10" s="1"/>
  <c r="BL8" i="10" s="1"/>
  <c r="BM8" i="10" s="1"/>
  <c r="BN8" i="10" s="1"/>
  <c r="BO8" i="10" s="1"/>
  <c r="BP8" i="10" s="1"/>
  <c r="BQ8" i="10" s="1"/>
  <c r="BR8" i="10" s="1"/>
  <c r="BS8" i="10" s="1"/>
  <c r="BT8" i="10" s="1"/>
  <c r="BU8" i="10" s="1"/>
  <c r="BV8" i="10" s="1"/>
  <c r="BW8" i="10" s="1"/>
  <c r="BX8" i="10" s="1"/>
  <c r="BY8" i="10" s="1"/>
  <c r="BZ8" i="10" s="1"/>
  <c r="CA8" i="10" s="1"/>
  <c r="CB8" i="10" s="1"/>
  <c r="CC8" i="10" s="1"/>
  <c r="CD8" i="10" s="1"/>
  <c r="CE8" i="10" s="1"/>
  <c r="CF8" i="10" s="1"/>
  <c r="CG8" i="10" s="1"/>
  <c r="CH8" i="10" s="1"/>
  <c r="CI8" i="10" s="1"/>
  <c r="CJ8" i="10" s="1"/>
  <c r="CK8" i="10" s="1"/>
  <c r="CL8" i="10" s="1"/>
  <c r="CM8" i="10" s="1"/>
  <c r="CN8" i="10" s="1"/>
  <c r="CO8" i="10" s="1"/>
  <c r="CP8" i="10" s="1"/>
  <c r="CQ8" i="10" s="1"/>
  <c r="CR8" i="10" s="1"/>
  <c r="CS8" i="10" s="1"/>
  <c r="CT8" i="10" s="1"/>
  <c r="CU8" i="10" s="1"/>
  <c r="CV8" i="10" s="1"/>
  <c r="CW8" i="10" s="1"/>
  <c r="CX8" i="10" s="1"/>
  <c r="CY8" i="10" s="1"/>
  <c r="CZ8" i="10" s="1"/>
  <c r="DA8" i="10" s="1"/>
  <c r="DB8" i="10" s="1"/>
  <c r="AG8" i="2"/>
  <c r="AG5" i="10"/>
  <c r="AF5" i="2"/>
  <c r="AG4" i="10"/>
  <c r="AF4" i="2"/>
  <c r="S13" i="2"/>
  <c r="R4" i="2"/>
  <c r="S12" i="2"/>
  <c r="R5" i="2"/>
  <c r="S11" i="2"/>
  <c r="S8" i="2"/>
  <c r="S10" i="2"/>
  <c r="S9" i="2"/>
  <c r="S6" i="2"/>
  <c r="S7" i="2"/>
  <c r="AE13" i="2" l="1"/>
  <c r="AF13" i="10"/>
  <c r="AG12" i="10"/>
  <c r="AF12" i="2"/>
  <c r="T14" i="10"/>
  <c r="S14" i="2"/>
  <c r="T17" i="10"/>
  <c r="S17" i="2"/>
  <c r="T15" i="10"/>
  <c r="S15" i="2"/>
  <c r="S18" i="2"/>
  <c r="T18" i="10"/>
  <c r="T19" i="10"/>
  <c r="T16" i="10"/>
  <c r="S16" i="2"/>
  <c r="AH4" i="10"/>
  <c r="AI4" i="10" s="1"/>
  <c r="AJ4" i="10" s="1"/>
  <c r="AK4" i="10" s="1"/>
  <c r="AL4" i="10" s="1"/>
  <c r="AM4" i="10" s="1"/>
  <c r="AN4" i="10" s="1"/>
  <c r="AO4" i="10" s="1"/>
  <c r="AP4" i="10" s="1"/>
  <c r="AQ4" i="10" s="1"/>
  <c r="AR4" i="10" s="1"/>
  <c r="AS4" i="10" s="1"/>
  <c r="AT4" i="10" s="1"/>
  <c r="AU4" i="10" s="1"/>
  <c r="AV4" i="10" s="1"/>
  <c r="AW4" i="10" s="1"/>
  <c r="AX4" i="10" s="1"/>
  <c r="AY4" i="10" s="1"/>
  <c r="AZ4" i="10" s="1"/>
  <c r="BA4" i="10" s="1"/>
  <c r="BB4" i="10" s="1"/>
  <c r="BC4" i="10" s="1"/>
  <c r="BD4" i="10" s="1"/>
  <c r="BE4" i="10" s="1"/>
  <c r="BF4" i="10" s="1"/>
  <c r="BG4" i="10" s="1"/>
  <c r="BH4" i="10" s="1"/>
  <c r="BI4" i="10" s="1"/>
  <c r="BJ4" i="10" s="1"/>
  <c r="BK4" i="10" s="1"/>
  <c r="BL4" i="10" s="1"/>
  <c r="BM4" i="10" s="1"/>
  <c r="BN4" i="10" s="1"/>
  <c r="BO4" i="10" s="1"/>
  <c r="BP4" i="10" s="1"/>
  <c r="BQ4" i="10" s="1"/>
  <c r="BR4" i="10" s="1"/>
  <c r="BS4" i="10" s="1"/>
  <c r="BT4" i="10" s="1"/>
  <c r="BU4" i="10" s="1"/>
  <c r="BV4" i="10" s="1"/>
  <c r="BW4" i="10" s="1"/>
  <c r="BX4" i="10" s="1"/>
  <c r="BY4" i="10" s="1"/>
  <c r="BZ4" i="10" s="1"/>
  <c r="CA4" i="10" s="1"/>
  <c r="CB4" i="10" s="1"/>
  <c r="CC4" i="10" s="1"/>
  <c r="CD4" i="10" s="1"/>
  <c r="CE4" i="10" s="1"/>
  <c r="CF4" i="10" s="1"/>
  <c r="CG4" i="10" s="1"/>
  <c r="CH4" i="10" s="1"/>
  <c r="CI4" i="10" s="1"/>
  <c r="CJ4" i="10" s="1"/>
  <c r="CK4" i="10" s="1"/>
  <c r="CL4" i="10" s="1"/>
  <c r="CM4" i="10" s="1"/>
  <c r="CN4" i="10" s="1"/>
  <c r="CO4" i="10" s="1"/>
  <c r="CP4" i="10" s="1"/>
  <c r="CQ4" i="10" s="1"/>
  <c r="CR4" i="10" s="1"/>
  <c r="CS4" i="10" s="1"/>
  <c r="CT4" i="10" s="1"/>
  <c r="CU4" i="10" s="1"/>
  <c r="CV4" i="10" s="1"/>
  <c r="CW4" i="10" s="1"/>
  <c r="CX4" i="10" s="1"/>
  <c r="CY4" i="10" s="1"/>
  <c r="CZ4" i="10" s="1"/>
  <c r="DA4" i="10" s="1"/>
  <c r="DB4" i="10" s="1"/>
  <c r="AG4" i="2"/>
  <c r="AH8" i="2"/>
  <c r="AH10" i="2"/>
  <c r="AH5" i="10"/>
  <c r="AI5" i="10" s="1"/>
  <c r="AJ5" i="10" s="1"/>
  <c r="AK5" i="10" s="1"/>
  <c r="AL5" i="10" s="1"/>
  <c r="AM5" i="10" s="1"/>
  <c r="AN5" i="10" s="1"/>
  <c r="AO5" i="10" s="1"/>
  <c r="AP5" i="10" s="1"/>
  <c r="AQ5" i="10" s="1"/>
  <c r="AR5" i="10" s="1"/>
  <c r="AS5" i="10" s="1"/>
  <c r="AT5" i="10" s="1"/>
  <c r="AU5" i="10" s="1"/>
  <c r="AV5" i="10" s="1"/>
  <c r="AW5" i="10" s="1"/>
  <c r="AX5" i="10" s="1"/>
  <c r="AY5" i="10" s="1"/>
  <c r="AZ5" i="10" s="1"/>
  <c r="BA5" i="10" s="1"/>
  <c r="BB5" i="10" s="1"/>
  <c r="BC5" i="10" s="1"/>
  <c r="BD5" i="10" s="1"/>
  <c r="BE5" i="10" s="1"/>
  <c r="BF5" i="10" s="1"/>
  <c r="BG5" i="10" s="1"/>
  <c r="BH5" i="10" s="1"/>
  <c r="BI5" i="10" s="1"/>
  <c r="BJ5" i="10" s="1"/>
  <c r="BK5" i="10" s="1"/>
  <c r="BL5" i="10" s="1"/>
  <c r="BM5" i="10" s="1"/>
  <c r="BN5" i="10" s="1"/>
  <c r="BO5" i="10" s="1"/>
  <c r="BP5" i="10" s="1"/>
  <c r="BQ5" i="10" s="1"/>
  <c r="BR5" i="10" s="1"/>
  <c r="BS5" i="10" s="1"/>
  <c r="BT5" i="10" s="1"/>
  <c r="BU5" i="10" s="1"/>
  <c r="BV5" i="10" s="1"/>
  <c r="BW5" i="10" s="1"/>
  <c r="BX5" i="10" s="1"/>
  <c r="BY5" i="10" s="1"/>
  <c r="BZ5" i="10" s="1"/>
  <c r="CA5" i="10" s="1"/>
  <c r="CB5" i="10" s="1"/>
  <c r="CC5" i="10" s="1"/>
  <c r="CD5" i="10" s="1"/>
  <c r="CE5" i="10" s="1"/>
  <c r="CF5" i="10" s="1"/>
  <c r="CG5" i="10" s="1"/>
  <c r="CH5" i="10" s="1"/>
  <c r="CI5" i="10" s="1"/>
  <c r="CJ5" i="10" s="1"/>
  <c r="CK5" i="10" s="1"/>
  <c r="CL5" i="10" s="1"/>
  <c r="CM5" i="10" s="1"/>
  <c r="CN5" i="10" s="1"/>
  <c r="CO5" i="10" s="1"/>
  <c r="CP5" i="10" s="1"/>
  <c r="CQ5" i="10" s="1"/>
  <c r="CR5" i="10" s="1"/>
  <c r="CS5" i="10" s="1"/>
  <c r="CT5" i="10" s="1"/>
  <c r="CU5" i="10" s="1"/>
  <c r="CV5" i="10" s="1"/>
  <c r="CW5" i="10" s="1"/>
  <c r="CX5" i="10" s="1"/>
  <c r="CY5" i="10" s="1"/>
  <c r="CZ5" i="10" s="1"/>
  <c r="DA5" i="10" s="1"/>
  <c r="DB5" i="10" s="1"/>
  <c r="AG5" i="2"/>
  <c r="AH6" i="2"/>
  <c r="AH9" i="2"/>
  <c r="AH7" i="2"/>
  <c r="AH11" i="2"/>
  <c r="T7" i="2"/>
  <c r="T9" i="2"/>
  <c r="T11" i="2"/>
  <c r="T8" i="2"/>
  <c r="T12" i="2"/>
  <c r="T6" i="2"/>
  <c r="T10" i="2"/>
  <c r="S5" i="2"/>
  <c r="S4" i="2"/>
  <c r="T13" i="2"/>
  <c r="AG12" i="2" l="1"/>
  <c r="AH12" i="10"/>
  <c r="AG13" i="10"/>
  <c r="AF13" i="2"/>
  <c r="U18" i="10"/>
  <c r="T18" i="2"/>
  <c r="U17" i="10"/>
  <c r="T17" i="2"/>
  <c r="U16" i="10"/>
  <c r="T16" i="2"/>
  <c r="T19" i="2"/>
  <c r="U20" i="10"/>
  <c r="U19" i="10"/>
  <c r="U15" i="10"/>
  <c r="T15" i="2"/>
  <c r="U14" i="10"/>
  <c r="T14" i="2"/>
  <c r="AI9" i="2"/>
  <c r="AH5" i="2"/>
  <c r="AI8" i="2"/>
  <c r="AI11" i="2"/>
  <c r="AI7" i="2"/>
  <c r="AI6" i="2"/>
  <c r="AI10" i="2"/>
  <c r="AH4" i="2"/>
  <c r="U13" i="2"/>
  <c r="T4" i="2"/>
  <c r="U10" i="2"/>
  <c r="T5" i="2"/>
  <c r="U11" i="2"/>
  <c r="U12" i="2"/>
  <c r="U6" i="2"/>
  <c r="U8" i="2"/>
  <c r="U9" i="2"/>
  <c r="U7" i="2"/>
  <c r="AG13" i="2" l="1"/>
  <c r="AH13" i="10"/>
  <c r="AI12" i="10"/>
  <c r="AH12" i="2"/>
  <c r="V14" i="10"/>
  <c r="U14" i="2"/>
  <c r="U20" i="2"/>
  <c r="V20" i="10"/>
  <c r="V21" i="10"/>
  <c r="V17" i="10"/>
  <c r="U17" i="2"/>
  <c r="V15" i="10"/>
  <c r="U15" i="2"/>
  <c r="V19" i="10"/>
  <c r="U19" i="2"/>
  <c r="V16" i="10"/>
  <c r="U16" i="2"/>
  <c r="V18" i="10"/>
  <c r="U18" i="2"/>
  <c r="AJ10" i="2"/>
  <c r="AJ6" i="2"/>
  <c r="AJ11" i="2"/>
  <c r="AI4" i="2"/>
  <c r="AJ7" i="2"/>
  <c r="AI5" i="2"/>
  <c r="AJ8" i="2"/>
  <c r="AJ9" i="2"/>
  <c r="V10" i="2"/>
  <c r="V9" i="2"/>
  <c r="V6" i="2"/>
  <c r="V13" i="2"/>
  <c r="V7" i="2"/>
  <c r="V8" i="2"/>
  <c r="V12" i="2"/>
  <c r="V11" i="2"/>
  <c r="U5" i="2"/>
  <c r="U4" i="2"/>
  <c r="AJ12" i="10" l="1"/>
  <c r="AI12" i="2"/>
  <c r="AI13" i="10"/>
  <c r="AH13" i="2"/>
  <c r="W16" i="10"/>
  <c r="V16" i="2"/>
  <c r="W15" i="10"/>
  <c r="V15" i="2"/>
  <c r="W20" i="10"/>
  <c r="V20" i="2"/>
  <c r="W18" i="10"/>
  <c r="V18" i="2"/>
  <c r="W19" i="10"/>
  <c r="V19" i="2"/>
  <c r="W17" i="10"/>
  <c r="V17" i="2"/>
  <c r="V21" i="2"/>
  <c r="W21" i="10"/>
  <c r="W22" i="10"/>
  <c r="W14" i="10"/>
  <c r="V14" i="2"/>
  <c r="AK10" i="2"/>
  <c r="AJ5" i="2"/>
  <c r="AJ4" i="2"/>
  <c r="AK8" i="2"/>
  <c r="AK11" i="2"/>
  <c r="AK9" i="2"/>
  <c r="AK7" i="2"/>
  <c r="AK6" i="2"/>
  <c r="W9" i="2"/>
  <c r="W10" i="2"/>
  <c r="V4" i="2"/>
  <c r="V5" i="2"/>
  <c r="W12" i="2"/>
  <c r="W8" i="2"/>
  <c r="W13" i="2"/>
  <c r="W7" i="2"/>
  <c r="W11" i="2"/>
  <c r="W6" i="2"/>
  <c r="AJ13" i="10" l="1"/>
  <c r="AI13" i="2"/>
  <c r="AK12" i="10"/>
  <c r="AJ12" i="2"/>
  <c r="X14" i="10"/>
  <c r="W14" i="2"/>
  <c r="W22" i="2"/>
  <c r="X22" i="10"/>
  <c r="X23" i="10"/>
  <c r="X17" i="10"/>
  <c r="W17" i="2"/>
  <c r="X18" i="10"/>
  <c r="W18" i="2"/>
  <c r="X15" i="10"/>
  <c r="W15" i="2"/>
  <c r="X21" i="10"/>
  <c r="W21" i="2"/>
  <c r="X19" i="10"/>
  <c r="W19" i="2"/>
  <c r="X20" i="10"/>
  <c r="W20" i="2"/>
  <c r="X16" i="10"/>
  <c r="W16" i="2"/>
  <c r="AL6" i="2"/>
  <c r="AL11" i="2"/>
  <c r="AK5" i="2"/>
  <c r="AL10" i="2"/>
  <c r="AL7" i="2"/>
  <c r="AL9" i="2"/>
  <c r="AL8" i="2"/>
  <c r="AK4" i="2"/>
  <c r="X11" i="2"/>
  <c r="X6" i="2"/>
  <c r="X13" i="2"/>
  <c r="X12" i="2"/>
  <c r="X9" i="2"/>
  <c r="W4" i="2"/>
  <c r="X10" i="2"/>
  <c r="X7" i="2"/>
  <c r="X8" i="2"/>
  <c r="W5" i="2"/>
  <c r="AL12" i="10" l="1"/>
  <c r="AK12" i="2"/>
  <c r="AK13" i="10"/>
  <c r="AJ13" i="2"/>
  <c r="Y20" i="10"/>
  <c r="Z20" i="10" s="1"/>
  <c r="AA20" i="10" s="1"/>
  <c r="X20" i="2"/>
  <c r="Y21" i="10"/>
  <c r="Z21" i="10" s="1"/>
  <c r="AA21" i="10" s="1"/>
  <c r="X21" i="2"/>
  <c r="Y18" i="10"/>
  <c r="Z18" i="10" s="1"/>
  <c r="AA18" i="10" s="1"/>
  <c r="X18" i="2"/>
  <c r="Y22" i="10"/>
  <c r="X22" i="2"/>
  <c r="Y16" i="10"/>
  <c r="Z16" i="10" s="1"/>
  <c r="AA16" i="10" s="1"/>
  <c r="X16" i="2"/>
  <c r="Y19" i="10"/>
  <c r="Z19" i="10" s="1"/>
  <c r="AA19" i="10" s="1"/>
  <c r="X19" i="2"/>
  <c r="Y15" i="10"/>
  <c r="Z15" i="10" s="1"/>
  <c r="AA15" i="10" s="1"/>
  <c r="X15" i="2"/>
  <c r="Y17" i="10"/>
  <c r="Z17" i="10" s="1"/>
  <c r="AA17" i="10" s="1"/>
  <c r="X17" i="2"/>
  <c r="X23" i="2"/>
  <c r="Y24" i="10"/>
  <c r="Y23" i="10"/>
  <c r="Y14" i="10"/>
  <c r="Z14" i="10" s="1"/>
  <c r="AA14" i="10" s="1"/>
  <c r="X14" i="2"/>
  <c r="AM8" i="2"/>
  <c r="AM11" i="2"/>
  <c r="AM10" i="2"/>
  <c r="AL4" i="2"/>
  <c r="AL5" i="2"/>
  <c r="AM6" i="2"/>
  <c r="AM9" i="2"/>
  <c r="AM7" i="2"/>
  <c r="X5" i="2"/>
  <c r="Z7" i="2"/>
  <c r="Y7" i="2"/>
  <c r="Z9" i="2"/>
  <c r="Y9" i="2"/>
  <c r="Z12" i="2"/>
  <c r="Y12" i="2"/>
  <c r="Z6" i="2"/>
  <c r="Y6" i="2"/>
  <c r="Y8" i="2"/>
  <c r="Z8" i="2"/>
  <c r="Y10" i="2"/>
  <c r="Z10" i="2"/>
  <c r="X4" i="2"/>
  <c r="Z13" i="2"/>
  <c r="Y13" i="2"/>
  <c r="Z11" i="2"/>
  <c r="Y11" i="2"/>
  <c r="Y20" i="2" l="1"/>
  <c r="Z20" i="2"/>
  <c r="AB14" i="10"/>
  <c r="AA14" i="2"/>
  <c r="AA17" i="2"/>
  <c r="AB17" i="10"/>
  <c r="AB21" i="10"/>
  <c r="AA21" i="2"/>
  <c r="AB20" i="10"/>
  <c r="AA20" i="2"/>
  <c r="AB19" i="10"/>
  <c r="AA19" i="2"/>
  <c r="AL13" i="10"/>
  <c r="AK13" i="2"/>
  <c r="AA15" i="2"/>
  <c r="AB15" i="10"/>
  <c r="Z21" i="2"/>
  <c r="AA18" i="2"/>
  <c r="AB18" i="10"/>
  <c r="Y21" i="2"/>
  <c r="AB16" i="10"/>
  <c r="AA16" i="2"/>
  <c r="AM12" i="10"/>
  <c r="AL12" i="2"/>
  <c r="Z19" i="2"/>
  <c r="Y16" i="2"/>
  <c r="Y19" i="2"/>
  <c r="Y18" i="2"/>
  <c r="Y15" i="2"/>
  <c r="Z17" i="2"/>
  <c r="Y17" i="2"/>
  <c r="Z15" i="2"/>
  <c r="Z16" i="2"/>
  <c r="Z18" i="2"/>
  <c r="Y14" i="2"/>
  <c r="Z14" i="2"/>
  <c r="Z23" i="10"/>
  <c r="Y23" i="2"/>
  <c r="Z22" i="10"/>
  <c r="Y22" i="2"/>
  <c r="Y24" i="2"/>
  <c r="Z24" i="10"/>
  <c r="Z25" i="10"/>
  <c r="AM5" i="2"/>
  <c r="AN7" i="2"/>
  <c r="AN6" i="2"/>
  <c r="AM4" i="2"/>
  <c r="AN10" i="2"/>
  <c r="AN11" i="2"/>
  <c r="AN8" i="2"/>
  <c r="AN9" i="2"/>
  <c r="Z4" i="2"/>
  <c r="Y4" i="2"/>
  <c r="Z5" i="2"/>
  <c r="Y5" i="2"/>
  <c r="AM13" i="10" l="1"/>
  <c r="AL13" i="2"/>
  <c r="AC16" i="10"/>
  <c r="AB16" i="2"/>
  <c r="AB20" i="2"/>
  <c r="AC20" i="10"/>
  <c r="Z25" i="2"/>
  <c r="AA26" i="10"/>
  <c r="AA25" i="10"/>
  <c r="AC18" i="10"/>
  <c r="AB18" i="2"/>
  <c r="AC21" i="10"/>
  <c r="AB21" i="2"/>
  <c r="AN12" i="10"/>
  <c r="AM12" i="2"/>
  <c r="AC17" i="10"/>
  <c r="AB17" i="2"/>
  <c r="AB19" i="2"/>
  <c r="AC19" i="10"/>
  <c r="AC15" i="10"/>
  <c r="AB15" i="2"/>
  <c r="AC14" i="10"/>
  <c r="AB14" i="2"/>
  <c r="AA22" i="10"/>
  <c r="Z22" i="2"/>
  <c r="AA24" i="10"/>
  <c r="Z24" i="2"/>
  <c r="AA23" i="10"/>
  <c r="Z23" i="2"/>
  <c r="AO8" i="2"/>
  <c r="AO11" i="2"/>
  <c r="AO10" i="2"/>
  <c r="AN5" i="2"/>
  <c r="AO9" i="2"/>
  <c r="AN4" i="2"/>
  <c r="AO6" i="2"/>
  <c r="AO7" i="2"/>
  <c r="AA22" i="2" l="1"/>
  <c r="AB22" i="10"/>
  <c r="AC21" i="2"/>
  <c r="AD21" i="10"/>
  <c r="AC14" i="2"/>
  <c r="AD14" i="10"/>
  <c r="AC18" i="2"/>
  <c r="AD18" i="10"/>
  <c r="AA25" i="2"/>
  <c r="AB25" i="10"/>
  <c r="AD15" i="10"/>
  <c r="AC15" i="2"/>
  <c r="AA26" i="2"/>
  <c r="AB27" i="10"/>
  <c r="AB26" i="10"/>
  <c r="AC19" i="2"/>
  <c r="AD19" i="10"/>
  <c r="AC20" i="2"/>
  <c r="AD20" i="10"/>
  <c r="AA23" i="2"/>
  <c r="AB23" i="10"/>
  <c r="AD16" i="10"/>
  <c r="AC16" i="2"/>
  <c r="AO12" i="10"/>
  <c r="AN12" i="2"/>
  <c r="AD17" i="10"/>
  <c r="AC17" i="2"/>
  <c r="AA24" i="2"/>
  <c r="AB24" i="10"/>
  <c r="AN13" i="10"/>
  <c r="AM13" i="2"/>
  <c r="AP6" i="2"/>
  <c r="AP8" i="2"/>
  <c r="AP7" i="2"/>
  <c r="AO4" i="2"/>
  <c r="AP9" i="2"/>
  <c r="AP11" i="2"/>
  <c r="AO5" i="2"/>
  <c r="AP10" i="2"/>
  <c r="AE15" i="10" l="1"/>
  <c r="AD15" i="2"/>
  <c r="AP12" i="10"/>
  <c r="AO12" i="2"/>
  <c r="AB23" i="2"/>
  <c r="AC23" i="10"/>
  <c r="AE18" i="10"/>
  <c r="AD18" i="2"/>
  <c r="AO13" i="10"/>
  <c r="AN13" i="2"/>
  <c r="AD14" i="2"/>
  <c r="AE14" i="10"/>
  <c r="AB25" i="2"/>
  <c r="AC25" i="10"/>
  <c r="AE20" i="10"/>
  <c r="AD20" i="2"/>
  <c r="AE21" i="10"/>
  <c r="AD21" i="2"/>
  <c r="AB24" i="2"/>
  <c r="AC24" i="10"/>
  <c r="AB26" i="2"/>
  <c r="AC26" i="10"/>
  <c r="AD16" i="2"/>
  <c r="AE16" i="10"/>
  <c r="AD19" i="2"/>
  <c r="AE19" i="10"/>
  <c r="AE17" i="10"/>
  <c r="AD17" i="2"/>
  <c r="AB27" i="2"/>
  <c r="AC27" i="10"/>
  <c r="AC28" i="10"/>
  <c r="AB22" i="2"/>
  <c r="AC22" i="10"/>
  <c r="AQ10" i="2"/>
  <c r="AQ9" i="2"/>
  <c r="AP5" i="2"/>
  <c r="AQ7" i="2"/>
  <c r="AQ8" i="2"/>
  <c r="AQ11" i="2"/>
  <c r="AP4" i="2"/>
  <c r="AQ6" i="2"/>
  <c r="AF14" i="10" l="1"/>
  <c r="AE14" i="2"/>
  <c r="AE18" i="2"/>
  <c r="AF18" i="10"/>
  <c r="AC24" i="2"/>
  <c r="AD24" i="10"/>
  <c r="AC23" i="2"/>
  <c r="AD23" i="10"/>
  <c r="AP13" i="10"/>
  <c r="AO13" i="2"/>
  <c r="AC22" i="2"/>
  <c r="AD22" i="10"/>
  <c r="AC28" i="2"/>
  <c r="AD28" i="10"/>
  <c r="AD29" i="10"/>
  <c r="AF17" i="10"/>
  <c r="AE17" i="2"/>
  <c r="AE20" i="2"/>
  <c r="AF20" i="10"/>
  <c r="AQ12" i="10"/>
  <c r="AP12" i="2"/>
  <c r="AC26" i="2"/>
  <c r="AD26" i="10"/>
  <c r="AF19" i="10"/>
  <c r="AE19" i="2"/>
  <c r="AC25" i="2"/>
  <c r="AD25" i="10"/>
  <c r="AE16" i="2"/>
  <c r="AF16" i="10"/>
  <c r="AC27" i="2"/>
  <c r="AD27" i="10"/>
  <c r="AF21" i="10"/>
  <c r="AE21" i="2"/>
  <c r="AF15" i="10"/>
  <c r="AE15" i="2"/>
  <c r="AR6" i="2"/>
  <c r="AR7" i="2"/>
  <c r="AQ4" i="2"/>
  <c r="AR8" i="2"/>
  <c r="AR9" i="2"/>
  <c r="AR11" i="2"/>
  <c r="AQ5" i="2"/>
  <c r="AR10" i="2"/>
  <c r="AG19" i="10" l="1"/>
  <c r="AF19" i="2"/>
  <c r="AD24" i="2"/>
  <c r="AE24" i="10"/>
  <c r="AD26" i="2"/>
  <c r="AE26" i="10"/>
  <c r="AG20" i="10"/>
  <c r="AF20" i="2"/>
  <c r="AG17" i="10"/>
  <c r="AF17" i="2"/>
  <c r="AG15" i="10"/>
  <c r="AF15" i="2"/>
  <c r="AR12" i="10"/>
  <c r="AQ12" i="2"/>
  <c r="AD29" i="2"/>
  <c r="AE29" i="10"/>
  <c r="AE30" i="10"/>
  <c r="AD22" i="2"/>
  <c r="AE22" i="10"/>
  <c r="AF16" i="2"/>
  <c r="AG16" i="10"/>
  <c r="AD28" i="2"/>
  <c r="AE28" i="10"/>
  <c r="AQ13" i="10"/>
  <c r="AP13" i="2"/>
  <c r="AF21" i="2"/>
  <c r="AG21" i="10"/>
  <c r="AD23" i="2"/>
  <c r="AE23" i="10"/>
  <c r="AD27" i="2"/>
  <c r="AE27" i="10"/>
  <c r="AG18" i="10"/>
  <c r="AF18" i="2"/>
  <c r="AD25" i="2"/>
  <c r="AE25" i="10"/>
  <c r="AG14" i="10"/>
  <c r="AF14" i="2"/>
  <c r="AS10" i="2"/>
  <c r="AR5" i="2"/>
  <c r="AS11" i="2"/>
  <c r="AS9" i="2"/>
  <c r="AR4" i="2"/>
  <c r="AS7" i="2"/>
  <c r="AS6" i="2"/>
  <c r="AS8" i="2"/>
  <c r="AR13" i="10" l="1"/>
  <c r="AQ13" i="2"/>
  <c r="AE25" i="2"/>
  <c r="AF25" i="10"/>
  <c r="AE28" i="2"/>
  <c r="AF28" i="10"/>
  <c r="AH15" i="10"/>
  <c r="AG15" i="2"/>
  <c r="AG17" i="2"/>
  <c r="AH17" i="10"/>
  <c r="AG18" i="2"/>
  <c r="AH18" i="10"/>
  <c r="AE27" i="2"/>
  <c r="AF27" i="10"/>
  <c r="AE22" i="2"/>
  <c r="AF22" i="10"/>
  <c r="AH20" i="10"/>
  <c r="AG20" i="2"/>
  <c r="AH14" i="10"/>
  <c r="AG14" i="2"/>
  <c r="AE26" i="2"/>
  <c r="AF26" i="10"/>
  <c r="AE23" i="2"/>
  <c r="AF23" i="10"/>
  <c r="AE30" i="2"/>
  <c r="AF30" i="10"/>
  <c r="AF31" i="10"/>
  <c r="AG16" i="2"/>
  <c r="AH16" i="10"/>
  <c r="AE29" i="2"/>
  <c r="AF29" i="10"/>
  <c r="AE24" i="2"/>
  <c r="AF24" i="10"/>
  <c r="AH21" i="10"/>
  <c r="AG21" i="2"/>
  <c r="AS12" i="10"/>
  <c r="AR12" i="2"/>
  <c r="AH19" i="10"/>
  <c r="AG19" i="2"/>
  <c r="AS4" i="2"/>
  <c r="AT9" i="2"/>
  <c r="AS5" i="2"/>
  <c r="AT8" i="2"/>
  <c r="AT6" i="2"/>
  <c r="AT7" i="2"/>
  <c r="AT11" i="2"/>
  <c r="AT10" i="2"/>
  <c r="AT12" i="10" l="1"/>
  <c r="AS12" i="2"/>
  <c r="AF26" i="2"/>
  <c r="AG26" i="10"/>
  <c r="AF23" i="2"/>
  <c r="AG23" i="10"/>
  <c r="AF29" i="2"/>
  <c r="AG29" i="10"/>
  <c r="AI14" i="10"/>
  <c r="AH14" i="2"/>
  <c r="AI15" i="10"/>
  <c r="AH15" i="2"/>
  <c r="AF24" i="2"/>
  <c r="AG24" i="10"/>
  <c r="AF28" i="2"/>
  <c r="AG28" i="10"/>
  <c r="AI20" i="10"/>
  <c r="AH20" i="2"/>
  <c r="AI18" i="10"/>
  <c r="AH18" i="2"/>
  <c r="AI17" i="10"/>
  <c r="AH17" i="2"/>
  <c r="AF22" i="2"/>
  <c r="AG22" i="10"/>
  <c r="AF25" i="2"/>
  <c r="AG25" i="10"/>
  <c r="AI21" i="10"/>
  <c r="AH21" i="2"/>
  <c r="AF31" i="2"/>
  <c r="AG32" i="10"/>
  <c r="AG31" i="10"/>
  <c r="AI19" i="10"/>
  <c r="AH19" i="2"/>
  <c r="AF30" i="2"/>
  <c r="AG30" i="10"/>
  <c r="AF27" i="2"/>
  <c r="AG27" i="10"/>
  <c r="AI16" i="10"/>
  <c r="AH16" i="2"/>
  <c r="AS13" i="10"/>
  <c r="AR13" i="2"/>
  <c r="AU6" i="2"/>
  <c r="AT4" i="2"/>
  <c r="AT5" i="2"/>
  <c r="AU11" i="2"/>
  <c r="AU8" i="2"/>
  <c r="AU10" i="2"/>
  <c r="AU7" i="2"/>
  <c r="AU9" i="2"/>
  <c r="AJ15" i="10" l="1"/>
  <c r="AI15" i="2"/>
  <c r="AG22" i="2"/>
  <c r="AH22" i="10"/>
  <c r="AJ17" i="10"/>
  <c r="AI17" i="2"/>
  <c r="AJ14" i="10"/>
  <c r="AI14" i="2"/>
  <c r="AG30" i="2"/>
  <c r="AH30" i="10"/>
  <c r="AG29" i="2"/>
  <c r="AH29" i="10"/>
  <c r="AG23" i="2"/>
  <c r="AH23" i="10"/>
  <c r="AJ20" i="10"/>
  <c r="AI20" i="2"/>
  <c r="AJ19" i="10"/>
  <c r="AI19" i="2"/>
  <c r="AG31" i="2"/>
  <c r="AH31" i="10"/>
  <c r="AG28" i="2"/>
  <c r="AH28" i="10"/>
  <c r="AG26" i="2"/>
  <c r="AH26" i="10"/>
  <c r="AT13" i="10"/>
  <c r="AS13" i="2"/>
  <c r="AJ21" i="10"/>
  <c r="AI21" i="2"/>
  <c r="AG32" i="2"/>
  <c r="AH32" i="10"/>
  <c r="AH33" i="10"/>
  <c r="AJ16" i="10"/>
  <c r="AI16" i="2"/>
  <c r="AG25" i="2"/>
  <c r="AH25" i="10"/>
  <c r="AG24" i="2"/>
  <c r="AH24" i="10"/>
  <c r="AJ18" i="10"/>
  <c r="AI18" i="2"/>
  <c r="AG27" i="2"/>
  <c r="AH27" i="10"/>
  <c r="AU12" i="10"/>
  <c r="AT12" i="2"/>
  <c r="AV10" i="2"/>
  <c r="AV11" i="2"/>
  <c r="AU4" i="2"/>
  <c r="AV9" i="2"/>
  <c r="AV7" i="2"/>
  <c r="AV8" i="2"/>
  <c r="AV6" i="2"/>
  <c r="AU5" i="2"/>
  <c r="AI26" i="10" l="1"/>
  <c r="AH26" i="2"/>
  <c r="AI29" i="10"/>
  <c r="AH29" i="2"/>
  <c r="AI25" i="10"/>
  <c r="AH25" i="2"/>
  <c r="AI30" i="10"/>
  <c r="AH30" i="2"/>
  <c r="AK14" i="10"/>
  <c r="AJ14" i="2"/>
  <c r="AK16" i="10"/>
  <c r="AJ16" i="2"/>
  <c r="AH33" i="2"/>
  <c r="AI33" i="10"/>
  <c r="AI34" i="10"/>
  <c r="AI32" i="10"/>
  <c r="AH32" i="2"/>
  <c r="AK19" i="10"/>
  <c r="AJ19" i="2"/>
  <c r="AK17" i="10"/>
  <c r="AJ17" i="2"/>
  <c r="AI22" i="10"/>
  <c r="AH22" i="2"/>
  <c r="AI28" i="10"/>
  <c r="AH28" i="2"/>
  <c r="AV12" i="10"/>
  <c r="AU12" i="2"/>
  <c r="AI27" i="10"/>
  <c r="AH27" i="2"/>
  <c r="AK21" i="10"/>
  <c r="AJ21" i="2"/>
  <c r="AK20" i="10"/>
  <c r="AJ20" i="2"/>
  <c r="AI23" i="10"/>
  <c r="AH23" i="2"/>
  <c r="AI31" i="10"/>
  <c r="AH31" i="2"/>
  <c r="AK18" i="10"/>
  <c r="AJ18" i="2"/>
  <c r="AI24" i="10"/>
  <c r="AH24" i="2"/>
  <c r="AU13" i="10"/>
  <c r="AT13" i="2"/>
  <c r="AK15" i="10"/>
  <c r="AJ15" i="2"/>
  <c r="AW6" i="2"/>
  <c r="AW8" i="2"/>
  <c r="AW9" i="2"/>
  <c r="AV4" i="2"/>
  <c r="AV5" i="2"/>
  <c r="AW7" i="2"/>
  <c r="AW11" i="2"/>
  <c r="AW10" i="2"/>
  <c r="AJ28" i="10" l="1"/>
  <c r="AI28" i="2"/>
  <c r="AJ22" i="10"/>
  <c r="AI22" i="2"/>
  <c r="AL20" i="10"/>
  <c r="AK20" i="2"/>
  <c r="AL17" i="10"/>
  <c r="AK17" i="2"/>
  <c r="AJ23" i="10"/>
  <c r="AI23" i="2"/>
  <c r="AJ30" i="10"/>
  <c r="AI30" i="2"/>
  <c r="AL14" i="10"/>
  <c r="AK14" i="2"/>
  <c r="AL15" i="10"/>
  <c r="AK15" i="2"/>
  <c r="AJ25" i="10"/>
  <c r="AI25" i="2"/>
  <c r="AL21" i="10"/>
  <c r="AK21" i="2"/>
  <c r="AJ24" i="10"/>
  <c r="AI24" i="2"/>
  <c r="AJ27" i="10"/>
  <c r="AI27" i="2"/>
  <c r="AJ32" i="10"/>
  <c r="AI32" i="2"/>
  <c r="AL16" i="10"/>
  <c r="AK16" i="2"/>
  <c r="AI34" i="2"/>
  <c r="AJ34" i="10"/>
  <c r="AJ35" i="10"/>
  <c r="AJ29" i="10"/>
  <c r="AI29" i="2"/>
  <c r="AL19" i="10"/>
  <c r="AK19" i="2"/>
  <c r="AL18" i="10"/>
  <c r="AK18" i="2"/>
  <c r="AW12" i="10"/>
  <c r="AV12" i="2"/>
  <c r="AI33" i="2"/>
  <c r="AJ33" i="10"/>
  <c r="AJ31" i="10"/>
  <c r="AI31" i="2"/>
  <c r="AV13" i="10"/>
  <c r="AU13" i="2"/>
  <c r="AJ26" i="10"/>
  <c r="AI26" i="2"/>
  <c r="AX10" i="2"/>
  <c r="AW4" i="2"/>
  <c r="AX6" i="2"/>
  <c r="AX11" i="2"/>
  <c r="AX9" i="2"/>
  <c r="AW5" i="2"/>
  <c r="AX7" i="2"/>
  <c r="AX8" i="2"/>
  <c r="AM18" i="10" l="1"/>
  <c r="AL18" i="2"/>
  <c r="AK30" i="10"/>
  <c r="AJ30" i="2"/>
  <c r="AM19" i="10"/>
  <c r="AL19" i="2"/>
  <c r="AK24" i="10"/>
  <c r="AJ24" i="2"/>
  <c r="AK23" i="10"/>
  <c r="AJ23" i="2"/>
  <c r="AK29" i="10"/>
  <c r="AJ29" i="2"/>
  <c r="AW13" i="10"/>
  <c r="AV13" i="2"/>
  <c r="AJ35" i="2"/>
  <c r="AK36" i="10"/>
  <c r="AK35" i="10"/>
  <c r="AM21" i="10"/>
  <c r="AL21" i="2"/>
  <c r="AM17" i="10"/>
  <c r="AL17" i="2"/>
  <c r="AJ34" i="2"/>
  <c r="AK34" i="10"/>
  <c r="AK27" i="10"/>
  <c r="AJ27" i="2"/>
  <c r="AK26" i="10"/>
  <c r="AJ26" i="2"/>
  <c r="AK31" i="10"/>
  <c r="AJ31" i="2"/>
  <c r="AJ33" i="2"/>
  <c r="AK33" i="10"/>
  <c r="AK25" i="10"/>
  <c r="AJ25" i="2"/>
  <c r="AM20" i="10"/>
  <c r="AL20" i="2"/>
  <c r="AK22" i="10"/>
  <c r="AJ22" i="2"/>
  <c r="AM15" i="10"/>
  <c r="AL15" i="2"/>
  <c r="AX12" i="10"/>
  <c r="AW12" i="2"/>
  <c r="AM16" i="10"/>
  <c r="AL16" i="2"/>
  <c r="AK32" i="10"/>
  <c r="AJ32" i="2"/>
  <c r="AM14" i="10"/>
  <c r="AL14" i="2"/>
  <c r="AK28" i="10"/>
  <c r="AJ28" i="2"/>
  <c r="AX5" i="2"/>
  <c r="AY11" i="2"/>
  <c r="AY6" i="2"/>
  <c r="AY7" i="2"/>
  <c r="AY8" i="2"/>
  <c r="AY9" i="2"/>
  <c r="AX4" i="2"/>
  <c r="AY10" i="2"/>
  <c r="AK34" i="2" l="1"/>
  <c r="AL34" i="10"/>
  <c r="AL29" i="10"/>
  <c r="AK29" i="2"/>
  <c r="AL22" i="10"/>
  <c r="AK22" i="2"/>
  <c r="AN20" i="10"/>
  <c r="AM20" i="2"/>
  <c r="AL23" i="10"/>
  <c r="AK23" i="2"/>
  <c r="AL28" i="10"/>
  <c r="AK28" i="2"/>
  <c r="AN17" i="10"/>
  <c r="AM17" i="2"/>
  <c r="AN14" i="10"/>
  <c r="AM14" i="2"/>
  <c r="AL32" i="10"/>
  <c r="AK32" i="2"/>
  <c r="AK33" i="2"/>
  <c r="AL33" i="10"/>
  <c r="AL24" i="10"/>
  <c r="AK24" i="2"/>
  <c r="AL27" i="10"/>
  <c r="AK27" i="2"/>
  <c r="AN21" i="10"/>
  <c r="AM21" i="2"/>
  <c r="AK35" i="2"/>
  <c r="AL35" i="10"/>
  <c r="AN19" i="10"/>
  <c r="AM19" i="2"/>
  <c r="AL31" i="10"/>
  <c r="AK31" i="2"/>
  <c r="AK36" i="2"/>
  <c r="AL37" i="10"/>
  <c r="AL36" i="10"/>
  <c r="AL30" i="10"/>
  <c r="AK30" i="2"/>
  <c r="AN16" i="10"/>
  <c r="AM16" i="2"/>
  <c r="AL26" i="10"/>
  <c r="AK26" i="2"/>
  <c r="AL25" i="10"/>
  <c r="AK25" i="2"/>
  <c r="AY12" i="10"/>
  <c r="AX12" i="2"/>
  <c r="AN15" i="10"/>
  <c r="AM15" i="2"/>
  <c r="AX13" i="10"/>
  <c r="AW13" i="2"/>
  <c r="AN18" i="10"/>
  <c r="AM18" i="2"/>
  <c r="AZ10" i="2"/>
  <c r="AZ8" i="2"/>
  <c r="AZ7" i="2"/>
  <c r="AZ11" i="2"/>
  <c r="AZ9" i="2"/>
  <c r="AZ6" i="2"/>
  <c r="AY4" i="2"/>
  <c r="AY5" i="2"/>
  <c r="AY13" i="10" l="1"/>
  <c r="AX13" i="2"/>
  <c r="AM30" i="10"/>
  <c r="AL30" i="2"/>
  <c r="AL36" i="2"/>
  <c r="AM36" i="10"/>
  <c r="AM27" i="10"/>
  <c r="AL27" i="2"/>
  <c r="AM28" i="10"/>
  <c r="AL28" i="2"/>
  <c r="AO15" i="10"/>
  <c r="AN15" i="2"/>
  <c r="AL37" i="2"/>
  <c r="AM38" i="10"/>
  <c r="AM37" i="10"/>
  <c r="AM24" i="10"/>
  <c r="AL24" i="2"/>
  <c r="AM23" i="10"/>
  <c r="AL23" i="2"/>
  <c r="AO20" i="10"/>
  <c r="AN20" i="2"/>
  <c r="AM25" i="10"/>
  <c r="AL25" i="2"/>
  <c r="AL33" i="2"/>
  <c r="AM33" i="10"/>
  <c r="AO19" i="10"/>
  <c r="AN19" i="2"/>
  <c r="AM22" i="10"/>
  <c r="AL22" i="2"/>
  <c r="AM26" i="10"/>
  <c r="AL26" i="2"/>
  <c r="AO14" i="10"/>
  <c r="AN14" i="2"/>
  <c r="AM29" i="10"/>
  <c r="AL29" i="2"/>
  <c r="AZ12" i="10"/>
  <c r="AY12" i="2"/>
  <c r="AL35" i="2"/>
  <c r="AM35" i="10"/>
  <c r="AO18" i="10"/>
  <c r="AN18" i="2"/>
  <c r="AO16" i="10"/>
  <c r="AN16" i="2"/>
  <c r="AL34" i="2"/>
  <c r="AM34" i="10"/>
  <c r="AM31" i="10"/>
  <c r="AL31" i="2"/>
  <c r="AM32" i="10"/>
  <c r="AL32" i="2"/>
  <c r="AO21" i="10"/>
  <c r="AN21" i="2"/>
  <c r="AO17" i="10"/>
  <c r="AN17" i="2"/>
  <c r="BA6" i="2"/>
  <c r="AZ4" i="2"/>
  <c r="BA9" i="2"/>
  <c r="BA11" i="2"/>
  <c r="BA7" i="2"/>
  <c r="BA8" i="2"/>
  <c r="AZ5" i="2"/>
  <c r="BA10" i="2"/>
  <c r="AN32" i="10" l="1"/>
  <c r="AM32" i="2"/>
  <c r="BA12" i="10"/>
  <c r="AZ12" i="2"/>
  <c r="AP15" i="10"/>
  <c r="AO15" i="2"/>
  <c r="AN29" i="10"/>
  <c r="AM29" i="2"/>
  <c r="AN31" i="10"/>
  <c r="AM31" i="2"/>
  <c r="AN25" i="10"/>
  <c r="AM25" i="2"/>
  <c r="AM34" i="2"/>
  <c r="AN34" i="10"/>
  <c r="AP14" i="10"/>
  <c r="AO14" i="2"/>
  <c r="AP20" i="10"/>
  <c r="AO20" i="2"/>
  <c r="AN27" i="10"/>
  <c r="AM27" i="2"/>
  <c r="AP16" i="10"/>
  <c r="AO16" i="2"/>
  <c r="AN26" i="10"/>
  <c r="AM26" i="2"/>
  <c r="AN23" i="10"/>
  <c r="AM23" i="2"/>
  <c r="AM36" i="2"/>
  <c r="AN36" i="10"/>
  <c r="AN28" i="10"/>
  <c r="AM28" i="2"/>
  <c r="AP17" i="10"/>
  <c r="AO17" i="2"/>
  <c r="AP18" i="10"/>
  <c r="AO18" i="2"/>
  <c r="AN22" i="10"/>
  <c r="AM22" i="2"/>
  <c r="AN24" i="10"/>
  <c r="AM24" i="2"/>
  <c r="AM35" i="2"/>
  <c r="AN35" i="10"/>
  <c r="AM37" i="2"/>
  <c r="AN37" i="10"/>
  <c r="AN30" i="10"/>
  <c r="AM30" i="2"/>
  <c r="AP21" i="10"/>
  <c r="AO21" i="2"/>
  <c r="AP19" i="10"/>
  <c r="AO19" i="2"/>
  <c r="AM38" i="2"/>
  <c r="AN39" i="10"/>
  <c r="AN38" i="10"/>
  <c r="AM33" i="2"/>
  <c r="AN33" i="10"/>
  <c r="AZ13" i="10"/>
  <c r="AY13" i="2"/>
  <c r="BB10" i="2"/>
  <c r="BA5" i="2"/>
  <c r="BB8" i="2"/>
  <c r="BB11" i="2"/>
  <c r="BB6" i="2"/>
  <c r="BA4" i="2"/>
  <c r="BB7" i="2"/>
  <c r="BB9" i="2"/>
  <c r="AQ19" i="10" l="1"/>
  <c r="AP19" i="2"/>
  <c r="AQ18" i="10"/>
  <c r="AP18" i="2"/>
  <c r="AO22" i="10"/>
  <c r="AN22" i="2"/>
  <c r="AO25" i="10"/>
  <c r="AN25" i="2"/>
  <c r="AO31" i="10"/>
  <c r="AN31" i="2"/>
  <c r="AO26" i="10"/>
  <c r="AN26" i="2"/>
  <c r="AQ16" i="10"/>
  <c r="AP16" i="2"/>
  <c r="AQ17" i="10"/>
  <c r="AP17" i="2"/>
  <c r="AO27" i="10"/>
  <c r="AN27" i="2"/>
  <c r="AO29" i="10"/>
  <c r="AN29" i="2"/>
  <c r="AQ21" i="10"/>
  <c r="AP21" i="2"/>
  <c r="BA13" i="10"/>
  <c r="AZ13" i="2"/>
  <c r="AN37" i="2"/>
  <c r="AO37" i="10"/>
  <c r="AO30" i="10"/>
  <c r="AN30" i="2"/>
  <c r="AN33" i="2"/>
  <c r="AO33" i="10"/>
  <c r="AO28" i="10"/>
  <c r="AN28" i="2"/>
  <c r="AQ20" i="10"/>
  <c r="AP20" i="2"/>
  <c r="AQ15" i="10"/>
  <c r="AP15" i="2"/>
  <c r="AN36" i="2"/>
  <c r="AO36" i="10"/>
  <c r="AN38" i="2"/>
  <c r="AO38" i="10"/>
  <c r="AQ14" i="10"/>
  <c r="AP14" i="2"/>
  <c r="BB12" i="10"/>
  <c r="BA12" i="2"/>
  <c r="AN39" i="2"/>
  <c r="AO40" i="10"/>
  <c r="AO39" i="10"/>
  <c r="AN34" i="2"/>
  <c r="AO34" i="10"/>
  <c r="AN35" i="2"/>
  <c r="AO35" i="10"/>
  <c r="AO24" i="10"/>
  <c r="AN24" i="2"/>
  <c r="AO23" i="10"/>
  <c r="AN23" i="2"/>
  <c r="AO32" i="10"/>
  <c r="AN32" i="2"/>
  <c r="BC9" i="2"/>
  <c r="BB4" i="2"/>
  <c r="BC11" i="2"/>
  <c r="BC8" i="2"/>
  <c r="BC7" i="2"/>
  <c r="BC6" i="2"/>
  <c r="BB5" i="2"/>
  <c r="BC10" i="2"/>
  <c r="AO39" i="2" l="1"/>
  <c r="AP39" i="10"/>
  <c r="AR15" i="10"/>
  <c r="AQ15" i="2"/>
  <c r="BB13" i="10"/>
  <c r="BA13" i="2"/>
  <c r="AP26" i="10"/>
  <c r="AO26" i="2"/>
  <c r="AO40" i="2"/>
  <c r="AP40" i="10"/>
  <c r="AP41" i="10"/>
  <c r="AR20" i="10"/>
  <c r="AQ20" i="2"/>
  <c r="AR21" i="10"/>
  <c r="AQ21" i="2"/>
  <c r="AP31" i="10"/>
  <c r="AO31" i="2"/>
  <c r="BC12" i="10"/>
  <c r="BB12" i="2"/>
  <c r="AP28" i="10"/>
  <c r="AO28" i="2"/>
  <c r="AP29" i="10"/>
  <c r="AO29" i="2"/>
  <c r="AP25" i="10"/>
  <c r="AO25" i="2"/>
  <c r="AP33" i="10"/>
  <c r="AO33" i="2"/>
  <c r="AP32" i="10"/>
  <c r="AO32" i="2"/>
  <c r="AR14" i="10"/>
  <c r="AQ14" i="2"/>
  <c r="AP27" i="10"/>
  <c r="AO27" i="2"/>
  <c r="AP22" i="10"/>
  <c r="AO22" i="2"/>
  <c r="AP24" i="10"/>
  <c r="AO24" i="2"/>
  <c r="AP38" i="10"/>
  <c r="AO38" i="2"/>
  <c r="AP35" i="10"/>
  <c r="AO35" i="2"/>
  <c r="AP30" i="10"/>
  <c r="AO30" i="2"/>
  <c r="AR17" i="10"/>
  <c r="AQ17" i="2"/>
  <c r="AR18" i="10"/>
  <c r="AQ18" i="2"/>
  <c r="AP23" i="10"/>
  <c r="AO23" i="2"/>
  <c r="AP36" i="10"/>
  <c r="AO36" i="2"/>
  <c r="AP37" i="10"/>
  <c r="AO37" i="2"/>
  <c r="AP34" i="10"/>
  <c r="AO34" i="2"/>
  <c r="AR16" i="10"/>
  <c r="AQ16" i="2"/>
  <c r="AR19" i="10"/>
  <c r="AQ19" i="2"/>
  <c r="BD11" i="2"/>
  <c r="BD7" i="2"/>
  <c r="BD8" i="2"/>
  <c r="BD10" i="2"/>
  <c r="BC5" i="2"/>
  <c r="BD6" i="2"/>
  <c r="BD9" i="2"/>
  <c r="BC4" i="2"/>
  <c r="AQ23" i="10" l="1"/>
  <c r="AP23" i="2"/>
  <c r="AQ24" i="10"/>
  <c r="AP24" i="2"/>
  <c r="AQ25" i="10"/>
  <c r="AP25" i="2"/>
  <c r="AS20" i="10"/>
  <c r="AR20" i="2"/>
  <c r="AP41" i="2"/>
  <c r="AQ42" i="10"/>
  <c r="AQ41" i="10"/>
  <c r="AS19" i="10"/>
  <c r="AR19" i="2"/>
  <c r="AQ22" i="10"/>
  <c r="AP22" i="2"/>
  <c r="AP40" i="2"/>
  <c r="AQ40" i="10"/>
  <c r="AS16" i="10"/>
  <c r="AR16" i="2"/>
  <c r="AS17" i="10"/>
  <c r="AR17" i="2"/>
  <c r="AQ27" i="10"/>
  <c r="AP27" i="2"/>
  <c r="AQ28" i="10"/>
  <c r="AP28" i="2"/>
  <c r="AS18" i="10"/>
  <c r="AR18" i="2"/>
  <c r="AQ26" i="10"/>
  <c r="AP26" i="2"/>
  <c r="AP34" i="2"/>
  <c r="AQ34" i="10"/>
  <c r="AQ30" i="10"/>
  <c r="AP30" i="2"/>
  <c r="AS14" i="10"/>
  <c r="AR14" i="2"/>
  <c r="BD12" i="10"/>
  <c r="BC12" i="2"/>
  <c r="BC13" i="10"/>
  <c r="BB13" i="2"/>
  <c r="AQ37" i="10"/>
  <c r="AP37" i="2"/>
  <c r="AQ35" i="10"/>
  <c r="AP35" i="2"/>
  <c r="AQ32" i="10"/>
  <c r="AP32" i="2"/>
  <c r="AQ31" i="10"/>
  <c r="AP31" i="2"/>
  <c r="AS15" i="10"/>
  <c r="AR15" i="2"/>
  <c r="AQ29" i="10"/>
  <c r="AP29" i="2"/>
  <c r="AP36" i="2"/>
  <c r="AQ36" i="10"/>
  <c r="AQ38" i="10"/>
  <c r="AP38" i="2"/>
  <c r="AP33" i="2"/>
  <c r="AQ33" i="10"/>
  <c r="AS21" i="10"/>
  <c r="AR21" i="2"/>
  <c r="AP39" i="2"/>
  <c r="AQ39" i="10"/>
  <c r="BE9" i="2"/>
  <c r="BE7" i="2"/>
  <c r="BD4" i="2"/>
  <c r="BD5" i="2"/>
  <c r="BE6" i="2"/>
  <c r="BE11" i="2"/>
  <c r="BE10" i="2"/>
  <c r="BE8" i="2"/>
  <c r="AT15" i="10" l="1"/>
  <c r="AS15" i="2"/>
  <c r="BE12" i="10"/>
  <c r="BD12" i="2"/>
  <c r="AR28" i="10"/>
  <c r="AQ28" i="2"/>
  <c r="AT19" i="10"/>
  <c r="AS19" i="2"/>
  <c r="AQ41" i="2"/>
  <c r="AR41" i="10"/>
  <c r="AT21" i="10"/>
  <c r="AS21" i="2"/>
  <c r="AR31" i="10"/>
  <c r="AQ31" i="2"/>
  <c r="AT14" i="10"/>
  <c r="AS14" i="2"/>
  <c r="AR27" i="10"/>
  <c r="AQ27" i="2"/>
  <c r="AQ42" i="2"/>
  <c r="AR43" i="10"/>
  <c r="AR42" i="10"/>
  <c r="AR33" i="10"/>
  <c r="AQ33" i="2"/>
  <c r="AR32" i="10"/>
  <c r="AQ32" i="2"/>
  <c r="AR30" i="10"/>
  <c r="AQ30" i="2"/>
  <c r="AT17" i="10"/>
  <c r="AS17" i="2"/>
  <c r="AR34" i="10"/>
  <c r="AQ34" i="2"/>
  <c r="AT20" i="10"/>
  <c r="AS20" i="2"/>
  <c r="AQ35" i="2"/>
  <c r="AR35" i="10"/>
  <c r="AT16" i="10"/>
  <c r="AS16" i="2"/>
  <c r="AR38" i="10"/>
  <c r="AQ38" i="2"/>
  <c r="AR36" i="10"/>
  <c r="AQ36" i="2"/>
  <c r="AQ40" i="2"/>
  <c r="AR40" i="10"/>
  <c r="AR25" i="10"/>
  <c r="AQ25" i="2"/>
  <c r="AR37" i="10"/>
  <c r="AQ37" i="2"/>
  <c r="AR26" i="10"/>
  <c r="AQ26" i="2"/>
  <c r="AR24" i="10"/>
  <c r="AQ24" i="2"/>
  <c r="AR29" i="10"/>
  <c r="AQ29" i="2"/>
  <c r="BD13" i="10"/>
  <c r="BC13" i="2"/>
  <c r="AT18" i="10"/>
  <c r="AS18" i="2"/>
  <c r="AR22" i="10"/>
  <c r="AQ22" i="2"/>
  <c r="AQ39" i="2"/>
  <c r="AR39" i="10"/>
  <c r="AR23" i="10"/>
  <c r="AQ23" i="2"/>
  <c r="BF8" i="2"/>
  <c r="BF6" i="2"/>
  <c r="BE5" i="2"/>
  <c r="BF9" i="2"/>
  <c r="BF10" i="2"/>
  <c r="BF11" i="2"/>
  <c r="BE4" i="2"/>
  <c r="BF7" i="2"/>
  <c r="AS26" i="10" l="1"/>
  <c r="AR26" i="2"/>
  <c r="AS35" i="10"/>
  <c r="AR35" i="2"/>
  <c r="AU21" i="10"/>
  <c r="AT21" i="2"/>
  <c r="AS22" i="10"/>
  <c r="AR22" i="2"/>
  <c r="AS37" i="10"/>
  <c r="AR37" i="2"/>
  <c r="AS33" i="10"/>
  <c r="AR33" i="2"/>
  <c r="AR41" i="2"/>
  <c r="AS41" i="10"/>
  <c r="AU16" i="10"/>
  <c r="AT16" i="2"/>
  <c r="AS32" i="10"/>
  <c r="AR32" i="2"/>
  <c r="AR42" i="2"/>
  <c r="AS42" i="10"/>
  <c r="AR43" i="2"/>
  <c r="AS43" i="10"/>
  <c r="AS44" i="10"/>
  <c r="AU18" i="10"/>
  <c r="AT18" i="2"/>
  <c r="AS25" i="10"/>
  <c r="AR25" i="2"/>
  <c r="AU20" i="10"/>
  <c r="AT20" i="2"/>
  <c r="AR40" i="2"/>
  <c r="AS40" i="10"/>
  <c r="AU19" i="10"/>
  <c r="AT19" i="2"/>
  <c r="BE13" i="10"/>
  <c r="BD13" i="2"/>
  <c r="AS34" i="10"/>
  <c r="AR34" i="2"/>
  <c r="AS28" i="10"/>
  <c r="AR28" i="2"/>
  <c r="AS27" i="10"/>
  <c r="AR27" i="2"/>
  <c r="AU17" i="10"/>
  <c r="AT17" i="2"/>
  <c r="AS29" i="10"/>
  <c r="AR29" i="2"/>
  <c r="AS36" i="10"/>
  <c r="AR36" i="2"/>
  <c r="AU14" i="10"/>
  <c r="AT14" i="2"/>
  <c r="BF12" i="10"/>
  <c r="BE12" i="2"/>
  <c r="AS23" i="10"/>
  <c r="AR23" i="2"/>
  <c r="AS24" i="10"/>
  <c r="AR24" i="2"/>
  <c r="AS38" i="10"/>
  <c r="AR38" i="2"/>
  <c r="AS30" i="10"/>
  <c r="AR30" i="2"/>
  <c r="AR39" i="2"/>
  <c r="AS39" i="10"/>
  <c r="AS31" i="10"/>
  <c r="AR31" i="2"/>
  <c r="AU15" i="10"/>
  <c r="AT15" i="2"/>
  <c r="BG11" i="2"/>
  <c r="BF5" i="2"/>
  <c r="BG7" i="2"/>
  <c r="BG10" i="2"/>
  <c r="BG6" i="2"/>
  <c r="BF4" i="2"/>
  <c r="BG9" i="2"/>
  <c r="BG8" i="2"/>
  <c r="AV14" i="10" l="1"/>
  <c r="AU14" i="2"/>
  <c r="AT34" i="10"/>
  <c r="AS34" i="2"/>
  <c r="AV18" i="10"/>
  <c r="AU18" i="2"/>
  <c r="AS44" i="2"/>
  <c r="AT45" i="10"/>
  <c r="AT44" i="10"/>
  <c r="AS33" i="2"/>
  <c r="AT33" i="10"/>
  <c r="AS43" i="2"/>
  <c r="AT43" i="10"/>
  <c r="BF13" i="10"/>
  <c r="BE13" i="2"/>
  <c r="AT37" i="10"/>
  <c r="AS37" i="2"/>
  <c r="AT30" i="10"/>
  <c r="AS30" i="2"/>
  <c r="AS36" i="2"/>
  <c r="AT36" i="10"/>
  <c r="AT38" i="10"/>
  <c r="AS38" i="2"/>
  <c r="AT29" i="10"/>
  <c r="AS29" i="2"/>
  <c r="AV19" i="10"/>
  <c r="AU19" i="2"/>
  <c r="AS42" i="2"/>
  <c r="AT42" i="10"/>
  <c r="AT22" i="10"/>
  <c r="AS22" i="2"/>
  <c r="AT24" i="10"/>
  <c r="AS24" i="2"/>
  <c r="AV17" i="10"/>
  <c r="AU17" i="2"/>
  <c r="AT32" i="10"/>
  <c r="AS32" i="2"/>
  <c r="AV21" i="10"/>
  <c r="AU21" i="2"/>
  <c r="AV15" i="10"/>
  <c r="AU15" i="2"/>
  <c r="AT23" i="10"/>
  <c r="AS23" i="2"/>
  <c r="AT27" i="10"/>
  <c r="AS27" i="2"/>
  <c r="AV20" i="10"/>
  <c r="AU20" i="2"/>
  <c r="AT35" i="10"/>
  <c r="AS35" i="2"/>
  <c r="AS40" i="2"/>
  <c r="AT40" i="10"/>
  <c r="AV16" i="10"/>
  <c r="AU16" i="2"/>
  <c r="AT31" i="10"/>
  <c r="AS31" i="2"/>
  <c r="BG12" i="10"/>
  <c r="BF12" i="2"/>
  <c r="AT28" i="10"/>
  <c r="AS28" i="2"/>
  <c r="AT25" i="10"/>
  <c r="AS25" i="2"/>
  <c r="AS41" i="2"/>
  <c r="AT41" i="10"/>
  <c r="AS39" i="2"/>
  <c r="AT39" i="10"/>
  <c r="AT26" i="10"/>
  <c r="AS26" i="2"/>
  <c r="BH10" i="2"/>
  <c r="BH8" i="2"/>
  <c r="BH9" i="2"/>
  <c r="BG4" i="2"/>
  <c r="BG5" i="2"/>
  <c r="BH11" i="2"/>
  <c r="BH6" i="2"/>
  <c r="BH7" i="2"/>
  <c r="AU25" i="10" l="1"/>
  <c r="AT25" i="2"/>
  <c r="AU35" i="10"/>
  <c r="AT35" i="2"/>
  <c r="AU32" i="10"/>
  <c r="AT32" i="2"/>
  <c r="AU29" i="10"/>
  <c r="AT29" i="2"/>
  <c r="AU33" i="10"/>
  <c r="AT33" i="2"/>
  <c r="AU28" i="10"/>
  <c r="AT28" i="2"/>
  <c r="AW20" i="10"/>
  <c r="AV20" i="2"/>
  <c r="AW17" i="10"/>
  <c r="AV17" i="2"/>
  <c r="AU38" i="10"/>
  <c r="AT38" i="2"/>
  <c r="AU36" i="10"/>
  <c r="AT36" i="2"/>
  <c r="AT44" i="2"/>
  <c r="AU44" i="10"/>
  <c r="AT45" i="2"/>
  <c r="AU45" i="10"/>
  <c r="AU46" i="10"/>
  <c r="BH12" i="10"/>
  <c r="BG12" i="2"/>
  <c r="AU27" i="10"/>
  <c r="AT27" i="2"/>
  <c r="AU24" i="10"/>
  <c r="AT24" i="2"/>
  <c r="AU30" i="10"/>
  <c r="AT30" i="2"/>
  <c r="AU26" i="10"/>
  <c r="AT26" i="2"/>
  <c r="AU31" i="10"/>
  <c r="AT31" i="2"/>
  <c r="AU23" i="10"/>
  <c r="AT23" i="2"/>
  <c r="AU22" i="10"/>
  <c r="AT22" i="2"/>
  <c r="AT39" i="2"/>
  <c r="AU39" i="10"/>
  <c r="AT42" i="2"/>
  <c r="AU42" i="10"/>
  <c r="AW18" i="10"/>
  <c r="AV18" i="2"/>
  <c r="AW16" i="10"/>
  <c r="AV16" i="2"/>
  <c r="AW15" i="10"/>
  <c r="AV15" i="2"/>
  <c r="AT37" i="2"/>
  <c r="AU37" i="10"/>
  <c r="AT40" i="2"/>
  <c r="AU40" i="10"/>
  <c r="AU34" i="10"/>
  <c r="AT34" i="2"/>
  <c r="AW21" i="10"/>
  <c r="AV21" i="2"/>
  <c r="AW19" i="10"/>
  <c r="AV19" i="2"/>
  <c r="BG13" i="10"/>
  <c r="BF13" i="2"/>
  <c r="AT41" i="2"/>
  <c r="AU41" i="10"/>
  <c r="AT43" i="2"/>
  <c r="AU43" i="10"/>
  <c r="AW14" i="10"/>
  <c r="AV14" i="2"/>
  <c r="BI11" i="2"/>
  <c r="BH5" i="2"/>
  <c r="BI10" i="2"/>
  <c r="BI7" i="2"/>
  <c r="BI6" i="2"/>
  <c r="BH4" i="2"/>
  <c r="BI9" i="2"/>
  <c r="BI8" i="2"/>
  <c r="AU45" i="2" l="1"/>
  <c r="AV45" i="10"/>
  <c r="AX19" i="10"/>
  <c r="AW19" i="2"/>
  <c r="AX16" i="10"/>
  <c r="AW16" i="2"/>
  <c r="AV31" i="10"/>
  <c r="AU31" i="2"/>
  <c r="AV28" i="10"/>
  <c r="AU28" i="2"/>
  <c r="AX21" i="10"/>
  <c r="AW21" i="2"/>
  <c r="AX18" i="10"/>
  <c r="AW18" i="2"/>
  <c r="AV26" i="10"/>
  <c r="AU26" i="2"/>
  <c r="AU44" i="2"/>
  <c r="AV44" i="10"/>
  <c r="AU42" i="2"/>
  <c r="AV42" i="10"/>
  <c r="AV33" i="10"/>
  <c r="AU33" i="2"/>
  <c r="AV30" i="10"/>
  <c r="AU30" i="2"/>
  <c r="AU43" i="2"/>
  <c r="AV43" i="10"/>
  <c r="AU40" i="2"/>
  <c r="AV40" i="10"/>
  <c r="AU39" i="2"/>
  <c r="AV39" i="10"/>
  <c r="AV36" i="10"/>
  <c r="AU36" i="2"/>
  <c r="AV29" i="10"/>
  <c r="AU29" i="2"/>
  <c r="AV24" i="10"/>
  <c r="AU24" i="2"/>
  <c r="AU41" i="2"/>
  <c r="AV41" i="10"/>
  <c r="AV37" i="10"/>
  <c r="AU37" i="2"/>
  <c r="AV38" i="10"/>
  <c r="AU38" i="2"/>
  <c r="AV32" i="10"/>
  <c r="AU32" i="2"/>
  <c r="AV27" i="10"/>
  <c r="AU27" i="2"/>
  <c r="AV22" i="10"/>
  <c r="AU22" i="2"/>
  <c r="AX17" i="10"/>
  <c r="AW17" i="2"/>
  <c r="AU35" i="2"/>
  <c r="AV35" i="10"/>
  <c r="AX14" i="10"/>
  <c r="AW14" i="2"/>
  <c r="BH13" i="10"/>
  <c r="BG13" i="2"/>
  <c r="AX15" i="10"/>
  <c r="AW15" i="2"/>
  <c r="AV23" i="10"/>
  <c r="AU23" i="2"/>
  <c r="BI12" i="10"/>
  <c r="BH12" i="2"/>
  <c r="AV34" i="10"/>
  <c r="AU34" i="2"/>
  <c r="AU46" i="2"/>
  <c r="AV46" i="10"/>
  <c r="AV47" i="10"/>
  <c r="AX20" i="10"/>
  <c r="AW20" i="2"/>
  <c r="AV25" i="10"/>
  <c r="AU25" i="2"/>
  <c r="BJ9" i="2"/>
  <c r="BJ7" i="2"/>
  <c r="BJ10" i="2"/>
  <c r="BJ11" i="2"/>
  <c r="BI5" i="2"/>
  <c r="BJ8" i="2"/>
  <c r="BI4" i="2"/>
  <c r="BJ6" i="2"/>
  <c r="AY21" i="10" l="1"/>
  <c r="AX21" i="2"/>
  <c r="AW23" i="10"/>
  <c r="AV23" i="2"/>
  <c r="AW22" i="10"/>
  <c r="AV22" i="2"/>
  <c r="AW24" i="10"/>
  <c r="AV24" i="2"/>
  <c r="AW30" i="10"/>
  <c r="AV30" i="2"/>
  <c r="AW25" i="10"/>
  <c r="AV25" i="2"/>
  <c r="AY15" i="10"/>
  <c r="AX15" i="2"/>
  <c r="AW27" i="10"/>
  <c r="AV27" i="2"/>
  <c r="AW29" i="10"/>
  <c r="AV29" i="2"/>
  <c r="AW33" i="10"/>
  <c r="AV33" i="2"/>
  <c r="AW28" i="10"/>
  <c r="AV28" i="2"/>
  <c r="AW42" i="10"/>
  <c r="AV42" i="2"/>
  <c r="AY20" i="10"/>
  <c r="AX20" i="2"/>
  <c r="AV47" i="2"/>
  <c r="AW48" i="10"/>
  <c r="AW47" i="10"/>
  <c r="BI13" i="10"/>
  <c r="BH13" i="2"/>
  <c r="AW32" i="10"/>
  <c r="AV32" i="2"/>
  <c r="AV36" i="2"/>
  <c r="AW36" i="10"/>
  <c r="AW31" i="10"/>
  <c r="AV31" i="2"/>
  <c r="AV46" i="2"/>
  <c r="AW46" i="10"/>
  <c r="AV39" i="2"/>
  <c r="AW39" i="10"/>
  <c r="AW44" i="10"/>
  <c r="AV44" i="2"/>
  <c r="AY16" i="10"/>
  <c r="AX16" i="2"/>
  <c r="AW38" i="10"/>
  <c r="AV38" i="2"/>
  <c r="AV40" i="2"/>
  <c r="AW40" i="10"/>
  <c r="AW35" i="10"/>
  <c r="AV35" i="2"/>
  <c r="AW34" i="10"/>
  <c r="AV34" i="2"/>
  <c r="AV37" i="2"/>
  <c r="AW37" i="10"/>
  <c r="AW26" i="10"/>
  <c r="AV26" i="2"/>
  <c r="AY19" i="10"/>
  <c r="AX19" i="2"/>
  <c r="AW41" i="10"/>
  <c r="AV41" i="2"/>
  <c r="AW43" i="10"/>
  <c r="AV43" i="2"/>
  <c r="AW45" i="10"/>
  <c r="AV45" i="2"/>
  <c r="AY14" i="10"/>
  <c r="AX14" i="2"/>
  <c r="BJ12" i="10"/>
  <c r="BI12" i="2"/>
  <c r="AY17" i="10"/>
  <c r="AX17" i="2"/>
  <c r="AY18" i="10"/>
  <c r="AX18" i="2"/>
  <c r="BK6" i="2"/>
  <c r="BK8" i="2"/>
  <c r="BK9" i="2"/>
  <c r="BK11" i="2"/>
  <c r="BJ4" i="2"/>
  <c r="BJ5" i="2"/>
  <c r="BK10" i="2"/>
  <c r="BK7" i="2"/>
  <c r="AZ18" i="10" l="1"/>
  <c r="AY18" i="2"/>
  <c r="AX41" i="10"/>
  <c r="AW41" i="2"/>
  <c r="AX31" i="10"/>
  <c r="AW31" i="2"/>
  <c r="AX36" i="10"/>
  <c r="AW36" i="2"/>
  <c r="AX42" i="10"/>
  <c r="AW42" i="2"/>
  <c r="AX25" i="10"/>
  <c r="AW25" i="2"/>
  <c r="AX38" i="10"/>
  <c r="AW38" i="2"/>
  <c r="AZ17" i="10"/>
  <c r="AY17" i="2"/>
  <c r="AZ19" i="10"/>
  <c r="AY19" i="2"/>
  <c r="AX28" i="10"/>
  <c r="AW28" i="2"/>
  <c r="AX30" i="10"/>
  <c r="AW30" i="2"/>
  <c r="BK12" i="10"/>
  <c r="BJ12" i="2"/>
  <c r="AX26" i="10"/>
  <c r="AW26" i="2"/>
  <c r="AZ16" i="10"/>
  <c r="AY16" i="2"/>
  <c r="AX32" i="10"/>
  <c r="AW32" i="2"/>
  <c r="AX37" i="10"/>
  <c r="AW37" i="2"/>
  <c r="AX33" i="10"/>
  <c r="AW33" i="2"/>
  <c r="AX24" i="10"/>
  <c r="AW24" i="2"/>
  <c r="BJ13" i="10"/>
  <c r="BI13" i="2"/>
  <c r="AW44" i="2"/>
  <c r="AX44" i="10"/>
  <c r="AX39" i="10"/>
  <c r="AW39" i="2"/>
  <c r="AW47" i="2"/>
  <c r="AX47" i="10"/>
  <c r="AX29" i="10"/>
  <c r="AW29" i="2"/>
  <c r="AX22" i="10"/>
  <c r="AW22" i="2"/>
  <c r="AX45" i="10"/>
  <c r="AW45" i="2"/>
  <c r="AW48" i="2"/>
  <c r="AX49" i="10"/>
  <c r="AX48" i="10"/>
  <c r="AW46" i="2"/>
  <c r="AX46" i="10"/>
  <c r="AX27" i="10"/>
  <c r="AW27" i="2"/>
  <c r="AX23" i="10"/>
  <c r="AW23" i="2"/>
  <c r="AW43" i="2"/>
  <c r="AX43" i="10"/>
  <c r="AX35" i="10"/>
  <c r="AW35" i="2"/>
  <c r="AZ14" i="10"/>
  <c r="AY14" i="2"/>
  <c r="AX34" i="10"/>
  <c r="AW34" i="2"/>
  <c r="AX40" i="10"/>
  <c r="AW40" i="2"/>
  <c r="AZ20" i="10"/>
  <c r="AY20" i="2"/>
  <c r="AZ15" i="10"/>
  <c r="AY15" i="2"/>
  <c r="AZ21" i="10"/>
  <c r="AY21" i="2"/>
  <c r="BK5" i="2"/>
  <c r="BK4" i="2"/>
  <c r="BL10" i="2"/>
  <c r="BL9" i="2"/>
  <c r="BL11" i="2"/>
  <c r="BL6" i="2"/>
  <c r="BL7" i="2"/>
  <c r="BL8" i="2"/>
  <c r="BA15" i="10" l="1"/>
  <c r="AZ15" i="2"/>
  <c r="AY22" i="10"/>
  <c r="AX22" i="2"/>
  <c r="AY24" i="10"/>
  <c r="AX24" i="2"/>
  <c r="BL12" i="10"/>
  <c r="BK12" i="2"/>
  <c r="AY25" i="10"/>
  <c r="AX25" i="2"/>
  <c r="BA20" i="10"/>
  <c r="AZ20" i="2"/>
  <c r="AY23" i="10"/>
  <c r="AX23" i="2"/>
  <c r="AY29" i="10"/>
  <c r="AX29" i="2"/>
  <c r="AY33" i="10"/>
  <c r="AX33" i="2"/>
  <c r="AY30" i="10"/>
  <c r="AX30" i="2"/>
  <c r="AX42" i="2"/>
  <c r="AY42" i="10"/>
  <c r="AX47" i="2"/>
  <c r="AY47" i="10"/>
  <c r="AY40" i="10"/>
  <c r="AX40" i="2"/>
  <c r="AY27" i="10"/>
  <c r="AX27" i="2"/>
  <c r="AX46" i="2"/>
  <c r="AY46" i="10"/>
  <c r="AX37" i="2"/>
  <c r="AY37" i="10"/>
  <c r="AY28" i="10"/>
  <c r="AX28" i="2"/>
  <c r="AY36" i="10"/>
  <c r="AX36" i="2"/>
  <c r="AY34" i="10"/>
  <c r="AX34" i="2"/>
  <c r="AX48" i="2"/>
  <c r="AY48" i="10"/>
  <c r="AY39" i="10"/>
  <c r="AX39" i="2"/>
  <c r="AY32" i="10"/>
  <c r="AX32" i="2"/>
  <c r="BA19" i="10"/>
  <c r="AZ19" i="2"/>
  <c r="AY31" i="10"/>
  <c r="AX31" i="2"/>
  <c r="BA14" i="10"/>
  <c r="AZ14" i="2"/>
  <c r="AX49" i="2"/>
  <c r="AY49" i="10"/>
  <c r="AY50" i="10"/>
  <c r="AY44" i="10"/>
  <c r="AX44" i="2"/>
  <c r="BA16" i="10"/>
  <c r="AZ16" i="2"/>
  <c r="BA17" i="10"/>
  <c r="AZ17" i="2"/>
  <c r="AX41" i="2"/>
  <c r="AY41" i="10"/>
  <c r="BA21" i="10"/>
  <c r="AZ21" i="2"/>
  <c r="AX35" i="2"/>
  <c r="AY35" i="10"/>
  <c r="AY43" i="10"/>
  <c r="AX43" i="2"/>
  <c r="AX45" i="2"/>
  <c r="AY45" i="10"/>
  <c r="BK13" i="10"/>
  <c r="BJ13" i="2"/>
  <c r="AY26" i="10"/>
  <c r="AX26" i="2"/>
  <c r="AY38" i="10"/>
  <c r="AX38" i="2"/>
  <c r="BA18" i="10"/>
  <c r="AZ18" i="2"/>
  <c r="BL4" i="2"/>
  <c r="BM8" i="2"/>
  <c r="BM7" i="2"/>
  <c r="BM9" i="2"/>
  <c r="BM6" i="2"/>
  <c r="BM11" i="2"/>
  <c r="BM10" i="2"/>
  <c r="BL5" i="2"/>
  <c r="AZ31" i="10" l="1"/>
  <c r="AY31" i="2"/>
  <c r="AZ36" i="10"/>
  <c r="AY36" i="2"/>
  <c r="BB20" i="10"/>
  <c r="BA20" i="2"/>
  <c r="BL13" i="10"/>
  <c r="BK13" i="2"/>
  <c r="BB17" i="10"/>
  <c r="BA17" i="2"/>
  <c r="AY42" i="2"/>
  <c r="AZ42" i="10"/>
  <c r="AZ26" i="10"/>
  <c r="AY26" i="2"/>
  <c r="AY47" i="2"/>
  <c r="AZ47" i="10"/>
  <c r="BB19" i="10"/>
  <c r="BA19" i="2"/>
  <c r="AZ28" i="10"/>
  <c r="AY28" i="2"/>
  <c r="AZ25" i="10"/>
  <c r="AY25" i="2"/>
  <c r="BB16" i="10"/>
  <c r="BA16" i="2"/>
  <c r="AY37" i="2"/>
  <c r="AZ37" i="10"/>
  <c r="AZ32" i="10"/>
  <c r="AY32" i="2"/>
  <c r="AZ30" i="10"/>
  <c r="AY30" i="2"/>
  <c r="BM12" i="10"/>
  <c r="BL12" i="2"/>
  <c r="AY46" i="2"/>
  <c r="AZ46" i="10"/>
  <c r="AY45" i="2"/>
  <c r="AZ45" i="10"/>
  <c r="AZ24" i="10"/>
  <c r="AY24" i="2"/>
  <c r="AY49" i="2"/>
  <c r="AZ49" i="10"/>
  <c r="AZ43" i="10"/>
  <c r="AY43" i="2"/>
  <c r="AZ35" i="10"/>
  <c r="AY35" i="2"/>
  <c r="AY50" i="2"/>
  <c r="AZ50" i="10"/>
  <c r="AZ51" i="10"/>
  <c r="AZ39" i="10"/>
  <c r="AY39" i="2"/>
  <c r="AZ33" i="10"/>
  <c r="AY33" i="2"/>
  <c r="AY48" i="2"/>
  <c r="AZ48" i="10"/>
  <c r="AZ27" i="10"/>
  <c r="AY27" i="2"/>
  <c r="AZ29" i="10"/>
  <c r="AY29" i="2"/>
  <c r="AZ22" i="10"/>
  <c r="AY22" i="2"/>
  <c r="AY44" i="2"/>
  <c r="AZ44" i="10"/>
  <c r="AZ38" i="10"/>
  <c r="AY38" i="2"/>
  <c r="BB21" i="10"/>
  <c r="BA21" i="2"/>
  <c r="BB18" i="10"/>
  <c r="BA18" i="2"/>
  <c r="AZ41" i="10"/>
  <c r="AY41" i="2"/>
  <c r="BB14" i="10"/>
  <c r="BA14" i="2"/>
  <c r="AZ34" i="10"/>
  <c r="AY34" i="2"/>
  <c r="AZ40" i="10"/>
  <c r="AY40" i="2"/>
  <c r="AZ23" i="10"/>
  <c r="AY23" i="2"/>
  <c r="BB15" i="10"/>
  <c r="BA15" i="2"/>
  <c r="BN9" i="2"/>
  <c r="BN6" i="2"/>
  <c r="BM4" i="2"/>
  <c r="BM5" i="2"/>
  <c r="BN10" i="2"/>
  <c r="BN11" i="2"/>
  <c r="BN7" i="2"/>
  <c r="BN8" i="2"/>
  <c r="BA34" i="10" l="1"/>
  <c r="AZ34" i="2"/>
  <c r="BA39" i="10"/>
  <c r="AZ39" i="2"/>
  <c r="BA45" i="10"/>
  <c r="AZ45" i="2"/>
  <c r="BA42" i="10"/>
  <c r="AZ42" i="2"/>
  <c r="BC14" i="10"/>
  <c r="BB14" i="2"/>
  <c r="BA22" i="10"/>
  <c r="AZ22" i="2"/>
  <c r="AZ50" i="2"/>
  <c r="BA50" i="10"/>
  <c r="AZ46" i="2"/>
  <c r="BA46" i="10"/>
  <c r="BA25" i="10"/>
  <c r="AZ25" i="2"/>
  <c r="BC17" i="10"/>
  <c r="BB17" i="2"/>
  <c r="BA29" i="10"/>
  <c r="AZ29" i="2"/>
  <c r="AZ51" i="2"/>
  <c r="BA51" i="10"/>
  <c r="BA52" i="10"/>
  <c r="BC16" i="10"/>
  <c r="BB16" i="2"/>
  <c r="AZ41" i="2"/>
  <c r="BA41" i="10"/>
  <c r="AZ35" i="2"/>
  <c r="BA35" i="10"/>
  <c r="BN12" i="10"/>
  <c r="BM12" i="2"/>
  <c r="BA28" i="10"/>
  <c r="AZ28" i="2"/>
  <c r="BM13" i="10"/>
  <c r="BL13" i="2"/>
  <c r="BC15" i="10"/>
  <c r="BB15" i="2"/>
  <c r="BC18" i="10"/>
  <c r="BB18" i="2"/>
  <c r="BA27" i="10"/>
  <c r="AZ27" i="2"/>
  <c r="AZ48" i="2"/>
  <c r="BA48" i="10"/>
  <c r="AZ43" i="2"/>
  <c r="BA43" i="10"/>
  <c r="BA30" i="10"/>
  <c r="AZ30" i="2"/>
  <c r="BC19" i="10"/>
  <c r="BB19" i="2"/>
  <c r="BC20" i="10"/>
  <c r="BB20" i="2"/>
  <c r="BA23" i="10"/>
  <c r="AZ23" i="2"/>
  <c r="BC21" i="10"/>
  <c r="BB21" i="2"/>
  <c r="AZ49" i="2"/>
  <c r="BA49" i="10"/>
  <c r="AZ47" i="2"/>
  <c r="BA47" i="10"/>
  <c r="BA32" i="10"/>
  <c r="AZ32" i="2"/>
  <c r="AZ36" i="2"/>
  <c r="BA36" i="10"/>
  <c r="BA40" i="10"/>
  <c r="AZ40" i="2"/>
  <c r="AZ38" i="2"/>
  <c r="BA38" i="10"/>
  <c r="BA33" i="10"/>
  <c r="AZ33" i="2"/>
  <c r="AZ37" i="2"/>
  <c r="BA37" i="10"/>
  <c r="BA44" i="10"/>
  <c r="AZ44" i="2"/>
  <c r="BA24" i="10"/>
  <c r="AZ24" i="2"/>
  <c r="BA26" i="10"/>
  <c r="AZ26" i="2"/>
  <c r="BA31" i="10"/>
  <c r="AZ31" i="2"/>
  <c r="BO11" i="2"/>
  <c r="BN4" i="2"/>
  <c r="BO8" i="2"/>
  <c r="BO10" i="2"/>
  <c r="BN5" i="2"/>
  <c r="BO7" i="2"/>
  <c r="BO6" i="2"/>
  <c r="BO9" i="2"/>
  <c r="BB30" i="10" l="1"/>
  <c r="BA30" i="2"/>
  <c r="BN13" i="10"/>
  <c r="BM13" i="2"/>
  <c r="BA51" i="2"/>
  <c r="BB51" i="10"/>
  <c r="BB43" i="10"/>
  <c r="BA43" i="2"/>
  <c r="BB22" i="10"/>
  <c r="BA22" i="2"/>
  <c r="BA49" i="2"/>
  <c r="BB49" i="10"/>
  <c r="BB29" i="10"/>
  <c r="BA29" i="2"/>
  <c r="BD14" i="10"/>
  <c r="BC14" i="2"/>
  <c r="BO12" i="10"/>
  <c r="BN12" i="2"/>
  <c r="BB35" i="10"/>
  <c r="BA35" i="2"/>
  <c r="BD17" i="10"/>
  <c r="BC17" i="2"/>
  <c r="BB42" i="10"/>
  <c r="BA42" i="2"/>
  <c r="BB27" i="10"/>
  <c r="BA27" i="2"/>
  <c r="BA36" i="2"/>
  <c r="BB36" i="10"/>
  <c r="BB41" i="10"/>
  <c r="BA41" i="2"/>
  <c r="BB25" i="10"/>
  <c r="BA25" i="2"/>
  <c r="BB45" i="10"/>
  <c r="BA45" i="2"/>
  <c r="BB33" i="10"/>
  <c r="BA33" i="2"/>
  <c r="BD21" i="10"/>
  <c r="BC21" i="2"/>
  <c r="BB26" i="10"/>
  <c r="BA26" i="2"/>
  <c r="BD20" i="10"/>
  <c r="BC20" i="2"/>
  <c r="BD18" i="10"/>
  <c r="BC18" i="2"/>
  <c r="BA46" i="2"/>
  <c r="BB46" i="10"/>
  <c r="BB28" i="10"/>
  <c r="BA28" i="2"/>
  <c r="BB38" i="10"/>
  <c r="BA38" i="2"/>
  <c r="BA48" i="2"/>
  <c r="BB48" i="10"/>
  <c r="BB23" i="10"/>
  <c r="BA23" i="2"/>
  <c r="BB24" i="10"/>
  <c r="BA24" i="2"/>
  <c r="BB39" i="10"/>
  <c r="BA39" i="2"/>
  <c r="BB44" i="10"/>
  <c r="BA44" i="2"/>
  <c r="BB32" i="10"/>
  <c r="BA32" i="2"/>
  <c r="BD19" i="10"/>
  <c r="BC19" i="2"/>
  <c r="BD15" i="10"/>
  <c r="BC15" i="2"/>
  <c r="BD16" i="10"/>
  <c r="BC16" i="2"/>
  <c r="BA50" i="2"/>
  <c r="BB50" i="10"/>
  <c r="BB31" i="10"/>
  <c r="BA31" i="2"/>
  <c r="BB40" i="10"/>
  <c r="BA40" i="2"/>
  <c r="BB37" i="10"/>
  <c r="BA37" i="2"/>
  <c r="BA47" i="2"/>
  <c r="BB47" i="10"/>
  <c r="BA52" i="2"/>
  <c r="BB52" i="10"/>
  <c r="BB53" i="10"/>
  <c r="BA34" i="2"/>
  <c r="BB34" i="10"/>
  <c r="BP6" i="2"/>
  <c r="BP9" i="2"/>
  <c r="BP7" i="2"/>
  <c r="BP10" i="2"/>
  <c r="BP8" i="2"/>
  <c r="BO4" i="2"/>
  <c r="BP11" i="2"/>
  <c r="BO5" i="2"/>
  <c r="BB48" i="2" l="1"/>
  <c r="BC48" i="10"/>
  <c r="BB49" i="2"/>
  <c r="BC49" i="10"/>
  <c r="BB34" i="2"/>
  <c r="BC34" i="10"/>
  <c r="BC31" i="10"/>
  <c r="BB31" i="2"/>
  <c r="BC44" i="10"/>
  <c r="BB44" i="2"/>
  <c r="BC28" i="10"/>
  <c r="BB28" i="2"/>
  <c r="BC33" i="10"/>
  <c r="BB33" i="2"/>
  <c r="BC42" i="10"/>
  <c r="BB42" i="2"/>
  <c r="BB50" i="2"/>
  <c r="BC50" i="10"/>
  <c r="BB46" i="2"/>
  <c r="BC46" i="10"/>
  <c r="BC22" i="10"/>
  <c r="BB22" i="2"/>
  <c r="BB52" i="2"/>
  <c r="BC52" i="10"/>
  <c r="BE16" i="10"/>
  <c r="BD16" i="2"/>
  <c r="BC24" i="10"/>
  <c r="BB24" i="2"/>
  <c r="BE18" i="10"/>
  <c r="BD18" i="2"/>
  <c r="BC25" i="10"/>
  <c r="BB25" i="2"/>
  <c r="BC35" i="10"/>
  <c r="BB35" i="2"/>
  <c r="BB43" i="2"/>
  <c r="BC43" i="10"/>
  <c r="BB53" i="2"/>
  <c r="BC54" i="10"/>
  <c r="BC53" i="10"/>
  <c r="BB45" i="2"/>
  <c r="BC45" i="10"/>
  <c r="BB51" i="2"/>
  <c r="BC51" i="10"/>
  <c r="BE15" i="10"/>
  <c r="BD15" i="2"/>
  <c r="BC23" i="10"/>
  <c r="BB23" i="2"/>
  <c r="BE20" i="10"/>
  <c r="BD20" i="2"/>
  <c r="BC41" i="10"/>
  <c r="BB41" i="2"/>
  <c r="BP12" i="10"/>
  <c r="BO12" i="2"/>
  <c r="BC36" i="10"/>
  <c r="BB36" i="2"/>
  <c r="BC37" i="10"/>
  <c r="BB37" i="2"/>
  <c r="BE19" i="10"/>
  <c r="BD19" i="2"/>
  <c r="BC26" i="10"/>
  <c r="BB26" i="2"/>
  <c r="BE14" i="10"/>
  <c r="BD14" i="2"/>
  <c r="BO13" i="10"/>
  <c r="BN13" i="2"/>
  <c r="BC39" i="10"/>
  <c r="BB39" i="2"/>
  <c r="BE17" i="10"/>
  <c r="BD17" i="2"/>
  <c r="BB47" i="2"/>
  <c r="BC47" i="10"/>
  <c r="BC40" i="10"/>
  <c r="BB40" i="2"/>
  <c r="BC32" i="10"/>
  <c r="BB32" i="2"/>
  <c r="BB38" i="2"/>
  <c r="BC38" i="10"/>
  <c r="BE21" i="10"/>
  <c r="BD21" i="2"/>
  <c r="BC27" i="10"/>
  <c r="BB27" i="2"/>
  <c r="BC29" i="10"/>
  <c r="BB29" i="2"/>
  <c r="BC30" i="10"/>
  <c r="BB30" i="2"/>
  <c r="BP4" i="2"/>
  <c r="BQ10" i="2"/>
  <c r="BQ7" i="2"/>
  <c r="BQ9" i="2"/>
  <c r="BP5" i="2"/>
  <c r="BQ8" i="2"/>
  <c r="BQ11" i="2"/>
  <c r="BQ6" i="2"/>
  <c r="BD30" i="10" l="1"/>
  <c r="BC30" i="2"/>
  <c r="BD40" i="10"/>
  <c r="BC40" i="2"/>
  <c r="BD26" i="10"/>
  <c r="BC26" i="2"/>
  <c r="BF20" i="10"/>
  <c r="BE20" i="2"/>
  <c r="BD43" i="10"/>
  <c r="BC43" i="2"/>
  <c r="BD52" i="10"/>
  <c r="BC52" i="2"/>
  <c r="BF17" i="10"/>
  <c r="BE17" i="2"/>
  <c r="BD39" i="10"/>
  <c r="BC39" i="2"/>
  <c r="BD47" i="10"/>
  <c r="BC47" i="2"/>
  <c r="BD28" i="10"/>
  <c r="BC28" i="2"/>
  <c r="BD23" i="10"/>
  <c r="BC23" i="2"/>
  <c r="BD35" i="10"/>
  <c r="BC35" i="2"/>
  <c r="BD22" i="10"/>
  <c r="BC22" i="2"/>
  <c r="BD44" i="10"/>
  <c r="BC44" i="2"/>
  <c r="BD46" i="10"/>
  <c r="BC46" i="2"/>
  <c r="BD51" i="10"/>
  <c r="BC51" i="2"/>
  <c r="BD25" i="10"/>
  <c r="BC25" i="2"/>
  <c r="BD31" i="10"/>
  <c r="BC31" i="2"/>
  <c r="BC36" i="2"/>
  <c r="BD36" i="10"/>
  <c r="BD50" i="10"/>
  <c r="BC50" i="2"/>
  <c r="BD34" i="10"/>
  <c r="BC34" i="2"/>
  <c r="BD37" i="10"/>
  <c r="BC37" i="2"/>
  <c r="BD38" i="10"/>
  <c r="BC38" i="2"/>
  <c r="BD45" i="10"/>
  <c r="BC45" i="2"/>
  <c r="BF18" i="10"/>
  <c r="BE18" i="2"/>
  <c r="BD27" i="10"/>
  <c r="BC27" i="2"/>
  <c r="BF15" i="10"/>
  <c r="BE15" i="2"/>
  <c r="BQ12" i="10"/>
  <c r="BP12" i="2"/>
  <c r="BC49" i="2"/>
  <c r="BD49" i="10"/>
  <c r="BC53" i="2"/>
  <c r="BD53" i="10"/>
  <c r="BD24" i="10"/>
  <c r="BC24" i="2"/>
  <c r="BD42" i="10"/>
  <c r="BC42" i="2"/>
  <c r="BF19" i="10"/>
  <c r="BE19" i="2"/>
  <c r="BF21" i="10"/>
  <c r="BE21" i="2"/>
  <c r="BP13" i="10"/>
  <c r="BO13" i="2"/>
  <c r="BD32" i="10"/>
  <c r="BC32" i="2"/>
  <c r="BF14" i="10"/>
  <c r="BE14" i="2"/>
  <c r="BD41" i="10"/>
  <c r="BC41" i="2"/>
  <c r="BC54" i="2"/>
  <c r="BD55" i="10"/>
  <c r="BD54" i="10"/>
  <c r="BD48" i="10"/>
  <c r="BC48" i="2"/>
  <c r="BD29" i="10"/>
  <c r="BC29" i="2"/>
  <c r="BF16" i="10"/>
  <c r="BE16" i="2"/>
  <c r="BD33" i="10"/>
  <c r="BC33" i="2"/>
  <c r="BR11" i="2"/>
  <c r="BQ5" i="2"/>
  <c r="BR9" i="2"/>
  <c r="BQ4" i="2"/>
  <c r="BR6" i="2"/>
  <c r="BR8" i="2"/>
  <c r="BR7" i="2"/>
  <c r="BR10" i="2"/>
  <c r="BD53" i="2" l="1"/>
  <c r="BE53" i="10"/>
  <c r="BE32" i="10"/>
  <c r="BD32" i="2"/>
  <c r="BD45" i="2"/>
  <c r="BE45" i="10"/>
  <c r="BE31" i="10"/>
  <c r="BD31" i="2"/>
  <c r="BE35" i="10"/>
  <c r="BD35" i="2"/>
  <c r="BE52" i="10"/>
  <c r="BD52" i="2"/>
  <c r="BE49" i="10"/>
  <c r="BD49" i="2"/>
  <c r="BE29" i="10"/>
  <c r="BD29" i="2"/>
  <c r="BQ13" i="10"/>
  <c r="BP13" i="2"/>
  <c r="BD38" i="2"/>
  <c r="BE38" i="10"/>
  <c r="BE25" i="10"/>
  <c r="BD25" i="2"/>
  <c r="BE23" i="10"/>
  <c r="BD23" i="2"/>
  <c r="BE43" i="10"/>
  <c r="BD43" i="2"/>
  <c r="BE48" i="10"/>
  <c r="BD48" i="2"/>
  <c r="BD54" i="2"/>
  <c r="BE54" i="10"/>
  <c r="BG21" i="10"/>
  <c r="BF21" i="2"/>
  <c r="BR12" i="10"/>
  <c r="BQ12" i="2"/>
  <c r="BD37" i="2"/>
  <c r="BE37" i="10"/>
  <c r="BE51" i="10"/>
  <c r="BD51" i="2"/>
  <c r="BE28" i="10"/>
  <c r="BD28" i="2"/>
  <c r="BG20" i="10"/>
  <c r="BF20" i="2"/>
  <c r="BD55" i="2"/>
  <c r="BE56" i="10"/>
  <c r="BE55" i="10"/>
  <c r="BG19" i="10"/>
  <c r="BF19" i="2"/>
  <c r="BG15" i="10"/>
  <c r="BF15" i="2"/>
  <c r="BE34" i="10"/>
  <c r="BD34" i="2"/>
  <c r="BD46" i="2"/>
  <c r="BE46" i="10"/>
  <c r="BE47" i="10"/>
  <c r="BD47" i="2"/>
  <c r="BE26" i="10"/>
  <c r="BD26" i="2"/>
  <c r="BG16" i="10"/>
  <c r="BF16" i="2"/>
  <c r="BE41" i="10"/>
  <c r="BD41" i="2"/>
  <c r="BE42" i="10"/>
  <c r="BD42" i="2"/>
  <c r="BE27" i="10"/>
  <c r="BD27" i="2"/>
  <c r="BD50" i="2"/>
  <c r="BE50" i="10"/>
  <c r="BD44" i="2"/>
  <c r="BE44" i="10"/>
  <c r="BE39" i="10"/>
  <c r="BD39" i="2"/>
  <c r="BE40" i="10"/>
  <c r="BD40" i="2"/>
  <c r="BE33" i="10"/>
  <c r="BD33" i="2"/>
  <c r="BD36" i="2"/>
  <c r="BE36" i="10"/>
  <c r="BG14" i="10"/>
  <c r="BF14" i="2"/>
  <c r="BE24" i="10"/>
  <c r="BD24" i="2"/>
  <c r="BG18" i="10"/>
  <c r="BF18" i="2"/>
  <c r="BE22" i="10"/>
  <c r="BD22" i="2"/>
  <c r="BG17" i="10"/>
  <c r="BF17" i="2"/>
  <c r="BE30" i="10"/>
  <c r="BD30" i="2"/>
  <c r="BS7" i="2"/>
  <c r="BS8" i="2"/>
  <c r="BR4" i="2"/>
  <c r="BR5" i="2"/>
  <c r="BS11" i="2"/>
  <c r="BS10" i="2"/>
  <c r="BS6" i="2"/>
  <c r="BS9" i="2"/>
  <c r="BE54" i="2" l="1"/>
  <c r="BF54" i="10"/>
  <c r="BF22" i="10"/>
  <c r="BE22" i="2"/>
  <c r="BE40" i="2"/>
  <c r="BF40" i="10"/>
  <c r="BE41" i="2"/>
  <c r="BF41" i="10"/>
  <c r="BH15" i="10"/>
  <c r="BG15" i="2"/>
  <c r="BF37" i="10"/>
  <c r="BE37" i="2"/>
  <c r="BE36" i="2"/>
  <c r="BF36" i="10"/>
  <c r="BF23" i="10"/>
  <c r="BE23" i="2"/>
  <c r="BF52" i="10"/>
  <c r="BE52" i="2"/>
  <c r="BF50" i="10"/>
  <c r="BE50" i="2"/>
  <c r="BH18" i="10"/>
  <c r="BG18" i="2"/>
  <c r="BE39" i="2"/>
  <c r="BF39" i="10"/>
  <c r="BH16" i="10"/>
  <c r="BG16" i="2"/>
  <c r="BH19" i="10"/>
  <c r="BG19" i="2"/>
  <c r="BF44" i="10"/>
  <c r="BE44" i="2"/>
  <c r="BE55" i="2"/>
  <c r="BF55" i="10"/>
  <c r="BS12" i="10"/>
  <c r="BR12" i="2"/>
  <c r="BF25" i="10"/>
  <c r="BE25" i="2"/>
  <c r="BF35" i="10"/>
  <c r="BE35" i="2"/>
  <c r="BF24" i="10"/>
  <c r="BE24" i="2"/>
  <c r="BF26" i="10"/>
  <c r="BE26" i="2"/>
  <c r="BE56" i="2"/>
  <c r="BF56" i="10"/>
  <c r="BF57" i="10"/>
  <c r="BF38" i="10"/>
  <c r="BE38" i="2"/>
  <c r="BF31" i="10"/>
  <c r="BE31" i="2"/>
  <c r="BF45" i="10"/>
  <c r="BE45" i="2"/>
  <c r="BR13" i="10"/>
  <c r="BQ13" i="2"/>
  <c r="BH21" i="10"/>
  <c r="BG21" i="2"/>
  <c r="BH14" i="10"/>
  <c r="BG14" i="2"/>
  <c r="BF47" i="10"/>
  <c r="BE47" i="2"/>
  <c r="BF46" i="10"/>
  <c r="BE46" i="2"/>
  <c r="BF30" i="10"/>
  <c r="BE30" i="2"/>
  <c r="BF27" i="10"/>
  <c r="BE27" i="2"/>
  <c r="BF28" i="10"/>
  <c r="BE28" i="2"/>
  <c r="BF48" i="10"/>
  <c r="BE48" i="2"/>
  <c r="BF29" i="10"/>
  <c r="BE29" i="2"/>
  <c r="BF32" i="10"/>
  <c r="BE32" i="2"/>
  <c r="BF34" i="10"/>
  <c r="BE34" i="2"/>
  <c r="BE53" i="2"/>
  <c r="BF53" i="10"/>
  <c r="BH20" i="10"/>
  <c r="BG20" i="2"/>
  <c r="BH17" i="10"/>
  <c r="BG17" i="2"/>
  <c r="BE33" i="2"/>
  <c r="BF33" i="10"/>
  <c r="BF42" i="10"/>
  <c r="BE42" i="2"/>
  <c r="BE51" i="2"/>
  <c r="BF51" i="10"/>
  <c r="BE43" i="2"/>
  <c r="BF43" i="10"/>
  <c r="BF49" i="10"/>
  <c r="BE49" i="2"/>
  <c r="BT9" i="2"/>
  <c r="BT10" i="2"/>
  <c r="BS5" i="2"/>
  <c r="BT7" i="2"/>
  <c r="BT8" i="2"/>
  <c r="BT6" i="2"/>
  <c r="BT11" i="2"/>
  <c r="BS4" i="2"/>
  <c r="BG42" i="10" l="1"/>
  <c r="BF42" i="2"/>
  <c r="BG32" i="10"/>
  <c r="BF32" i="2"/>
  <c r="BG46" i="10"/>
  <c r="BF46" i="2"/>
  <c r="BG31" i="10"/>
  <c r="BF31" i="2"/>
  <c r="BG39" i="10"/>
  <c r="BF39" i="2"/>
  <c r="BF33" i="2"/>
  <c r="BG33" i="10"/>
  <c r="BG25" i="10"/>
  <c r="BF25" i="2"/>
  <c r="BG37" i="10"/>
  <c r="BF37" i="2"/>
  <c r="BF38" i="2"/>
  <c r="BG38" i="10"/>
  <c r="BG29" i="10"/>
  <c r="BF29" i="2"/>
  <c r="BG47" i="10"/>
  <c r="BF47" i="2"/>
  <c r="BF57" i="2"/>
  <c r="BG57" i="10"/>
  <c r="BG58" i="10"/>
  <c r="BT12" i="10"/>
  <c r="BS12" i="2"/>
  <c r="BI18" i="10"/>
  <c r="BH18" i="2"/>
  <c r="BI15" i="10"/>
  <c r="BH15" i="2"/>
  <c r="BF55" i="2"/>
  <c r="BG55" i="10"/>
  <c r="BF41" i="2"/>
  <c r="BG41" i="10"/>
  <c r="BI17" i="10"/>
  <c r="BH17" i="2"/>
  <c r="BF48" i="2"/>
  <c r="BG48" i="10"/>
  <c r="BI14" i="10"/>
  <c r="BH14" i="2"/>
  <c r="BF56" i="2"/>
  <c r="BG56" i="10"/>
  <c r="BG50" i="10"/>
  <c r="BF50" i="2"/>
  <c r="BG49" i="10"/>
  <c r="BF49" i="2"/>
  <c r="BG28" i="10"/>
  <c r="BF28" i="2"/>
  <c r="BF40" i="2"/>
  <c r="BG40" i="10"/>
  <c r="BF53" i="2"/>
  <c r="BG53" i="10"/>
  <c r="BG26" i="10"/>
  <c r="BF26" i="2"/>
  <c r="BG44" i="10"/>
  <c r="BF44" i="2"/>
  <c r="BG52" i="10"/>
  <c r="BF52" i="2"/>
  <c r="BG27" i="10"/>
  <c r="BF27" i="2"/>
  <c r="BS13" i="10"/>
  <c r="BR13" i="2"/>
  <c r="BI21" i="10"/>
  <c r="BH21" i="2"/>
  <c r="BG51" i="10"/>
  <c r="BF51" i="2"/>
  <c r="BG24" i="10"/>
  <c r="BF24" i="2"/>
  <c r="BI19" i="10"/>
  <c r="BH19" i="2"/>
  <c r="BG23" i="10"/>
  <c r="BF23" i="2"/>
  <c r="BG22" i="10"/>
  <c r="BF22" i="2"/>
  <c r="BG43" i="10"/>
  <c r="BF43" i="2"/>
  <c r="BF34" i="2"/>
  <c r="BG34" i="10"/>
  <c r="BG30" i="10"/>
  <c r="BF30" i="2"/>
  <c r="BG45" i="10"/>
  <c r="BF45" i="2"/>
  <c r="BF36" i="2"/>
  <c r="BG36" i="10"/>
  <c r="BF54" i="2"/>
  <c r="BG54" i="10"/>
  <c r="BI20" i="10"/>
  <c r="BH20" i="2"/>
  <c r="BG35" i="10"/>
  <c r="BF35" i="2"/>
  <c r="BI16" i="10"/>
  <c r="BH16" i="2"/>
  <c r="BU11" i="2"/>
  <c r="BT5" i="2"/>
  <c r="BU10" i="2"/>
  <c r="BU6" i="2"/>
  <c r="BU8" i="2"/>
  <c r="BT4" i="2"/>
  <c r="BU7" i="2"/>
  <c r="BU9" i="2"/>
  <c r="BH43" i="10" l="1"/>
  <c r="BG43" i="2"/>
  <c r="BJ14" i="10"/>
  <c r="BI14" i="2"/>
  <c r="BH23" i="10"/>
  <c r="BG23" i="2"/>
  <c r="BH27" i="10"/>
  <c r="BG27" i="2"/>
  <c r="BH28" i="10"/>
  <c r="BG28" i="2"/>
  <c r="BJ17" i="10"/>
  <c r="BI17" i="2"/>
  <c r="BG57" i="2"/>
  <c r="BH57" i="10"/>
  <c r="BH33" i="10"/>
  <c r="BG33" i="2"/>
  <c r="BH51" i="10"/>
  <c r="BG51" i="2"/>
  <c r="BH26" i="10"/>
  <c r="BG26" i="2"/>
  <c r="BH41" i="10"/>
  <c r="BG41" i="2"/>
  <c r="BH50" i="10"/>
  <c r="BG50" i="2"/>
  <c r="BJ20" i="10"/>
  <c r="BI20" i="2"/>
  <c r="BG45" i="2"/>
  <c r="BH45" i="10"/>
  <c r="BJ19" i="10"/>
  <c r="BI19" i="2"/>
  <c r="BH52" i="10"/>
  <c r="BG52" i="2"/>
  <c r="BH49" i="10"/>
  <c r="BG49" i="2"/>
  <c r="BG55" i="2"/>
  <c r="BH55" i="10"/>
  <c r="BG47" i="2"/>
  <c r="BH47" i="10"/>
  <c r="BH39" i="10"/>
  <c r="BG39" i="2"/>
  <c r="BG56" i="2"/>
  <c r="BH56" i="10"/>
  <c r="BH29" i="10"/>
  <c r="BG29" i="2"/>
  <c r="BH31" i="10"/>
  <c r="BG31" i="2"/>
  <c r="BH38" i="10"/>
  <c r="BG38" i="2"/>
  <c r="BH24" i="10"/>
  <c r="BG24" i="2"/>
  <c r="BJ15" i="10"/>
  <c r="BI15" i="2"/>
  <c r="BG53" i="2"/>
  <c r="BH53" i="10"/>
  <c r="BH46" i="10"/>
  <c r="BG46" i="2"/>
  <c r="BJ18" i="10"/>
  <c r="BI18" i="2"/>
  <c r="BJ16" i="10"/>
  <c r="BI16" i="2"/>
  <c r="BH30" i="10"/>
  <c r="BG30" i="2"/>
  <c r="BH40" i="10"/>
  <c r="BG40" i="2"/>
  <c r="BH48" i="10"/>
  <c r="BG48" i="2"/>
  <c r="BH37" i="10"/>
  <c r="BG37" i="2"/>
  <c r="BH32" i="10"/>
  <c r="BG32" i="2"/>
  <c r="BH44" i="10"/>
  <c r="BG44" i="2"/>
  <c r="BG35" i="2"/>
  <c r="BH35" i="10"/>
  <c r="BJ21" i="10"/>
  <c r="BI21" i="2"/>
  <c r="BG54" i="2"/>
  <c r="BH54" i="10"/>
  <c r="BH22" i="10"/>
  <c r="BG22" i="2"/>
  <c r="BT13" i="10"/>
  <c r="BS13" i="2"/>
  <c r="BU12" i="10"/>
  <c r="BT12" i="2"/>
  <c r="BH34" i="10"/>
  <c r="BG34" i="2"/>
  <c r="BG36" i="2"/>
  <c r="BH36" i="10"/>
  <c r="BG58" i="2"/>
  <c r="BH59" i="10"/>
  <c r="BH58" i="10"/>
  <c r="BH25" i="10"/>
  <c r="BG25" i="2"/>
  <c r="BH42" i="10"/>
  <c r="BG42" i="2"/>
  <c r="BV6" i="2"/>
  <c r="BU4" i="2"/>
  <c r="BU5" i="2"/>
  <c r="BV11" i="2"/>
  <c r="BV9" i="2"/>
  <c r="BV7" i="2"/>
  <c r="BV8" i="2"/>
  <c r="BV10" i="2"/>
  <c r="BI34" i="10" l="1"/>
  <c r="BH34" i="2"/>
  <c r="BH55" i="2"/>
  <c r="BI55" i="10"/>
  <c r="BK17" i="10"/>
  <c r="BJ17" i="2"/>
  <c r="BV12" i="10"/>
  <c r="BU12" i="2"/>
  <c r="BK16" i="10"/>
  <c r="BJ16" i="2"/>
  <c r="BI42" i="10"/>
  <c r="BH42" i="2"/>
  <c r="BI31" i="10"/>
  <c r="BH31" i="2"/>
  <c r="BI38" i="10"/>
  <c r="BH38" i="2"/>
  <c r="BU13" i="10"/>
  <c r="BT13" i="2"/>
  <c r="BK18" i="10"/>
  <c r="BJ18" i="2"/>
  <c r="BI49" i="10"/>
  <c r="BH49" i="2"/>
  <c r="BI25" i="10"/>
  <c r="BH25" i="2"/>
  <c r="BI32" i="10"/>
  <c r="BH32" i="2"/>
  <c r="BI41" i="10"/>
  <c r="BH41" i="2"/>
  <c r="BH58" i="2"/>
  <c r="BI58" i="10"/>
  <c r="BI22" i="10"/>
  <c r="BH22" i="2"/>
  <c r="BH37" i="2"/>
  <c r="BI37" i="10"/>
  <c r="BI46" i="10"/>
  <c r="BH46" i="2"/>
  <c r="BI29" i="10"/>
  <c r="BH29" i="2"/>
  <c r="BI52" i="10"/>
  <c r="BH52" i="2"/>
  <c r="BI26" i="10"/>
  <c r="BH26" i="2"/>
  <c r="BI27" i="10"/>
  <c r="BH27" i="2"/>
  <c r="BI28" i="10"/>
  <c r="BH28" i="2"/>
  <c r="BH59" i="2"/>
  <c r="BI59" i="10"/>
  <c r="BI60" i="10"/>
  <c r="BH54" i="2"/>
  <c r="BI54" i="10"/>
  <c r="BH53" i="2"/>
  <c r="BI53" i="10"/>
  <c r="BH56" i="2"/>
  <c r="BI56" i="10"/>
  <c r="BI44" i="10"/>
  <c r="BH44" i="2"/>
  <c r="BI48" i="10"/>
  <c r="BH48" i="2"/>
  <c r="BK19" i="10"/>
  <c r="BJ19" i="2"/>
  <c r="BI51" i="10"/>
  <c r="BH51" i="2"/>
  <c r="BI23" i="10"/>
  <c r="BH23" i="2"/>
  <c r="BI50" i="10"/>
  <c r="BH50" i="2"/>
  <c r="BI45" i="10"/>
  <c r="BH45" i="2"/>
  <c r="BI36" i="10"/>
  <c r="BH36" i="2"/>
  <c r="BK21" i="10"/>
  <c r="BJ21" i="2"/>
  <c r="BI40" i="10"/>
  <c r="BH40" i="2"/>
  <c r="BK15" i="10"/>
  <c r="BJ15" i="2"/>
  <c r="BH39" i="2"/>
  <c r="BI39" i="10"/>
  <c r="BI33" i="10"/>
  <c r="BH33" i="2"/>
  <c r="BK14" i="10"/>
  <c r="BJ14" i="2"/>
  <c r="BI35" i="10"/>
  <c r="BH35" i="2"/>
  <c r="BI47" i="10"/>
  <c r="BH47" i="2"/>
  <c r="BH57" i="2"/>
  <c r="BI57" i="10"/>
  <c r="BI30" i="10"/>
  <c r="BH30" i="2"/>
  <c r="BI24" i="10"/>
  <c r="BH24" i="2"/>
  <c r="BK20" i="10"/>
  <c r="BJ20" i="2"/>
  <c r="BI43" i="10"/>
  <c r="BH43" i="2"/>
  <c r="BW9" i="2"/>
  <c r="BW7" i="2"/>
  <c r="BV4" i="2"/>
  <c r="BW10" i="2"/>
  <c r="BW8" i="2"/>
  <c r="BW11" i="2"/>
  <c r="BV5" i="2"/>
  <c r="BW6" i="2"/>
  <c r="BI59" i="2" l="1"/>
  <c r="BJ59" i="10"/>
  <c r="BJ43" i="10"/>
  <c r="BI43" i="2"/>
  <c r="BJ46" i="10"/>
  <c r="BI46" i="2"/>
  <c r="BJ25" i="10"/>
  <c r="BI25" i="2"/>
  <c r="BJ42" i="10"/>
  <c r="BI42" i="2"/>
  <c r="BJ35" i="10"/>
  <c r="BI35" i="2"/>
  <c r="BI37" i="2"/>
  <c r="BJ37" i="10"/>
  <c r="BL19" i="10"/>
  <c r="BK19" i="2"/>
  <c r="BJ28" i="10"/>
  <c r="BI28" i="2"/>
  <c r="BJ49" i="10"/>
  <c r="BI49" i="2"/>
  <c r="BL16" i="10"/>
  <c r="BK16" i="2"/>
  <c r="BI44" i="2"/>
  <c r="BJ44" i="10"/>
  <c r="BI33" i="2"/>
  <c r="BJ33" i="10"/>
  <c r="BJ39" i="10"/>
  <c r="BI39" i="2"/>
  <c r="BI56" i="2"/>
  <c r="BJ56" i="10"/>
  <c r="BJ27" i="10"/>
  <c r="BI27" i="2"/>
  <c r="BJ22" i="10"/>
  <c r="BI22" i="2"/>
  <c r="BL18" i="10"/>
  <c r="BK18" i="2"/>
  <c r="BW12" i="10"/>
  <c r="BV12" i="2"/>
  <c r="BI50" i="2"/>
  <c r="BJ50" i="10"/>
  <c r="BI58" i="2"/>
  <c r="BJ58" i="10"/>
  <c r="BJ45" i="10"/>
  <c r="BI45" i="2"/>
  <c r="BI57" i="2"/>
  <c r="BJ57" i="10"/>
  <c r="BI53" i="2"/>
  <c r="BJ53" i="10"/>
  <c r="BJ26" i="10"/>
  <c r="BI26" i="2"/>
  <c r="BV13" i="10"/>
  <c r="BU13" i="2"/>
  <c r="BL17" i="10"/>
  <c r="BK17" i="2"/>
  <c r="BJ23" i="10"/>
  <c r="BI23" i="2"/>
  <c r="BI55" i="2"/>
  <c r="BJ55" i="10"/>
  <c r="BL21" i="10"/>
  <c r="BK21" i="2"/>
  <c r="BL20" i="10"/>
  <c r="BK20" i="2"/>
  <c r="BL14" i="10"/>
  <c r="BK14" i="2"/>
  <c r="BJ36" i="10"/>
  <c r="BI36" i="2"/>
  <c r="BJ24" i="10"/>
  <c r="BI24" i="2"/>
  <c r="BI54" i="2"/>
  <c r="BJ54" i="10"/>
  <c r="BI52" i="2"/>
  <c r="BJ52" i="10"/>
  <c r="BI41" i="2"/>
  <c r="BJ41" i="10"/>
  <c r="BI38" i="2"/>
  <c r="BJ38" i="10"/>
  <c r="BJ48" i="10"/>
  <c r="BI48" i="2"/>
  <c r="BL15" i="10"/>
  <c r="BK15" i="2"/>
  <c r="BJ47" i="10"/>
  <c r="BI47" i="2"/>
  <c r="BJ40" i="10"/>
  <c r="BI40" i="2"/>
  <c r="BJ51" i="10"/>
  <c r="BI51" i="2"/>
  <c r="BJ30" i="10"/>
  <c r="BI30" i="2"/>
  <c r="BJ61" i="10"/>
  <c r="BI60" i="2"/>
  <c r="BJ60" i="10"/>
  <c r="BJ29" i="10"/>
  <c r="BI29" i="2"/>
  <c r="BJ32" i="10"/>
  <c r="BI32" i="2"/>
  <c r="BJ31" i="10"/>
  <c r="BI31" i="2"/>
  <c r="BJ34" i="10"/>
  <c r="BI34" i="2"/>
  <c r="BX6" i="2"/>
  <c r="BX8" i="2"/>
  <c r="BX10" i="2"/>
  <c r="BX7" i="2"/>
  <c r="BW5" i="2"/>
  <c r="BW4" i="2"/>
  <c r="BX11" i="2"/>
  <c r="BX9" i="2"/>
  <c r="BK31" i="10" l="1"/>
  <c r="BJ31" i="2"/>
  <c r="BK52" i="10"/>
  <c r="BJ52" i="2"/>
  <c r="BK53" i="10"/>
  <c r="BJ53" i="2"/>
  <c r="BK44" i="10"/>
  <c r="BJ44" i="2"/>
  <c r="BM21" i="10"/>
  <c r="BL21" i="2"/>
  <c r="BM18" i="10"/>
  <c r="BL18" i="2"/>
  <c r="BK35" i="10"/>
  <c r="BJ35" i="2"/>
  <c r="BK40" i="10"/>
  <c r="BJ40" i="2"/>
  <c r="BK54" i="10"/>
  <c r="BJ54" i="2"/>
  <c r="BK55" i="10"/>
  <c r="BJ55" i="2"/>
  <c r="BK57" i="10"/>
  <c r="BJ57" i="2"/>
  <c r="BK47" i="10"/>
  <c r="BJ47" i="2"/>
  <c r="BK22" i="10"/>
  <c r="BJ22" i="2"/>
  <c r="BM16" i="10"/>
  <c r="BL16" i="2"/>
  <c r="BK42" i="10"/>
  <c r="BJ42" i="2"/>
  <c r="BK29" i="10"/>
  <c r="BJ29" i="2"/>
  <c r="BK60" i="10"/>
  <c r="BJ60" i="2"/>
  <c r="BM15" i="10"/>
  <c r="BL15" i="2"/>
  <c r="BK24" i="10"/>
  <c r="BJ24" i="2"/>
  <c r="BK23" i="10"/>
  <c r="BJ23" i="2"/>
  <c r="BK45" i="10"/>
  <c r="BJ45" i="2"/>
  <c r="BK27" i="10"/>
  <c r="BJ27" i="2"/>
  <c r="BK49" i="10"/>
  <c r="BJ49" i="2"/>
  <c r="BK25" i="10"/>
  <c r="BJ25" i="2"/>
  <c r="BK58" i="10"/>
  <c r="BJ58" i="2"/>
  <c r="BK61" i="10"/>
  <c r="BK62" i="10"/>
  <c r="BJ61" i="2"/>
  <c r="BK48" i="10"/>
  <c r="BJ48" i="2"/>
  <c r="BK36" i="10"/>
  <c r="BJ36" i="2"/>
  <c r="BM17" i="10"/>
  <c r="BL17" i="2"/>
  <c r="BK28" i="10"/>
  <c r="BJ28" i="2"/>
  <c r="BK46" i="10"/>
  <c r="BJ46" i="2"/>
  <c r="BK38" i="10"/>
  <c r="BJ38" i="2"/>
  <c r="BK50" i="10"/>
  <c r="BJ50" i="2"/>
  <c r="BK56" i="10"/>
  <c r="BJ56" i="2"/>
  <c r="BK39" i="10"/>
  <c r="BJ39" i="2"/>
  <c r="BM19" i="10"/>
  <c r="BL19" i="2"/>
  <c r="BK43" i="10"/>
  <c r="BJ43" i="2"/>
  <c r="BK41" i="10"/>
  <c r="BJ41" i="2"/>
  <c r="BK33" i="10"/>
  <c r="BJ33" i="2"/>
  <c r="BK37" i="10"/>
  <c r="BJ37" i="2"/>
  <c r="BK59" i="10"/>
  <c r="BJ59" i="2"/>
  <c r="BK32" i="10"/>
  <c r="BJ32" i="2"/>
  <c r="BK30" i="10"/>
  <c r="BJ30" i="2"/>
  <c r="BM14" i="10"/>
  <c r="BL14" i="2"/>
  <c r="BW13" i="10"/>
  <c r="BV13" i="2"/>
  <c r="BK34" i="10"/>
  <c r="BJ34" i="2"/>
  <c r="BK51" i="10"/>
  <c r="BJ51" i="2"/>
  <c r="BM20" i="10"/>
  <c r="BL20" i="2"/>
  <c r="BK26" i="10"/>
  <c r="BJ26" i="2"/>
  <c r="BX12" i="10"/>
  <c r="BW12" i="2"/>
  <c r="BX4" i="2"/>
  <c r="BX5" i="2"/>
  <c r="BY10" i="2"/>
  <c r="BY6" i="2"/>
  <c r="BY7" i="2"/>
  <c r="BY9" i="2"/>
  <c r="BY11" i="2"/>
  <c r="BY8" i="2"/>
  <c r="BN20" i="10" l="1"/>
  <c r="BM20" i="2"/>
  <c r="BL32" i="10"/>
  <c r="BK32" i="2"/>
  <c r="BN19" i="10"/>
  <c r="BM19" i="2"/>
  <c r="BL28" i="10"/>
  <c r="BK28" i="2"/>
  <c r="BL25" i="10"/>
  <c r="BK25" i="2"/>
  <c r="BN15" i="10"/>
  <c r="BM15" i="2"/>
  <c r="BL47" i="10"/>
  <c r="BK47" i="2"/>
  <c r="BN18" i="10"/>
  <c r="BM18" i="2"/>
  <c r="BN17" i="10"/>
  <c r="BM17" i="2"/>
  <c r="BL51" i="10"/>
  <c r="BK51" i="2"/>
  <c r="BL59" i="10"/>
  <c r="BK59" i="2"/>
  <c r="BL39" i="10"/>
  <c r="BK39" i="2"/>
  <c r="BL49" i="10"/>
  <c r="BK49" i="2"/>
  <c r="BL60" i="10"/>
  <c r="BK60" i="2"/>
  <c r="BL57" i="10"/>
  <c r="BK57" i="2"/>
  <c r="BN21" i="10"/>
  <c r="BM21" i="2"/>
  <c r="BL37" i="10"/>
  <c r="BK37" i="2"/>
  <c r="BL56" i="10"/>
  <c r="BK56" i="2"/>
  <c r="BL36" i="10"/>
  <c r="BK36" i="2"/>
  <c r="BL27" i="10"/>
  <c r="BK27" i="2"/>
  <c r="BL29" i="10"/>
  <c r="BK29" i="2"/>
  <c r="BL55" i="10"/>
  <c r="BK55" i="2"/>
  <c r="BL44" i="10"/>
  <c r="BK44" i="2"/>
  <c r="BL48" i="10"/>
  <c r="BK48" i="2"/>
  <c r="BL45" i="10"/>
  <c r="BK45" i="2"/>
  <c r="BL42" i="10"/>
  <c r="BK42" i="2"/>
  <c r="BL54" i="10"/>
  <c r="BK54" i="2"/>
  <c r="BL53" i="10"/>
  <c r="BK53" i="2"/>
  <c r="BN14" i="10"/>
  <c r="BM14" i="2"/>
  <c r="BL41" i="10"/>
  <c r="BK41" i="2"/>
  <c r="BL38" i="10"/>
  <c r="BK38" i="2"/>
  <c r="BL63" i="10"/>
  <c r="BL62" i="10"/>
  <c r="BK62" i="2"/>
  <c r="BY12" i="10"/>
  <c r="BX12" i="2"/>
  <c r="BL61" i="10"/>
  <c r="BK61" i="2"/>
  <c r="BL23" i="10"/>
  <c r="BK23" i="2"/>
  <c r="BN16" i="10"/>
  <c r="BM16" i="2"/>
  <c r="BL40" i="10"/>
  <c r="BK40" i="2"/>
  <c r="BL52" i="10"/>
  <c r="BK52" i="2"/>
  <c r="BL34" i="10"/>
  <c r="BK34" i="2"/>
  <c r="BX13" i="10"/>
  <c r="BW13" i="2"/>
  <c r="BL33" i="10"/>
  <c r="BK33" i="2"/>
  <c r="BL50" i="10"/>
  <c r="BK50" i="2"/>
  <c r="BL46" i="10"/>
  <c r="BK46" i="2"/>
  <c r="BL26" i="10"/>
  <c r="BK26" i="2"/>
  <c r="BL30" i="10"/>
  <c r="BK30" i="2"/>
  <c r="BL43" i="10"/>
  <c r="BK43" i="2"/>
  <c r="BL58" i="10"/>
  <c r="BK58" i="2"/>
  <c r="BL24" i="10"/>
  <c r="BK24" i="2"/>
  <c r="BL22" i="10"/>
  <c r="BK22" i="2"/>
  <c r="BL35" i="10"/>
  <c r="BK35" i="2"/>
  <c r="BL31" i="10"/>
  <c r="BK31" i="2"/>
  <c r="BZ8" i="2"/>
  <c r="BZ7" i="2"/>
  <c r="BY5" i="2"/>
  <c r="BZ9" i="2"/>
  <c r="BZ10" i="2"/>
  <c r="BZ11" i="2"/>
  <c r="BZ6" i="2"/>
  <c r="BY4" i="2"/>
  <c r="BM48" i="10" l="1"/>
  <c r="BL48" i="2"/>
  <c r="BO15" i="10"/>
  <c r="BN15" i="2"/>
  <c r="BM24" i="10"/>
  <c r="BL24" i="2"/>
  <c r="BM50" i="10"/>
  <c r="BL50" i="2"/>
  <c r="BO16" i="10"/>
  <c r="BN16" i="2"/>
  <c r="BM58" i="10"/>
  <c r="BL58" i="2"/>
  <c r="BM43" i="10"/>
  <c r="BL43" i="2"/>
  <c r="BY13" i="10"/>
  <c r="BX13" i="2"/>
  <c r="BM61" i="10"/>
  <c r="BL61" i="2"/>
  <c r="BM33" i="10"/>
  <c r="BL33" i="2"/>
  <c r="BM53" i="10"/>
  <c r="BL53" i="2"/>
  <c r="BM55" i="10"/>
  <c r="BL55" i="2"/>
  <c r="BO21" i="10"/>
  <c r="BN21" i="2"/>
  <c r="BM51" i="10"/>
  <c r="BL51" i="2"/>
  <c r="BM28" i="10"/>
  <c r="BL28" i="2"/>
  <c r="BM25" i="10"/>
  <c r="BL25" i="2"/>
  <c r="BM31" i="10"/>
  <c r="BL31" i="2"/>
  <c r="BM30" i="10"/>
  <c r="BL30" i="2"/>
  <c r="BM34" i="10"/>
  <c r="BL34" i="2"/>
  <c r="BZ12" i="10"/>
  <c r="BY12" i="2"/>
  <c r="BM56" i="10"/>
  <c r="BL56" i="2"/>
  <c r="BO14" i="10"/>
  <c r="BN14" i="2"/>
  <c r="BM54" i="10"/>
  <c r="BL54" i="2"/>
  <c r="BM29" i="10"/>
  <c r="BL29" i="2"/>
  <c r="BM57" i="10"/>
  <c r="BL57" i="2"/>
  <c r="BO17" i="10"/>
  <c r="BN17" i="2"/>
  <c r="BO19" i="10"/>
  <c r="BN19" i="2"/>
  <c r="BM59" i="10"/>
  <c r="BL59" i="2"/>
  <c r="BM26" i="10"/>
  <c r="BL26" i="2"/>
  <c r="BM62" i="10"/>
  <c r="BL62" i="2"/>
  <c r="BM23" i="10"/>
  <c r="BL23" i="2"/>
  <c r="BM37" i="10"/>
  <c r="BL37" i="2"/>
  <c r="BM35" i="10"/>
  <c r="BL35" i="2"/>
  <c r="BM52" i="10"/>
  <c r="BL52" i="2"/>
  <c r="BM63" i="10"/>
  <c r="BM64" i="10"/>
  <c r="BL63" i="2"/>
  <c r="BM42" i="10"/>
  <c r="BL42" i="2"/>
  <c r="BM27" i="10"/>
  <c r="BL27" i="2"/>
  <c r="BM60" i="10"/>
  <c r="BL60" i="2"/>
  <c r="BO18" i="10"/>
  <c r="BN18" i="2"/>
  <c r="BM32" i="10"/>
  <c r="BL32" i="2"/>
  <c r="BM41" i="10"/>
  <c r="BL41" i="2"/>
  <c r="BM39" i="10"/>
  <c r="BL39" i="2"/>
  <c r="BM44" i="10"/>
  <c r="BL44" i="2"/>
  <c r="BM22" i="10"/>
  <c r="BL22" i="2"/>
  <c r="BM40" i="10"/>
  <c r="BL40" i="2"/>
  <c r="BM46" i="10"/>
  <c r="BL46" i="2"/>
  <c r="BM38" i="10"/>
  <c r="BL38" i="2"/>
  <c r="BM45" i="10"/>
  <c r="BL45" i="2"/>
  <c r="BM36" i="10"/>
  <c r="BL36" i="2"/>
  <c r="BM49" i="10"/>
  <c r="BL49" i="2"/>
  <c r="BM47" i="10"/>
  <c r="BL47" i="2"/>
  <c r="BO20" i="10"/>
  <c r="BN20" i="2"/>
  <c r="BZ4" i="2"/>
  <c r="CA11" i="2"/>
  <c r="CA9" i="2"/>
  <c r="CA8" i="2"/>
  <c r="CA10" i="2"/>
  <c r="BZ5" i="2"/>
  <c r="CA6" i="2"/>
  <c r="CA7" i="2"/>
  <c r="BN42" i="10" l="1"/>
  <c r="BM42" i="2"/>
  <c r="BN58" i="10"/>
  <c r="BM58" i="2"/>
  <c r="BN30" i="10"/>
  <c r="BM30" i="2"/>
  <c r="BN38" i="10"/>
  <c r="BM38" i="2"/>
  <c r="BN64" i="10"/>
  <c r="BN65" i="10"/>
  <c r="BM64" i="2"/>
  <c r="BN54" i="10"/>
  <c r="BM54" i="2"/>
  <c r="BN41" i="10"/>
  <c r="BM41" i="2"/>
  <c r="BN53" i="10"/>
  <c r="BM53" i="2"/>
  <c r="BP20" i="10"/>
  <c r="BO20" i="2"/>
  <c r="BN52" i="10"/>
  <c r="BM52" i="2"/>
  <c r="BN59" i="10"/>
  <c r="BM59" i="2"/>
  <c r="BP14" i="10"/>
  <c r="BO14" i="2"/>
  <c r="BN25" i="10"/>
  <c r="BM25" i="2"/>
  <c r="BN33" i="10"/>
  <c r="BM33" i="2"/>
  <c r="BN50" i="10"/>
  <c r="BM50" i="2"/>
  <c r="BN62" i="10"/>
  <c r="BM62" i="2"/>
  <c r="BN55" i="10"/>
  <c r="BM55" i="2"/>
  <c r="BN26" i="10"/>
  <c r="BM26" i="2"/>
  <c r="BN32" i="10"/>
  <c r="BM32" i="2"/>
  <c r="BN47" i="10"/>
  <c r="BM47" i="2"/>
  <c r="BN40" i="10"/>
  <c r="BM40" i="2"/>
  <c r="BP18" i="10"/>
  <c r="BO18" i="2"/>
  <c r="BN45" i="10"/>
  <c r="BM45" i="2"/>
  <c r="BP16" i="10"/>
  <c r="BO16" i="2"/>
  <c r="BN35" i="10"/>
  <c r="BM35" i="2"/>
  <c r="BP19" i="10"/>
  <c r="BO19" i="2"/>
  <c r="BN56" i="10"/>
  <c r="BM56" i="2"/>
  <c r="BN28" i="10"/>
  <c r="BM28" i="2"/>
  <c r="BN61" i="10"/>
  <c r="BM61" i="2"/>
  <c r="BN24" i="10"/>
  <c r="BM24" i="2"/>
  <c r="BN46" i="10"/>
  <c r="BM46" i="2"/>
  <c r="BN22" i="10"/>
  <c r="BM22" i="2"/>
  <c r="BN49" i="10"/>
  <c r="BM49" i="2"/>
  <c r="BN37" i="10"/>
  <c r="BM37" i="2"/>
  <c r="BP17" i="10"/>
  <c r="BO17" i="2"/>
  <c r="CA12" i="10"/>
  <c r="BZ12" i="2"/>
  <c r="BN51" i="10"/>
  <c r="BM51" i="2"/>
  <c r="BZ13" i="10"/>
  <c r="BY13" i="2"/>
  <c r="BP15" i="10"/>
  <c r="BO15" i="2"/>
  <c r="BN39" i="10"/>
  <c r="BM39" i="2"/>
  <c r="BN29" i="10"/>
  <c r="BM29" i="2"/>
  <c r="BN31" i="10"/>
  <c r="BM31" i="2"/>
  <c r="BN60" i="10"/>
  <c r="BM60" i="2"/>
  <c r="BN36" i="10"/>
  <c r="BM36" i="2"/>
  <c r="BN44" i="10"/>
  <c r="BM44" i="2"/>
  <c r="BN27" i="10"/>
  <c r="BM27" i="2"/>
  <c r="BN63" i="10"/>
  <c r="BM63" i="2"/>
  <c r="BN23" i="10"/>
  <c r="BM23" i="2"/>
  <c r="BN57" i="10"/>
  <c r="BM57" i="2"/>
  <c r="BN34" i="10"/>
  <c r="BM34" i="2"/>
  <c r="BP21" i="10"/>
  <c r="BO21" i="2"/>
  <c r="BN43" i="10"/>
  <c r="BM43" i="2"/>
  <c r="BN48" i="10"/>
  <c r="BM48" i="2"/>
  <c r="CB9" i="2"/>
  <c r="CB8" i="2"/>
  <c r="CA4" i="2"/>
  <c r="CB6" i="2"/>
  <c r="CA5" i="2"/>
  <c r="CB7" i="2"/>
  <c r="CB10" i="2"/>
  <c r="CB11" i="2"/>
  <c r="BO23" i="10" l="1"/>
  <c r="BN23" i="2"/>
  <c r="BO31" i="10"/>
  <c r="BN31" i="2"/>
  <c r="CB12" i="10"/>
  <c r="CA12" i="2"/>
  <c r="BO24" i="10"/>
  <c r="BN24" i="2"/>
  <c r="BQ16" i="10"/>
  <c r="BP16" i="2"/>
  <c r="BO26" i="10"/>
  <c r="BN26" i="2"/>
  <c r="BQ14" i="10"/>
  <c r="BP14" i="2"/>
  <c r="BO54" i="10"/>
  <c r="BN54" i="2"/>
  <c r="BO48" i="10"/>
  <c r="BN48" i="2"/>
  <c r="BO63" i="10"/>
  <c r="BN63" i="2"/>
  <c r="BO29" i="10"/>
  <c r="BN29" i="2"/>
  <c r="BQ17" i="10"/>
  <c r="BP17" i="2"/>
  <c r="BO61" i="10"/>
  <c r="BN61" i="2"/>
  <c r="BO45" i="10"/>
  <c r="BN45" i="2"/>
  <c r="BO55" i="10"/>
  <c r="BN55" i="2"/>
  <c r="BO59" i="10"/>
  <c r="BN59" i="2"/>
  <c r="BO65" i="10"/>
  <c r="BO66" i="10"/>
  <c r="BN65" i="2"/>
  <c r="BO64" i="10"/>
  <c r="BN64" i="2"/>
  <c r="BO52" i="10"/>
  <c r="BN52" i="2"/>
  <c r="BO62" i="10"/>
  <c r="BN62" i="2"/>
  <c r="BO38" i="10"/>
  <c r="BN38" i="2"/>
  <c r="BQ18" i="10"/>
  <c r="BP18" i="2"/>
  <c r="BQ21" i="10"/>
  <c r="BP21" i="2"/>
  <c r="BO44" i="10"/>
  <c r="BN44" i="2"/>
  <c r="BQ15" i="10"/>
  <c r="BP15" i="2"/>
  <c r="BO49" i="10"/>
  <c r="BN49" i="2"/>
  <c r="BO56" i="10"/>
  <c r="BN56" i="2"/>
  <c r="BO40" i="10"/>
  <c r="BN40" i="2"/>
  <c r="BO50" i="10"/>
  <c r="BN50" i="2"/>
  <c r="BQ20" i="10"/>
  <c r="BP20" i="2"/>
  <c r="BO30" i="10"/>
  <c r="BN30" i="2"/>
  <c r="BO53" i="10"/>
  <c r="BN53" i="2"/>
  <c r="BQ19" i="10"/>
  <c r="BP19" i="2"/>
  <c r="BO58" i="10"/>
  <c r="BN58" i="2"/>
  <c r="BO27" i="10"/>
  <c r="BN27" i="2"/>
  <c r="BO39" i="10"/>
  <c r="BN39" i="2"/>
  <c r="BO37" i="10"/>
  <c r="BN37" i="2"/>
  <c r="BO33" i="10"/>
  <c r="BN33" i="2"/>
  <c r="BO57" i="10"/>
  <c r="BN57" i="2"/>
  <c r="BO60" i="10"/>
  <c r="BN60" i="2"/>
  <c r="BO51" i="10"/>
  <c r="BN51" i="2"/>
  <c r="BO46" i="10"/>
  <c r="BN46" i="2"/>
  <c r="BO35" i="10"/>
  <c r="BN35" i="2"/>
  <c r="BO32" i="10"/>
  <c r="BN32" i="2"/>
  <c r="BO25" i="10"/>
  <c r="BN25" i="2"/>
  <c r="BO41" i="10"/>
  <c r="BN41" i="2"/>
  <c r="BO43" i="10"/>
  <c r="BN43" i="2"/>
  <c r="BO28" i="10"/>
  <c r="BN28" i="2"/>
  <c r="BO34" i="10"/>
  <c r="BN34" i="2"/>
  <c r="BO36" i="10"/>
  <c r="BN36" i="2"/>
  <c r="CA13" i="10"/>
  <c r="BZ13" i="2"/>
  <c r="BO22" i="10"/>
  <c r="BN22" i="2"/>
  <c r="BO47" i="10"/>
  <c r="BN47" i="2"/>
  <c r="BO42" i="10"/>
  <c r="BN42" i="2"/>
  <c r="CC10" i="2"/>
  <c r="CC7" i="2"/>
  <c r="CC6" i="2"/>
  <c r="CC8" i="2"/>
  <c r="CC9" i="2"/>
  <c r="CC11" i="2"/>
  <c r="CB5" i="2"/>
  <c r="CB4" i="2"/>
  <c r="BP64" i="10" l="1"/>
  <c r="BO64" i="2"/>
  <c r="BP39" i="10"/>
  <c r="BO39" i="2"/>
  <c r="BP28" i="10"/>
  <c r="BO28" i="2"/>
  <c r="BR17" i="10"/>
  <c r="BQ17" i="2"/>
  <c r="BP26" i="10"/>
  <c r="BO26" i="2"/>
  <c r="BP47" i="10"/>
  <c r="BO47" i="2"/>
  <c r="BP43" i="10"/>
  <c r="BO43" i="2"/>
  <c r="BP51" i="10"/>
  <c r="BO51" i="2"/>
  <c r="BP27" i="10"/>
  <c r="BO27" i="2"/>
  <c r="BP50" i="10"/>
  <c r="BO50" i="2"/>
  <c r="BR21" i="10"/>
  <c r="BQ21" i="2"/>
  <c r="BP66" i="10"/>
  <c r="BP67" i="10"/>
  <c r="BO66" i="2"/>
  <c r="BP46" i="10"/>
  <c r="BO46" i="2"/>
  <c r="BP65" i="10"/>
  <c r="BO65" i="2"/>
  <c r="BP29" i="10"/>
  <c r="BO29" i="2"/>
  <c r="BR16" i="10"/>
  <c r="BQ16" i="2"/>
  <c r="BR20" i="10"/>
  <c r="BQ20" i="2"/>
  <c r="BP22" i="10"/>
  <c r="BO22" i="2"/>
  <c r="BP41" i="10"/>
  <c r="BO41" i="2"/>
  <c r="BP60" i="10"/>
  <c r="BO60" i="2"/>
  <c r="BP58" i="10"/>
  <c r="BO58" i="2"/>
  <c r="BR18" i="10"/>
  <c r="BQ18" i="2"/>
  <c r="BP42" i="10"/>
  <c r="BO42" i="2"/>
  <c r="BP40" i="10"/>
  <c r="BO40" i="2"/>
  <c r="BP59" i="10"/>
  <c r="BO59" i="2"/>
  <c r="BP63" i="10"/>
  <c r="BO63" i="2"/>
  <c r="BP24" i="10"/>
  <c r="BO24" i="2"/>
  <c r="BP38" i="10"/>
  <c r="BO38" i="2"/>
  <c r="BP44" i="10"/>
  <c r="BO44" i="2"/>
  <c r="CB13" i="10"/>
  <c r="CA13" i="2"/>
  <c r="BP25" i="10"/>
  <c r="BO25" i="2"/>
  <c r="BR19" i="10"/>
  <c r="BQ19" i="2"/>
  <c r="BP55" i="10"/>
  <c r="BO55" i="2"/>
  <c r="BP48" i="10"/>
  <c r="BO48" i="2"/>
  <c r="CC12" i="10"/>
  <c r="CB12" i="2"/>
  <c r="BP57" i="10"/>
  <c r="BO57" i="2"/>
  <c r="BP32" i="10"/>
  <c r="BO32" i="2"/>
  <c r="BP62" i="10"/>
  <c r="BO62" i="2"/>
  <c r="BP36" i="10"/>
  <c r="BO36" i="2"/>
  <c r="BP33" i="10"/>
  <c r="BO33" i="2"/>
  <c r="BP49" i="10"/>
  <c r="BO49" i="2"/>
  <c r="BP45" i="10"/>
  <c r="BO45" i="2"/>
  <c r="BP54" i="10"/>
  <c r="BO54" i="2"/>
  <c r="BP31" i="10"/>
  <c r="BO31" i="2"/>
  <c r="BP34" i="10"/>
  <c r="BO34" i="2"/>
  <c r="BP35" i="10"/>
  <c r="BO35" i="2"/>
  <c r="BP37" i="10"/>
  <c r="BO37" i="2"/>
  <c r="BP30" i="10"/>
  <c r="BO30" i="2"/>
  <c r="BR15" i="10"/>
  <c r="BQ15" i="2"/>
  <c r="BP52" i="10"/>
  <c r="BO52" i="2"/>
  <c r="BP56" i="10"/>
  <c r="BO56" i="2"/>
  <c r="BP53" i="10"/>
  <c r="BO53" i="2"/>
  <c r="BP61" i="10"/>
  <c r="BO61" i="2"/>
  <c r="BR14" i="10"/>
  <c r="BQ14" i="2"/>
  <c r="BP23" i="10"/>
  <c r="BO23" i="2"/>
  <c r="CC4" i="2"/>
  <c r="CD9" i="2"/>
  <c r="CD6" i="2"/>
  <c r="CC5" i="2"/>
  <c r="CD8" i="2"/>
  <c r="CD10" i="2"/>
  <c r="CD11" i="2"/>
  <c r="CD7" i="2"/>
  <c r="BQ40" i="10" l="1"/>
  <c r="BP40" i="2"/>
  <c r="BQ47" i="10"/>
  <c r="BP47" i="2"/>
  <c r="BQ42" i="10"/>
  <c r="BP42" i="2"/>
  <c r="BS21" i="10"/>
  <c r="BR21" i="2"/>
  <c r="BQ26" i="10"/>
  <c r="BP26" i="2"/>
  <c r="BQ22" i="10"/>
  <c r="BP22" i="2"/>
  <c r="BQ49" i="10"/>
  <c r="BP49" i="2"/>
  <c r="BQ35" i="10"/>
  <c r="BP35" i="2"/>
  <c r="BQ33" i="10"/>
  <c r="BP33" i="2"/>
  <c r="BQ48" i="10"/>
  <c r="BP48" i="2"/>
  <c r="BQ38" i="10"/>
  <c r="BP38" i="2"/>
  <c r="BS18" i="10"/>
  <c r="BR18" i="2"/>
  <c r="BS16" i="10"/>
  <c r="BR16" i="2"/>
  <c r="BS20" i="10"/>
  <c r="BR20" i="2"/>
  <c r="BQ50" i="10"/>
  <c r="BP50" i="2"/>
  <c r="BS17" i="10"/>
  <c r="BR17" i="2"/>
  <c r="BS14" i="10"/>
  <c r="BR14" i="2"/>
  <c r="BQ30" i="10"/>
  <c r="BP30" i="2"/>
  <c r="BQ45" i="10"/>
  <c r="BP45" i="2"/>
  <c r="BQ61" i="10"/>
  <c r="BP61" i="2"/>
  <c r="BQ56" i="10"/>
  <c r="BP56" i="2"/>
  <c r="BQ34" i="10"/>
  <c r="BP34" i="2"/>
  <c r="BQ36" i="10"/>
  <c r="BP36" i="2"/>
  <c r="BQ55" i="10"/>
  <c r="BP55" i="2"/>
  <c r="BQ24" i="10"/>
  <c r="BP24" i="2"/>
  <c r="BQ58" i="10"/>
  <c r="BP58" i="2"/>
  <c r="BQ29" i="10"/>
  <c r="BP29" i="2"/>
  <c r="BQ27" i="10"/>
  <c r="BP27" i="2"/>
  <c r="BQ28" i="10"/>
  <c r="BP28" i="2"/>
  <c r="BQ37" i="10"/>
  <c r="BP37" i="2"/>
  <c r="BQ53" i="10"/>
  <c r="BP53" i="2"/>
  <c r="BQ52" i="10"/>
  <c r="BP52" i="2"/>
  <c r="BQ31" i="10"/>
  <c r="BP31" i="2"/>
  <c r="BQ62" i="10"/>
  <c r="BP62" i="2"/>
  <c r="BS19" i="10"/>
  <c r="BR19" i="2"/>
  <c r="BQ63" i="10"/>
  <c r="BP63" i="2"/>
  <c r="BQ60" i="10"/>
  <c r="BP60" i="2"/>
  <c r="BQ65" i="10"/>
  <c r="BP65" i="2"/>
  <c r="CC13" i="10"/>
  <c r="CB13" i="2"/>
  <c r="BQ66" i="10"/>
  <c r="BP66" i="2"/>
  <c r="BQ51" i="10"/>
  <c r="BP51" i="2"/>
  <c r="BQ39" i="10"/>
  <c r="BP39" i="2"/>
  <c r="BQ57" i="10"/>
  <c r="BP57" i="2"/>
  <c r="BQ44" i="10"/>
  <c r="BP44" i="2"/>
  <c r="BQ23" i="10"/>
  <c r="BP23" i="2"/>
  <c r="BS15" i="10"/>
  <c r="BR15" i="2"/>
  <c r="BQ54" i="10"/>
  <c r="BP54" i="2"/>
  <c r="BQ32" i="10"/>
  <c r="BP32" i="2"/>
  <c r="BQ25" i="10"/>
  <c r="BP25" i="2"/>
  <c r="BQ59" i="10"/>
  <c r="BP59" i="2"/>
  <c r="BQ41" i="10"/>
  <c r="BP41" i="2"/>
  <c r="BQ46" i="10"/>
  <c r="BP46" i="2"/>
  <c r="BQ68" i="10"/>
  <c r="BQ67" i="10"/>
  <c r="BP67" i="2"/>
  <c r="CD12" i="10"/>
  <c r="CC12" i="2"/>
  <c r="BQ43" i="10"/>
  <c r="BP43" i="2"/>
  <c r="BQ64" i="10"/>
  <c r="BP64" i="2"/>
  <c r="CE10" i="2"/>
  <c r="CE8" i="2"/>
  <c r="CE9" i="2"/>
  <c r="CD5" i="2"/>
  <c r="CD4" i="2"/>
  <c r="CE7" i="2"/>
  <c r="CE11" i="2"/>
  <c r="CE6" i="2"/>
  <c r="CE12" i="10" l="1"/>
  <c r="CD12" i="2"/>
  <c r="BR32" i="10"/>
  <c r="BQ32" i="2"/>
  <c r="BR39" i="10"/>
  <c r="BQ39" i="2"/>
  <c r="BR63" i="10"/>
  <c r="BQ63" i="2"/>
  <c r="BR37" i="10"/>
  <c r="BQ37" i="2"/>
  <c r="BR55" i="10"/>
  <c r="BQ55" i="2"/>
  <c r="BR30" i="10"/>
  <c r="BQ30" i="2"/>
  <c r="BT18" i="10"/>
  <c r="BS18" i="2"/>
  <c r="BR22" i="10"/>
  <c r="BQ22" i="2"/>
  <c r="BR36" i="10"/>
  <c r="BQ36" i="2"/>
  <c r="BR46" i="10"/>
  <c r="BQ46" i="2"/>
  <c r="BT15" i="10"/>
  <c r="BS15" i="2"/>
  <c r="BR66" i="10"/>
  <c r="BQ66" i="2"/>
  <c r="BR62" i="10"/>
  <c r="BQ62" i="2"/>
  <c r="BR27" i="10"/>
  <c r="BQ27" i="2"/>
  <c r="BR34" i="10"/>
  <c r="BQ34" i="2"/>
  <c r="BT17" i="10"/>
  <c r="BS17" i="2"/>
  <c r="BR48" i="10"/>
  <c r="BQ48" i="2"/>
  <c r="BT21" i="10"/>
  <c r="BS21" i="2"/>
  <c r="BT14" i="10"/>
  <c r="BS14" i="2"/>
  <c r="BR28" i="10"/>
  <c r="BQ28" i="2"/>
  <c r="BR41" i="10"/>
  <c r="BQ41" i="2"/>
  <c r="BR23" i="10"/>
  <c r="BQ23" i="2"/>
  <c r="CD13" i="10"/>
  <c r="CC13" i="2"/>
  <c r="BR31" i="10"/>
  <c r="BQ31" i="2"/>
  <c r="BR29" i="10"/>
  <c r="BQ29" i="2"/>
  <c r="BR56" i="10"/>
  <c r="BQ56" i="2"/>
  <c r="BR50" i="10"/>
  <c r="BQ50" i="2"/>
  <c r="BR33" i="10"/>
  <c r="BQ33" i="2"/>
  <c r="BR42" i="10"/>
  <c r="BQ42" i="2"/>
  <c r="BR38" i="10"/>
  <c r="BQ38" i="2"/>
  <c r="BR54" i="10"/>
  <c r="BQ54" i="2"/>
  <c r="BR59" i="10"/>
  <c r="BQ59" i="2"/>
  <c r="BR44" i="10"/>
  <c r="BQ44" i="2"/>
  <c r="BR65" i="10"/>
  <c r="BQ65" i="2"/>
  <c r="BR52" i="10"/>
  <c r="BQ52" i="2"/>
  <c r="BR58" i="10"/>
  <c r="BQ58" i="2"/>
  <c r="BR61" i="10"/>
  <c r="BQ61" i="2"/>
  <c r="BT20" i="10"/>
  <c r="BS20" i="2"/>
  <c r="BR35" i="10"/>
  <c r="BQ35" i="2"/>
  <c r="BR47" i="10"/>
  <c r="BQ47" i="2"/>
  <c r="BR68" i="10"/>
  <c r="BR69" i="10"/>
  <c r="BQ68" i="2"/>
  <c r="BR51" i="10"/>
  <c r="BQ51" i="2"/>
  <c r="BR26" i="10"/>
  <c r="BQ26" i="2"/>
  <c r="BR43" i="10"/>
  <c r="BQ43" i="2"/>
  <c r="BR67" i="10"/>
  <c r="BQ67" i="2"/>
  <c r="BT19" i="10"/>
  <c r="BS19" i="2"/>
  <c r="BR64" i="10"/>
  <c r="BQ64" i="2"/>
  <c r="BR25" i="10"/>
  <c r="BQ25" i="2"/>
  <c r="BR57" i="10"/>
  <c r="BQ57" i="2"/>
  <c r="BR60" i="10"/>
  <c r="BQ60" i="2"/>
  <c r="BR53" i="10"/>
  <c r="BQ53" i="2"/>
  <c r="BR24" i="10"/>
  <c r="BQ24" i="2"/>
  <c r="BR45" i="10"/>
  <c r="BQ45" i="2"/>
  <c r="BT16" i="10"/>
  <c r="BS16" i="2"/>
  <c r="BR49" i="10"/>
  <c r="BQ49" i="2"/>
  <c r="BR40" i="10"/>
  <c r="BQ40" i="2"/>
  <c r="CF6" i="2"/>
  <c r="CE4" i="2"/>
  <c r="CE5" i="2"/>
  <c r="CF11" i="2"/>
  <c r="CF9" i="2"/>
  <c r="CF8" i="2"/>
  <c r="CF7" i="2"/>
  <c r="CF10" i="2"/>
  <c r="BS48" i="10" l="1"/>
  <c r="BR48" i="2"/>
  <c r="BU15" i="10"/>
  <c r="BT15" i="2"/>
  <c r="BS55" i="10"/>
  <c r="BR55" i="2"/>
  <c r="BS64" i="10"/>
  <c r="BR64" i="2"/>
  <c r="BS52" i="10"/>
  <c r="BR52" i="2"/>
  <c r="BU19" i="10"/>
  <c r="BT19" i="2"/>
  <c r="BS45" i="10"/>
  <c r="BR45" i="2"/>
  <c r="BS67" i="10"/>
  <c r="BR67" i="2"/>
  <c r="BS23" i="10"/>
  <c r="BR23" i="2"/>
  <c r="BS35" i="10"/>
  <c r="BR35" i="2"/>
  <c r="BS44" i="10"/>
  <c r="BR44" i="2"/>
  <c r="BS50" i="10"/>
  <c r="BR50" i="2"/>
  <c r="BS41" i="10"/>
  <c r="BR41" i="2"/>
  <c r="BS34" i="10"/>
  <c r="BR34" i="2"/>
  <c r="BS36" i="10"/>
  <c r="BR36" i="2"/>
  <c r="BS63" i="10"/>
  <c r="BR63" i="2"/>
  <c r="BS42" i="10"/>
  <c r="BR42" i="2"/>
  <c r="BS24" i="10"/>
  <c r="BR24" i="2"/>
  <c r="BS60" i="10"/>
  <c r="BR60" i="2"/>
  <c r="BS43" i="10"/>
  <c r="BR43" i="2"/>
  <c r="BU17" i="10"/>
  <c r="BT17" i="2"/>
  <c r="BU20" i="10"/>
  <c r="BT20" i="2"/>
  <c r="BS59" i="10"/>
  <c r="BR59" i="2"/>
  <c r="BS56" i="10"/>
  <c r="BR56" i="2"/>
  <c r="BS28" i="10"/>
  <c r="BR28" i="2"/>
  <c r="BS27" i="10"/>
  <c r="BR27" i="2"/>
  <c r="BS22" i="10"/>
  <c r="BR22" i="2"/>
  <c r="BS39" i="10"/>
  <c r="BR39" i="2"/>
  <c r="BS68" i="10"/>
  <c r="BR68" i="2"/>
  <c r="BS49" i="10"/>
  <c r="BR49" i="2"/>
  <c r="BS57" i="10"/>
  <c r="BR57" i="2"/>
  <c r="BS26" i="10"/>
  <c r="BR26" i="2"/>
  <c r="BS70" i="10"/>
  <c r="BS69" i="10"/>
  <c r="BR69" i="2"/>
  <c r="BS37" i="10"/>
  <c r="BR37" i="2"/>
  <c r="BS61" i="10"/>
  <c r="BR61" i="2"/>
  <c r="BS54" i="10"/>
  <c r="BR54" i="2"/>
  <c r="BS29" i="10"/>
  <c r="BR29" i="2"/>
  <c r="BU14" i="10"/>
  <c r="BT14" i="2"/>
  <c r="BS62" i="10"/>
  <c r="BR62" i="2"/>
  <c r="BU18" i="10"/>
  <c r="BT18" i="2"/>
  <c r="BS32" i="10"/>
  <c r="BR32" i="2"/>
  <c r="CE13" i="10"/>
  <c r="CD13" i="2"/>
  <c r="BS33" i="10"/>
  <c r="BR33" i="2"/>
  <c r="BU16" i="10"/>
  <c r="BT16" i="2"/>
  <c r="BS25" i="10"/>
  <c r="BR25" i="2"/>
  <c r="BS51" i="10"/>
  <c r="BR51" i="2"/>
  <c r="BS47" i="10"/>
  <c r="BR47" i="2"/>
  <c r="BS65" i="10"/>
  <c r="BR65" i="2"/>
  <c r="BS46" i="10"/>
  <c r="BR46" i="2"/>
  <c r="BS53" i="10"/>
  <c r="BR53" i="2"/>
  <c r="BS40" i="10"/>
  <c r="BR40" i="2"/>
  <c r="BS58" i="10"/>
  <c r="BR58" i="2"/>
  <c r="BS38" i="10"/>
  <c r="BR38" i="2"/>
  <c r="BS31" i="10"/>
  <c r="BR31" i="2"/>
  <c r="BU21" i="10"/>
  <c r="BT21" i="2"/>
  <c r="BS66" i="10"/>
  <c r="BR66" i="2"/>
  <c r="BS30" i="10"/>
  <c r="BR30" i="2"/>
  <c r="CF12" i="10"/>
  <c r="CE12" i="2"/>
  <c r="CG8" i="2"/>
  <c r="CF4" i="2"/>
  <c r="CG7" i="2"/>
  <c r="CG10" i="2"/>
  <c r="CG9" i="2"/>
  <c r="CG11" i="2"/>
  <c r="CF5" i="2"/>
  <c r="CG6" i="2"/>
  <c r="BT54" i="10" l="1"/>
  <c r="BS54" i="2"/>
  <c r="BT49" i="10"/>
  <c r="BS49" i="2"/>
  <c r="BT56" i="10"/>
  <c r="BS56" i="2"/>
  <c r="BT24" i="10"/>
  <c r="BS24" i="2"/>
  <c r="BT50" i="10"/>
  <c r="BS50" i="2"/>
  <c r="BV19" i="10"/>
  <c r="BU19" i="2"/>
  <c r="BT31" i="10"/>
  <c r="BS31" i="2"/>
  <c r="BT38" i="10"/>
  <c r="BS38" i="2"/>
  <c r="BT47" i="10"/>
  <c r="BS47" i="2"/>
  <c r="BT32" i="10"/>
  <c r="BS32" i="2"/>
  <c r="BT61" i="10"/>
  <c r="BS61" i="2"/>
  <c r="BT68" i="10"/>
  <c r="BS68" i="2"/>
  <c r="BT59" i="10"/>
  <c r="BS59" i="2"/>
  <c r="BT42" i="10"/>
  <c r="BS42" i="2"/>
  <c r="BT44" i="10"/>
  <c r="BS44" i="2"/>
  <c r="BT52" i="10"/>
  <c r="BS52" i="2"/>
  <c r="BT51" i="10"/>
  <c r="BS51" i="2"/>
  <c r="BT39" i="10"/>
  <c r="BS39" i="2"/>
  <c r="BV20" i="10"/>
  <c r="BU20" i="2"/>
  <c r="BT63" i="10"/>
  <c r="BS63" i="2"/>
  <c r="BT35" i="10"/>
  <c r="BS35" i="2"/>
  <c r="BT64" i="10"/>
  <c r="BS64" i="2"/>
  <c r="BV18" i="10"/>
  <c r="BU18" i="2"/>
  <c r="BT30" i="10"/>
  <c r="BS30" i="2"/>
  <c r="BT40" i="10"/>
  <c r="BS40" i="2"/>
  <c r="BT25" i="10"/>
  <c r="BS25" i="2"/>
  <c r="BT62" i="10"/>
  <c r="BS62" i="2"/>
  <c r="BT69" i="10"/>
  <c r="BS69" i="2"/>
  <c r="BT37" i="10"/>
  <c r="BS37" i="2"/>
  <c r="BT71" i="10"/>
  <c r="BT70" i="10"/>
  <c r="BS70" i="2"/>
  <c r="BT22" i="10"/>
  <c r="BS22" i="2"/>
  <c r="BV17" i="10"/>
  <c r="BU17" i="2"/>
  <c r="BT36" i="10"/>
  <c r="BS36" i="2"/>
  <c r="BT23" i="10"/>
  <c r="BS23" i="2"/>
  <c r="BT55" i="10"/>
  <c r="BS55" i="2"/>
  <c r="BT58" i="10"/>
  <c r="BS58" i="2"/>
  <c r="BT53" i="10"/>
  <c r="BS53" i="2"/>
  <c r="BT66" i="10"/>
  <c r="BS66" i="2"/>
  <c r="BV14" i="10"/>
  <c r="BU14" i="2"/>
  <c r="BT26" i="10"/>
  <c r="BS26" i="2"/>
  <c r="BT27" i="10"/>
  <c r="BS27" i="2"/>
  <c r="BT43" i="10"/>
  <c r="BS43" i="2"/>
  <c r="BT34" i="10"/>
  <c r="BS34" i="2"/>
  <c r="BT67" i="10"/>
  <c r="BS67" i="2"/>
  <c r="BV15" i="10"/>
  <c r="BU15" i="2"/>
  <c r="BT65" i="10"/>
  <c r="BS65" i="2"/>
  <c r="BV16" i="10"/>
  <c r="BU16" i="2"/>
  <c r="BV21" i="10"/>
  <c r="BU21" i="2"/>
  <c r="BT46" i="10"/>
  <c r="BS46" i="2"/>
  <c r="BT29" i="10"/>
  <c r="BS29" i="2"/>
  <c r="CF13" i="10"/>
  <c r="CE13" i="2"/>
  <c r="CG12" i="10"/>
  <c r="CF12" i="2"/>
  <c r="BT33" i="10"/>
  <c r="BS33" i="2"/>
  <c r="BT57" i="10"/>
  <c r="BS57" i="2"/>
  <c r="BT28" i="10"/>
  <c r="BS28" i="2"/>
  <c r="BT60" i="10"/>
  <c r="BS60" i="2"/>
  <c r="BT41" i="10"/>
  <c r="BS41" i="2"/>
  <c r="BT45" i="10"/>
  <c r="BS45" i="2"/>
  <c r="BT48" i="10"/>
  <c r="BS48" i="2"/>
  <c r="CH11" i="2"/>
  <c r="CH9" i="2"/>
  <c r="CG5" i="2"/>
  <c r="CH10" i="2"/>
  <c r="CH7" i="2"/>
  <c r="CH6" i="2"/>
  <c r="CG4" i="2"/>
  <c r="CH8" i="2"/>
  <c r="BU70" i="10" l="1"/>
  <c r="BT70" i="2"/>
  <c r="BW19" i="10"/>
  <c r="BV19" i="2"/>
  <c r="BU68" i="10"/>
  <c r="BT68" i="2"/>
  <c r="BU48" i="10"/>
  <c r="BT48" i="2"/>
  <c r="BU33" i="10"/>
  <c r="BT33" i="2"/>
  <c r="BW16" i="10"/>
  <c r="BV16" i="2"/>
  <c r="BU27" i="10"/>
  <c r="BT27" i="2"/>
  <c r="BU55" i="10"/>
  <c r="BT55" i="2"/>
  <c r="BW21" i="10"/>
  <c r="BV21" i="2"/>
  <c r="BU39" i="10"/>
  <c r="BT39" i="2"/>
  <c r="BU37" i="10"/>
  <c r="BT37" i="2"/>
  <c r="BW18" i="10"/>
  <c r="BV18" i="2"/>
  <c r="BU51" i="10"/>
  <c r="BT51" i="2"/>
  <c r="BU61" i="10"/>
  <c r="BT61" i="2"/>
  <c r="BU50" i="10"/>
  <c r="BT50" i="2"/>
  <c r="BU45" i="10"/>
  <c r="BT45" i="2"/>
  <c r="CH12" i="10"/>
  <c r="CG12" i="2"/>
  <c r="BU65" i="10"/>
  <c r="BT65" i="2"/>
  <c r="BU26" i="10"/>
  <c r="BT26" i="2"/>
  <c r="BU23" i="10"/>
  <c r="BT23" i="2"/>
  <c r="BU57" i="10"/>
  <c r="BT57" i="2"/>
  <c r="BU58" i="10"/>
  <c r="BT58" i="2"/>
  <c r="BU24" i="10"/>
  <c r="BT24" i="2"/>
  <c r="CG13" i="10"/>
  <c r="CF13" i="2"/>
  <c r="BW15" i="10"/>
  <c r="BV15" i="2"/>
  <c r="BW14" i="10"/>
  <c r="BV14" i="2"/>
  <c r="BU36" i="10"/>
  <c r="BT36" i="2"/>
  <c r="BU43" i="10"/>
  <c r="BT43" i="2"/>
  <c r="BU62" i="10"/>
  <c r="BT62" i="2"/>
  <c r="BU35" i="10"/>
  <c r="BT35" i="2"/>
  <c r="BU44" i="10"/>
  <c r="BT44" i="2"/>
  <c r="BU47" i="10"/>
  <c r="BT47" i="2"/>
  <c r="BU56" i="10"/>
  <c r="BT56" i="2"/>
  <c r="BU72" i="10"/>
  <c r="BU71" i="10"/>
  <c r="BT71" i="2"/>
  <c r="BU69" i="10"/>
  <c r="BT69" i="2"/>
  <c r="BU32" i="10"/>
  <c r="BT32" i="2"/>
  <c r="BU60" i="10"/>
  <c r="BT60" i="2"/>
  <c r="BU29" i="10"/>
  <c r="BT29" i="2"/>
  <c r="BU67" i="10"/>
  <c r="BT67" i="2"/>
  <c r="BU66" i="10"/>
  <c r="BT66" i="2"/>
  <c r="BW17" i="10"/>
  <c r="BV17" i="2"/>
  <c r="BU52" i="10"/>
  <c r="BT52" i="2"/>
  <c r="BU41" i="10"/>
  <c r="BT41" i="2"/>
  <c r="BU25" i="10"/>
  <c r="BT25" i="2"/>
  <c r="BU63" i="10"/>
  <c r="BT63" i="2"/>
  <c r="BU42" i="10"/>
  <c r="BT42" i="2"/>
  <c r="BU38" i="10"/>
  <c r="BT38" i="2"/>
  <c r="BU49" i="10"/>
  <c r="BT49" i="2"/>
  <c r="BU22" i="10"/>
  <c r="BT22" i="2"/>
  <c r="BU30" i="10"/>
  <c r="BT30" i="2"/>
  <c r="BU64" i="10"/>
  <c r="BT64" i="2"/>
  <c r="BU28" i="10"/>
  <c r="BT28" i="2"/>
  <c r="BU46" i="10"/>
  <c r="BT46" i="2"/>
  <c r="BU34" i="10"/>
  <c r="BT34" i="2"/>
  <c r="BU53" i="10"/>
  <c r="BT53" i="2"/>
  <c r="BU40" i="10"/>
  <c r="BT40" i="2"/>
  <c r="BW20" i="10"/>
  <c r="BV20" i="2"/>
  <c r="BU59" i="10"/>
  <c r="BT59" i="2"/>
  <c r="BU31" i="10"/>
  <c r="BT31" i="2"/>
  <c r="BU54" i="10"/>
  <c r="BT54" i="2"/>
  <c r="CI9" i="2"/>
  <c r="CI11" i="2"/>
  <c r="CI8" i="2"/>
  <c r="CH4" i="2"/>
  <c r="CI10" i="2"/>
  <c r="CH5" i="2"/>
  <c r="CI6" i="2"/>
  <c r="CI7" i="2"/>
  <c r="BV52" i="10" l="1"/>
  <c r="BU52" i="2"/>
  <c r="BV35" i="10"/>
  <c r="BU35" i="2"/>
  <c r="CH13" i="10"/>
  <c r="CG13" i="2"/>
  <c r="BV65" i="10"/>
  <c r="BU65" i="2"/>
  <c r="BX18" i="10"/>
  <c r="BW18" i="2"/>
  <c r="BX16" i="10"/>
  <c r="BW16" i="2"/>
  <c r="BV69" i="10"/>
  <c r="BU69" i="2"/>
  <c r="BV33" i="10"/>
  <c r="BU33" i="2"/>
  <c r="BV49" i="10"/>
  <c r="BU49" i="2"/>
  <c r="BX17" i="10"/>
  <c r="BW17" i="2"/>
  <c r="BV62" i="10"/>
  <c r="BU62" i="2"/>
  <c r="BV37" i="10"/>
  <c r="BU37" i="2"/>
  <c r="BV59" i="10"/>
  <c r="BU59" i="2"/>
  <c r="BV28" i="10"/>
  <c r="BU28" i="2"/>
  <c r="BV42" i="10"/>
  <c r="BU42" i="2"/>
  <c r="BV66" i="10"/>
  <c r="BU66" i="2"/>
  <c r="BV71" i="10"/>
  <c r="BU71" i="2"/>
  <c r="CI12" i="10"/>
  <c r="CH12" i="2"/>
  <c r="BV72" i="10"/>
  <c r="BV73" i="10"/>
  <c r="BU72" i="2"/>
  <c r="BV43" i="10"/>
  <c r="BU43" i="2"/>
  <c r="BV58" i="10"/>
  <c r="BU58" i="2"/>
  <c r="BV45" i="10"/>
  <c r="BU45" i="2"/>
  <c r="BV39" i="10"/>
  <c r="BU39" i="2"/>
  <c r="BV48" i="10"/>
  <c r="BU48" i="2"/>
  <c r="BV38" i="10"/>
  <c r="BU38" i="2"/>
  <c r="BV67" i="10"/>
  <c r="BU67" i="2"/>
  <c r="BX20" i="10"/>
  <c r="BW20" i="2"/>
  <c r="BV56" i="10"/>
  <c r="BU56" i="2"/>
  <c r="BV36" i="10"/>
  <c r="BU36" i="2"/>
  <c r="BV57" i="10"/>
  <c r="BU57" i="2"/>
  <c r="BV50" i="10"/>
  <c r="BU50" i="2"/>
  <c r="BX21" i="10"/>
  <c r="BW21" i="2"/>
  <c r="BV68" i="10"/>
  <c r="BU68" i="2"/>
  <c r="BV54" i="10"/>
  <c r="BU54" i="2"/>
  <c r="BV64" i="10"/>
  <c r="BU64" i="2"/>
  <c r="BV29" i="10"/>
  <c r="BU29" i="2"/>
  <c r="BV34" i="10"/>
  <c r="BU34" i="2"/>
  <c r="BV32" i="10"/>
  <c r="BU32" i="2"/>
  <c r="BV31" i="10"/>
  <c r="BU31" i="2"/>
  <c r="BV24" i="10"/>
  <c r="BU24" i="2"/>
  <c r="BV30" i="10"/>
  <c r="BU30" i="2"/>
  <c r="BV47" i="10"/>
  <c r="BU47" i="2"/>
  <c r="BX14" i="10"/>
  <c r="BW14" i="2"/>
  <c r="BV23" i="10"/>
  <c r="BU23" i="2"/>
  <c r="BV61" i="10"/>
  <c r="BU61" i="2"/>
  <c r="BV55" i="10"/>
  <c r="BU55" i="2"/>
  <c r="BX19" i="10"/>
  <c r="BW19" i="2"/>
  <c r="BV46" i="10"/>
  <c r="BU46" i="2"/>
  <c r="BV63" i="10"/>
  <c r="BU63" i="2"/>
  <c r="BV40" i="10"/>
  <c r="BU40" i="2"/>
  <c r="BV53" i="10"/>
  <c r="BU53" i="2"/>
  <c r="BV22" i="10"/>
  <c r="BU22" i="2"/>
  <c r="BV41" i="10"/>
  <c r="BU41" i="2"/>
  <c r="BV60" i="10"/>
  <c r="BU60" i="2"/>
  <c r="BV25" i="10"/>
  <c r="BU25" i="2"/>
  <c r="BV44" i="10"/>
  <c r="BU44" i="2"/>
  <c r="BX15" i="10"/>
  <c r="BW15" i="2"/>
  <c r="BV26" i="10"/>
  <c r="BU26" i="2"/>
  <c r="BV51" i="10"/>
  <c r="BU51" i="2"/>
  <c r="BV27" i="10"/>
  <c r="BU27" i="2"/>
  <c r="BV70" i="10"/>
  <c r="BU70" i="2"/>
  <c r="CJ6" i="2"/>
  <c r="CI5" i="2"/>
  <c r="CI4" i="2"/>
  <c r="CJ8" i="2"/>
  <c r="CJ7" i="2"/>
  <c r="CJ10" i="2"/>
  <c r="CJ11" i="2"/>
  <c r="CJ9" i="2"/>
  <c r="BW41" i="10" l="1"/>
  <c r="BV41" i="2"/>
  <c r="BW27" i="10"/>
  <c r="BV27" i="2"/>
  <c r="BW60" i="10"/>
  <c r="BV60" i="2"/>
  <c r="BW46" i="10"/>
  <c r="BV46" i="2"/>
  <c r="BW47" i="10"/>
  <c r="BV47" i="2"/>
  <c r="BW29" i="10"/>
  <c r="BV29" i="2"/>
  <c r="BW57" i="10"/>
  <c r="BV57" i="2"/>
  <c r="BW48" i="10"/>
  <c r="BV48" i="2"/>
  <c r="CJ12" i="10"/>
  <c r="CI12" i="2"/>
  <c r="BW37" i="10"/>
  <c r="BV37" i="2"/>
  <c r="BY16" i="10"/>
  <c r="BX16" i="2"/>
  <c r="BW39" i="10"/>
  <c r="BV39" i="2"/>
  <c r="BW71" i="10"/>
  <c r="BV71" i="2"/>
  <c r="BW62" i="10"/>
  <c r="BV62" i="2"/>
  <c r="BY18" i="10"/>
  <c r="BX18" i="2"/>
  <c r="BW51" i="10"/>
  <c r="BV51" i="2"/>
  <c r="BY19" i="10"/>
  <c r="BX19" i="2"/>
  <c r="BW30" i="10"/>
  <c r="BV30" i="2"/>
  <c r="BW64" i="10"/>
  <c r="BV64" i="2"/>
  <c r="BW36" i="10"/>
  <c r="BV36" i="2"/>
  <c r="BW26" i="10"/>
  <c r="BV26" i="2"/>
  <c r="BW22" i="10"/>
  <c r="BV22" i="2"/>
  <c r="BW55" i="10"/>
  <c r="BV55" i="2"/>
  <c r="BW24" i="10"/>
  <c r="BV24" i="2"/>
  <c r="BW54" i="10"/>
  <c r="BV54" i="2"/>
  <c r="BW56" i="10"/>
  <c r="BV56" i="2"/>
  <c r="BW45" i="10"/>
  <c r="BV45" i="2"/>
  <c r="BW66" i="10"/>
  <c r="BV66" i="2"/>
  <c r="BY17" i="10"/>
  <c r="BX17" i="2"/>
  <c r="BW65" i="10"/>
  <c r="BV65" i="2"/>
  <c r="BY15" i="10"/>
  <c r="BX15" i="2"/>
  <c r="BW53" i="10"/>
  <c r="BV53" i="2"/>
  <c r="BW61" i="10"/>
  <c r="BV61" i="2"/>
  <c r="BW31" i="10"/>
  <c r="BV31" i="2"/>
  <c r="BW68" i="10"/>
  <c r="BV68" i="2"/>
  <c r="BY20" i="10"/>
  <c r="BX20" i="2"/>
  <c r="BW58" i="10"/>
  <c r="BV58" i="2"/>
  <c r="BW42" i="10"/>
  <c r="BV42" i="2"/>
  <c r="BW49" i="10"/>
  <c r="BV49" i="2"/>
  <c r="CI13" i="10"/>
  <c r="CH13" i="2"/>
  <c r="BW43" i="10"/>
  <c r="BV43" i="2"/>
  <c r="BW40" i="10"/>
  <c r="BV40" i="2"/>
  <c r="BY21" i="10"/>
  <c r="BX21" i="2"/>
  <c r="BW28" i="10"/>
  <c r="BV28" i="2"/>
  <c r="BW33" i="10"/>
  <c r="BV33" i="2"/>
  <c r="BW35" i="10"/>
  <c r="BV35" i="2"/>
  <c r="BW44" i="10"/>
  <c r="BV44" i="2"/>
  <c r="BW23" i="10"/>
  <c r="BV23" i="2"/>
  <c r="BW32" i="10"/>
  <c r="BV32" i="2"/>
  <c r="BW67" i="10"/>
  <c r="BV67" i="2"/>
  <c r="BW70" i="10"/>
  <c r="BV70" i="2"/>
  <c r="BW25" i="10"/>
  <c r="BV25" i="2"/>
  <c r="BY14" i="10"/>
  <c r="BX14" i="2"/>
  <c r="BW34" i="10"/>
  <c r="BV34" i="2"/>
  <c r="BW50" i="10"/>
  <c r="BV50" i="2"/>
  <c r="BW38" i="10"/>
  <c r="BV38" i="2"/>
  <c r="BW74" i="10"/>
  <c r="BW73" i="10"/>
  <c r="BV73" i="2"/>
  <c r="BW63" i="10"/>
  <c r="BV63" i="2"/>
  <c r="BW72" i="10"/>
  <c r="BV72" i="2"/>
  <c r="BW59" i="10"/>
  <c r="BV59" i="2"/>
  <c r="BW69" i="10"/>
  <c r="BV69" i="2"/>
  <c r="BW52" i="10"/>
  <c r="BV52" i="2"/>
  <c r="CK11" i="2"/>
  <c r="CJ4" i="2"/>
  <c r="CK10" i="2"/>
  <c r="CK8" i="2"/>
  <c r="CK7" i="2"/>
  <c r="CK9" i="2"/>
  <c r="CJ5" i="2"/>
  <c r="CK6" i="2"/>
  <c r="BX23" i="10" l="1"/>
  <c r="BW23" i="2"/>
  <c r="BX40" i="10"/>
  <c r="BW40" i="2"/>
  <c r="BZ20" i="10"/>
  <c r="BY20" i="2"/>
  <c r="BX65" i="10"/>
  <c r="BW65" i="2"/>
  <c r="BX24" i="10"/>
  <c r="BW24" i="2"/>
  <c r="BX30" i="10"/>
  <c r="BW30" i="2"/>
  <c r="BX39" i="10"/>
  <c r="BW39" i="2"/>
  <c r="BX29" i="10"/>
  <c r="BW29" i="2"/>
  <c r="BZ14" i="10"/>
  <c r="BY14" i="2"/>
  <c r="BZ16" i="10"/>
  <c r="BY16" i="2"/>
  <c r="BX55" i="10"/>
  <c r="BW55" i="2"/>
  <c r="BX25" i="10"/>
  <c r="BW25" i="2"/>
  <c r="BX35" i="10"/>
  <c r="BW35" i="2"/>
  <c r="CJ13" i="10"/>
  <c r="CI13" i="2"/>
  <c r="BX31" i="10"/>
  <c r="BW31" i="2"/>
  <c r="BX66" i="10"/>
  <c r="BW66" i="2"/>
  <c r="BX22" i="10"/>
  <c r="BW22" i="2"/>
  <c r="BX51" i="10"/>
  <c r="BW51" i="2"/>
  <c r="BX37" i="10"/>
  <c r="BW37" i="2"/>
  <c r="BX46" i="10"/>
  <c r="BW46" i="2"/>
  <c r="BX34" i="10"/>
  <c r="BW34" i="2"/>
  <c r="BX72" i="10"/>
  <c r="BW72" i="2"/>
  <c r="BZ19" i="10"/>
  <c r="BY19" i="2"/>
  <c r="BX43" i="10"/>
  <c r="BW43" i="2"/>
  <c r="BX70" i="10"/>
  <c r="BW70" i="2"/>
  <c r="BX49" i="10"/>
  <c r="BW49" i="2"/>
  <c r="BX61" i="10"/>
  <c r="BW61" i="2"/>
  <c r="BX45" i="10"/>
  <c r="BW45" i="2"/>
  <c r="BX26" i="10"/>
  <c r="BW26" i="2"/>
  <c r="BZ18" i="10"/>
  <c r="BY18" i="2"/>
  <c r="CK12" i="10"/>
  <c r="CJ12" i="2"/>
  <c r="BX60" i="10"/>
  <c r="BW60" i="2"/>
  <c r="BX47" i="10"/>
  <c r="BW47" i="2"/>
  <c r="BX74" i="10"/>
  <c r="BX75" i="10"/>
  <c r="BW74" i="2"/>
  <c r="BX52" i="10"/>
  <c r="BW52" i="2"/>
  <c r="BX59" i="10"/>
  <c r="BW59" i="2"/>
  <c r="BX44" i="10"/>
  <c r="BW44" i="2"/>
  <c r="BX68" i="10"/>
  <c r="BW68" i="2"/>
  <c r="BX63" i="10"/>
  <c r="BW63" i="2"/>
  <c r="BX38" i="10"/>
  <c r="BW38" i="2"/>
  <c r="BX67" i="10"/>
  <c r="BW67" i="2"/>
  <c r="BX28" i="10"/>
  <c r="BW28" i="2"/>
  <c r="BX42" i="10"/>
  <c r="BW42" i="2"/>
  <c r="BX53" i="10"/>
  <c r="BW53" i="2"/>
  <c r="BX56" i="10"/>
  <c r="BW56" i="2"/>
  <c r="BX36" i="10"/>
  <c r="BW36" i="2"/>
  <c r="BX62" i="10"/>
  <c r="BW62" i="2"/>
  <c r="BX48" i="10"/>
  <c r="BW48" i="2"/>
  <c r="BX27" i="10"/>
  <c r="BW27" i="2"/>
  <c r="BX73" i="10"/>
  <c r="BW73" i="2"/>
  <c r="BX69" i="10"/>
  <c r="BW69" i="2"/>
  <c r="BZ17" i="10"/>
  <c r="BY17" i="2"/>
  <c r="BX33" i="10"/>
  <c r="BW33" i="2"/>
  <c r="BX50" i="10"/>
  <c r="BW50" i="2"/>
  <c r="BX32" i="10"/>
  <c r="BW32" i="2"/>
  <c r="BZ21" i="10"/>
  <c r="BY21" i="2"/>
  <c r="BX58" i="10"/>
  <c r="BW58" i="2"/>
  <c r="BZ15" i="10"/>
  <c r="BY15" i="2"/>
  <c r="BX54" i="10"/>
  <c r="BW54" i="2"/>
  <c r="BX64" i="10"/>
  <c r="BW64" i="2"/>
  <c r="BX71" i="10"/>
  <c r="BW71" i="2"/>
  <c r="BX57" i="10"/>
  <c r="BW57" i="2"/>
  <c r="BX41" i="10"/>
  <c r="BW41" i="2"/>
  <c r="CL7" i="2"/>
  <c r="CK4" i="2"/>
  <c r="CL6" i="2"/>
  <c r="CL8" i="2"/>
  <c r="CL10" i="2"/>
  <c r="CK5" i="2"/>
  <c r="CL11" i="2"/>
  <c r="CL9" i="2"/>
  <c r="BY59" i="10" l="1"/>
  <c r="BX59" i="2"/>
  <c r="CA18" i="10"/>
  <c r="BZ18" i="2"/>
  <c r="BY43" i="10"/>
  <c r="BX43" i="2"/>
  <c r="BY51" i="10"/>
  <c r="BX51" i="2"/>
  <c r="BY25" i="10"/>
  <c r="BX25" i="2"/>
  <c r="BY30" i="10"/>
  <c r="BX30" i="2"/>
  <c r="BY54" i="10"/>
  <c r="BX54" i="2"/>
  <c r="BY33" i="10"/>
  <c r="BX33" i="2"/>
  <c r="BY62" i="10"/>
  <c r="BX62" i="2"/>
  <c r="BY67" i="10"/>
  <c r="BX67" i="2"/>
  <c r="BY52" i="10"/>
  <c r="BX52" i="2"/>
  <c r="BY64" i="10"/>
  <c r="BX64" i="2"/>
  <c r="CA15" i="10"/>
  <c r="BZ15" i="2"/>
  <c r="CA17" i="10"/>
  <c r="BZ17" i="2"/>
  <c r="BY36" i="10"/>
  <c r="BX36" i="2"/>
  <c r="BY38" i="10"/>
  <c r="BX38" i="2"/>
  <c r="BY75" i="10"/>
  <c r="BY76" i="10"/>
  <c r="BX75" i="2"/>
  <c r="BY26" i="10"/>
  <c r="BX26" i="2"/>
  <c r="BY74" i="10"/>
  <c r="BX74" i="2"/>
  <c r="BY45" i="10"/>
  <c r="BX45" i="2"/>
  <c r="BY72" i="10"/>
  <c r="BX72" i="2"/>
  <c r="BY66" i="10"/>
  <c r="BX66" i="2"/>
  <c r="CA16" i="10"/>
  <c r="BZ16" i="2"/>
  <c r="BY65" i="10"/>
  <c r="BX65" i="2"/>
  <c r="BY50" i="10"/>
  <c r="BX50" i="2"/>
  <c r="CA19" i="10"/>
  <c r="BZ19" i="2"/>
  <c r="BY41" i="10"/>
  <c r="BX41" i="2"/>
  <c r="BY58" i="10"/>
  <c r="BX58" i="2"/>
  <c r="BY69" i="10"/>
  <c r="BX69" i="2"/>
  <c r="BY56" i="10"/>
  <c r="BX56" i="2"/>
  <c r="BY63" i="10"/>
  <c r="BX63" i="2"/>
  <c r="BY55" i="10"/>
  <c r="BX55" i="2"/>
  <c r="BY47" i="10"/>
  <c r="BX47" i="2"/>
  <c r="BY61" i="10"/>
  <c r="BX61" i="2"/>
  <c r="BY34" i="10"/>
  <c r="BX34" i="2"/>
  <c r="BY31" i="10"/>
  <c r="BX31" i="2"/>
  <c r="CA14" i="10"/>
  <c r="BZ14" i="2"/>
  <c r="CA20" i="10"/>
  <c r="BZ20" i="2"/>
  <c r="BY48" i="10"/>
  <c r="BX48" i="2"/>
  <c r="BY57" i="10"/>
  <c r="BX57" i="2"/>
  <c r="CA21" i="10"/>
  <c r="BZ21" i="2"/>
  <c r="BY73" i="10"/>
  <c r="BX73" i="2"/>
  <c r="BY53" i="10"/>
  <c r="BX53" i="2"/>
  <c r="BY68" i="10"/>
  <c r="BX68" i="2"/>
  <c r="BY22" i="10"/>
  <c r="BX22" i="2"/>
  <c r="BY60" i="10"/>
  <c r="BX60" i="2"/>
  <c r="BY49" i="10"/>
  <c r="BX49" i="2"/>
  <c r="BY46" i="10"/>
  <c r="BX46" i="2"/>
  <c r="CK13" i="10"/>
  <c r="CJ13" i="2"/>
  <c r="BY29" i="10"/>
  <c r="BX29" i="2"/>
  <c r="BY40" i="10"/>
  <c r="BX40" i="2"/>
  <c r="BY44" i="10"/>
  <c r="BX44" i="2"/>
  <c r="BY28" i="10"/>
  <c r="BX28" i="2"/>
  <c r="BY24" i="10"/>
  <c r="BX24" i="2"/>
  <c r="BY71" i="10"/>
  <c r="BX71" i="2"/>
  <c r="BY32" i="10"/>
  <c r="BX32" i="2"/>
  <c r="BY27" i="10"/>
  <c r="BX27" i="2"/>
  <c r="BY42" i="10"/>
  <c r="BX42" i="2"/>
  <c r="CL12" i="10"/>
  <c r="CK12" i="2"/>
  <c r="BY70" i="10"/>
  <c r="BX70" i="2"/>
  <c r="BY37" i="10"/>
  <c r="BX37" i="2"/>
  <c r="BY35" i="10"/>
  <c r="BX35" i="2"/>
  <c r="BY39" i="10"/>
  <c r="BX39" i="2"/>
  <c r="BY23" i="10"/>
  <c r="BX23" i="2"/>
  <c r="CM11" i="2"/>
  <c r="CL5" i="2"/>
  <c r="CM9" i="2"/>
  <c r="CM10" i="2"/>
  <c r="CM6" i="2"/>
  <c r="CL4" i="2"/>
  <c r="CM7" i="2"/>
  <c r="CM8" i="2"/>
  <c r="BZ26" i="10" l="1"/>
  <c r="BY26" i="2"/>
  <c r="BZ70" i="10"/>
  <c r="BY70" i="2"/>
  <c r="BZ24" i="10"/>
  <c r="BY24" i="2"/>
  <c r="BZ46" i="10"/>
  <c r="BY46" i="2"/>
  <c r="BZ73" i="10"/>
  <c r="BY73" i="2"/>
  <c r="BZ31" i="10"/>
  <c r="BY31" i="2"/>
  <c r="BZ56" i="10"/>
  <c r="BY56" i="2"/>
  <c r="BZ65" i="10"/>
  <c r="BY65" i="2"/>
  <c r="BZ64" i="10"/>
  <c r="BY64" i="2"/>
  <c r="BZ30" i="10"/>
  <c r="BY30" i="2"/>
  <c r="BZ77" i="10"/>
  <c r="BZ76" i="10"/>
  <c r="BY76" i="2"/>
  <c r="BZ75" i="10"/>
  <c r="BY75" i="2"/>
  <c r="BZ52" i="10"/>
  <c r="BY52" i="2"/>
  <c r="BZ25" i="10"/>
  <c r="BY25" i="2"/>
  <c r="BZ69" i="10"/>
  <c r="BY69" i="2"/>
  <c r="BZ23" i="10"/>
  <c r="BY23" i="2"/>
  <c r="BZ42" i="10"/>
  <c r="BY42" i="2"/>
  <c r="BZ44" i="10"/>
  <c r="BY44" i="2"/>
  <c r="BZ60" i="10"/>
  <c r="BY60" i="2"/>
  <c r="BZ57" i="10"/>
  <c r="BY57" i="2"/>
  <c r="BZ61" i="10"/>
  <c r="BY61" i="2"/>
  <c r="BZ58" i="10"/>
  <c r="BY58" i="2"/>
  <c r="BZ66" i="10"/>
  <c r="BY66" i="2"/>
  <c r="BZ28" i="10"/>
  <c r="BY28" i="2"/>
  <c r="CB16" i="10"/>
  <c r="CA16" i="2"/>
  <c r="BZ38" i="10"/>
  <c r="BY38" i="2"/>
  <c r="BZ67" i="10"/>
  <c r="BY67" i="2"/>
  <c r="BZ51" i="10"/>
  <c r="BY51" i="2"/>
  <c r="BZ72" i="10"/>
  <c r="BY72" i="2"/>
  <c r="BZ27" i="10"/>
  <c r="BY27" i="2"/>
  <c r="BZ22" i="10"/>
  <c r="BY22" i="2"/>
  <c r="BZ48" i="10"/>
  <c r="BY48" i="2"/>
  <c r="BZ41" i="10"/>
  <c r="BY41" i="2"/>
  <c r="BZ36" i="10"/>
  <c r="BY36" i="2"/>
  <c r="BZ62" i="10"/>
  <c r="BY62" i="2"/>
  <c r="BZ43" i="10"/>
  <c r="BY43" i="2"/>
  <c r="BZ39" i="10"/>
  <c r="BY39" i="2"/>
  <c r="BZ40" i="10"/>
  <c r="BY40" i="2"/>
  <c r="BZ47" i="10"/>
  <c r="BY47" i="2"/>
  <c r="BZ35" i="10"/>
  <c r="BY35" i="2"/>
  <c r="BZ68" i="10"/>
  <c r="BY68" i="2"/>
  <c r="CB20" i="10"/>
  <c r="CA20" i="2"/>
  <c r="BZ45" i="10"/>
  <c r="BY45" i="2"/>
  <c r="BZ32" i="10"/>
  <c r="BY32" i="2"/>
  <c r="CB19" i="10"/>
  <c r="CA19" i="2"/>
  <c r="CB17" i="10"/>
  <c r="CA17" i="2"/>
  <c r="BZ33" i="10"/>
  <c r="BY33" i="2"/>
  <c r="CB18" i="10"/>
  <c r="CA18" i="2"/>
  <c r="CM12" i="10"/>
  <c r="CL12" i="2"/>
  <c r="BZ49" i="10"/>
  <c r="BY49" i="2"/>
  <c r="CB21" i="10"/>
  <c r="CA21" i="2"/>
  <c r="BZ34" i="10"/>
  <c r="BY34" i="2"/>
  <c r="BZ29" i="10"/>
  <c r="BY29" i="2"/>
  <c r="BZ55" i="10"/>
  <c r="BY55" i="2"/>
  <c r="BZ37" i="10"/>
  <c r="BY37" i="2"/>
  <c r="CL13" i="10"/>
  <c r="CK13" i="2"/>
  <c r="CB14" i="10"/>
  <c r="CA14" i="2"/>
  <c r="BZ50" i="10"/>
  <c r="BY50" i="2"/>
  <c r="BZ74" i="10"/>
  <c r="BY74" i="2"/>
  <c r="BZ71" i="10"/>
  <c r="BY71" i="2"/>
  <c r="BZ53" i="10"/>
  <c r="BY53" i="2"/>
  <c r="BZ63" i="10"/>
  <c r="BY63" i="2"/>
  <c r="CB15" i="10"/>
  <c r="CA15" i="2"/>
  <c r="BZ54" i="10"/>
  <c r="BY54" i="2"/>
  <c r="BZ59" i="10"/>
  <c r="BY59" i="2"/>
  <c r="CN7" i="2"/>
  <c r="CM4" i="2"/>
  <c r="CN6" i="2"/>
  <c r="CM5" i="2"/>
  <c r="CN8" i="2"/>
  <c r="CN10" i="2"/>
  <c r="CN9" i="2"/>
  <c r="CN11" i="2"/>
  <c r="CA68" i="10" l="1"/>
  <c r="BZ68" i="2"/>
  <c r="CA71" i="10"/>
  <c r="BZ71" i="2"/>
  <c r="CA55" i="10"/>
  <c r="BZ55" i="2"/>
  <c r="CC18" i="10"/>
  <c r="CB18" i="2"/>
  <c r="CC20" i="10"/>
  <c r="CB20" i="2"/>
  <c r="CA43" i="10"/>
  <c r="BZ43" i="2"/>
  <c r="CA27" i="10"/>
  <c r="BZ27" i="2"/>
  <c r="CA28" i="10"/>
  <c r="BZ28" i="2"/>
  <c r="CA44" i="10"/>
  <c r="BZ44" i="2"/>
  <c r="CA75" i="10"/>
  <c r="BZ75" i="2"/>
  <c r="CA31" i="10"/>
  <c r="BZ31" i="2"/>
  <c r="CA76" i="10"/>
  <c r="BZ76" i="2"/>
  <c r="CA77" i="10"/>
  <c r="CA78" i="10"/>
  <c r="BZ77" i="2"/>
  <c r="CA73" i="10"/>
  <c r="BZ73" i="2"/>
  <c r="CA23" i="10"/>
  <c r="BZ23" i="2"/>
  <c r="CA59" i="10"/>
  <c r="BZ59" i="2"/>
  <c r="CA66" i="10"/>
  <c r="BZ66" i="2"/>
  <c r="CA54" i="10"/>
  <c r="BZ54" i="2"/>
  <c r="CA50" i="10"/>
  <c r="BZ50" i="2"/>
  <c r="CA34" i="10"/>
  <c r="BZ34" i="2"/>
  <c r="CC17" i="10"/>
  <c r="CB17" i="2"/>
  <c r="CA35" i="10"/>
  <c r="BZ35" i="2"/>
  <c r="CA36" i="10"/>
  <c r="BZ36" i="2"/>
  <c r="CA58" i="10"/>
  <c r="BZ58" i="2"/>
  <c r="CA30" i="10"/>
  <c r="BZ30" i="2"/>
  <c r="CA46" i="10"/>
  <c r="BZ46" i="2"/>
  <c r="CA24" i="10"/>
  <c r="BZ24" i="2"/>
  <c r="CA74" i="10"/>
  <c r="BZ74" i="2"/>
  <c r="CA29" i="10"/>
  <c r="BZ29" i="2"/>
  <c r="CA33" i="10"/>
  <c r="BZ33" i="2"/>
  <c r="CA67" i="10"/>
  <c r="BZ67" i="2"/>
  <c r="CA63" i="10"/>
  <c r="BZ63" i="2"/>
  <c r="CM13" i="10"/>
  <c r="CL13" i="2"/>
  <c r="CA49" i="10"/>
  <c r="BZ49" i="2"/>
  <c r="CA32" i="10"/>
  <c r="BZ32" i="2"/>
  <c r="CA40" i="10"/>
  <c r="BZ40" i="2"/>
  <c r="CA48" i="10"/>
  <c r="BZ48" i="2"/>
  <c r="CA38" i="10"/>
  <c r="BZ38" i="2"/>
  <c r="CA57" i="10"/>
  <c r="BZ57" i="2"/>
  <c r="CA25" i="10"/>
  <c r="BZ25" i="2"/>
  <c r="CA42" i="10"/>
  <c r="BZ42" i="2"/>
  <c r="CA51" i="10"/>
  <c r="BZ51" i="2"/>
  <c r="CC14" i="10"/>
  <c r="CB14" i="2"/>
  <c r="CC19" i="10"/>
  <c r="CB19" i="2"/>
  <c r="CA41" i="10"/>
  <c r="BZ41" i="2"/>
  <c r="CA61" i="10"/>
  <c r="BZ61" i="2"/>
  <c r="CA64" i="10"/>
  <c r="BZ64" i="2"/>
  <c r="CA65" i="10"/>
  <c r="BZ65" i="2"/>
  <c r="CA70" i="10"/>
  <c r="BZ70" i="2"/>
  <c r="CA72" i="10"/>
  <c r="BZ72" i="2"/>
  <c r="CC15" i="10"/>
  <c r="CB15" i="2"/>
  <c r="CC21" i="10"/>
  <c r="CB21" i="2"/>
  <c r="CA47" i="10"/>
  <c r="BZ47" i="2"/>
  <c r="CA69" i="10"/>
  <c r="BZ69" i="2"/>
  <c r="CA53" i="10"/>
  <c r="BZ53" i="2"/>
  <c r="CN12" i="10"/>
  <c r="CM12" i="2"/>
  <c r="CA39" i="10"/>
  <c r="BZ39" i="2"/>
  <c r="CC16" i="10"/>
  <c r="CB16" i="2"/>
  <c r="CA60" i="10"/>
  <c r="BZ60" i="2"/>
  <c r="CA52" i="10"/>
  <c r="BZ52" i="2"/>
  <c r="CA62" i="10"/>
  <c r="BZ62" i="2"/>
  <c r="CA37" i="10"/>
  <c r="BZ37" i="2"/>
  <c r="CA45" i="10"/>
  <c r="BZ45" i="2"/>
  <c r="CA22" i="10"/>
  <c r="BZ22" i="2"/>
  <c r="CA56" i="10"/>
  <c r="BZ56" i="2"/>
  <c r="CA26" i="10"/>
  <c r="BZ26" i="2"/>
  <c r="CO11" i="2"/>
  <c r="CN4" i="2"/>
  <c r="CO7" i="2"/>
  <c r="CO9" i="2"/>
  <c r="CN5" i="2"/>
  <c r="CO6" i="2"/>
  <c r="CO10" i="2"/>
  <c r="CO8" i="2"/>
  <c r="CB26" i="10" l="1"/>
  <c r="CA26" i="2"/>
  <c r="CB69" i="10"/>
  <c r="CA69" i="2"/>
  <c r="CB51" i="10"/>
  <c r="CA51" i="2"/>
  <c r="CB40" i="10"/>
  <c r="CA40" i="2"/>
  <c r="CB33" i="10"/>
  <c r="CA33" i="2"/>
  <c r="CB54" i="10"/>
  <c r="CA54" i="2"/>
  <c r="CB52" i="10"/>
  <c r="CA52" i="2"/>
  <c r="CB65" i="10"/>
  <c r="CA65" i="2"/>
  <c r="CB58" i="10"/>
  <c r="CA58" i="2"/>
  <c r="CB76" i="10"/>
  <c r="CA76" i="2"/>
  <c r="CB43" i="10"/>
  <c r="CA43" i="2"/>
  <c r="CB56" i="10"/>
  <c r="CA56" i="2"/>
  <c r="CB60" i="10"/>
  <c r="CA60" i="2"/>
  <c r="CB47" i="10"/>
  <c r="CA47" i="2"/>
  <c r="CB64" i="10"/>
  <c r="CA64" i="2"/>
  <c r="CB42" i="10"/>
  <c r="CA42" i="2"/>
  <c r="CB32" i="10"/>
  <c r="CA32" i="2"/>
  <c r="CB29" i="10"/>
  <c r="CA29" i="2"/>
  <c r="CB36" i="10"/>
  <c r="CA36" i="2"/>
  <c r="CB66" i="10"/>
  <c r="CA66" i="2"/>
  <c r="CB31" i="10"/>
  <c r="CA31" i="2"/>
  <c r="CD20" i="10"/>
  <c r="CC20" i="2"/>
  <c r="CB22" i="10"/>
  <c r="CA22" i="2"/>
  <c r="CB61" i="10"/>
  <c r="CA61" i="2"/>
  <c r="CB35" i="10"/>
  <c r="CA35" i="2"/>
  <c r="CB75" i="10"/>
  <c r="CA75" i="2"/>
  <c r="CD18" i="10"/>
  <c r="CC18" i="2"/>
  <c r="CD16" i="10"/>
  <c r="CC16" i="2"/>
  <c r="CB25" i="10"/>
  <c r="CA25" i="2"/>
  <c r="CB59" i="10"/>
  <c r="CA59" i="2"/>
  <c r="CB45" i="10"/>
  <c r="CA45" i="2"/>
  <c r="CB39" i="10"/>
  <c r="CA39" i="2"/>
  <c r="CD15" i="10"/>
  <c r="CC15" i="2"/>
  <c r="CB41" i="10"/>
  <c r="CA41" i="2"/>
  <c r="CB57" i="10"/>
  <c r="CA57" i="2"/>
  <c r="CN13" i="10"/>
  <c r="CM13" i="2"/>
  <c r="CB24" i="10"/>
  <c r="CA24" i="2"/>
  <c r="CD17" i="10"/>
  <c r="CC17" i="2"/>
  <c r="CB23" i="10"/>
  <c r="CA23" i="2"/>
  <c r="CB44" i="10"/>
  <c r="CA44" i="2"/>
  <c r="CB55" i="10"/>
  <c r="CA55" i="2"/>
  <c r="CB49" i="10"/>
  <c r="CA49" i="2"/>
  <c r="CB37" i="10"/>
  <c r="CA37" i="2"/>
  <c r="CO12" i="10"/>
  <c r="CN12" i="2"/>
  <c r="CD19" i="10"/>
  <c r="CC19" i="2"/>
  <c r="CB38" i="10"/>
  <c r="CA38" i="2"/>
  <c r="CB63" i="10"/>
  <c r="CA63" i="2"/>
  <c r="CB73" i="10"/>
  <c r="CA73" i="2"/>
  <c r="CD21" i="10"/>
  <c r="CC21" i="2"/>
  <c r="CB72" i="10"/>
  <c r="CA72" i="2"/>
  <c r="CB34" i="10"/>
  <c r="CA34" i="2"/>
  <c r="CB28" i="10"/>
  <c r="CA28" i="2"/>
  <c r="CB71" i="10"/>
  <c r="CA71" i="2"/>
  <c r="CB62" i="10"/>
  <c r="CA62" i="2"/>
  <c r="CB53" i="10"/>
  <c r="CA53" i="2"/>
  <c r="CB70" i="10"/>
  <c r="CA70" i="2"/>
  <c r="CD14" i="10"/>
  <c r="CC14" i="2"/>
  <c r="CB48" i="10"/>
  <c r="CA48" i="2"/>
  <c r="CB67" i="10"/>
  <c r="CA67" i="2"/>
  <c r="CB30" i="10"/>
  <c r="CA30" i="2"/>
  <c r="CB50" i="10"/>
  <c r="CA50" i="2"/>
  <c r="CB79" i="10"/>
  <c r="CB78" i="10"/>
  <c r="CA78" i="2"/>
  <c r="CB74" i="10"/>
  <c r="CA74" i="2"/>
  <c r="CB46" i="10"/>
  <c r="CA46" i="2"/>
  <c r="CB77" i="10"/>
  <c r="CA77" i="2"/>
  <c r="CB27" i="10"/>
  <c r="CA27" i="2"/>
  <c r="CB68" i="10"/>
  <c r="CA68" i="2"/>
  <c r="CP8" i="2"/>
  <c r="CP7" i="2"/>
  <c r="CP11" i="2"/>
  <c r="CP9" i="2"/>
  <c r="CO4" i="2"/>
  <c r="CP10" i="2"/>
  <c r="CP6" i="2"/>
  <c r="CO5" i="2"/>
  <c r="CC27" i="10" l="1"/>
  <c r="CB27" i="2"/>
  <c r="CC30" i="10"/>
  <c r="CB30" i="2"/>
  <c r="CC62" i="10"/>
  <c r="CB62" i="2"/>
  <c r="CC73" i="10"/>
  <c r="CB73" i="2"/>
  <c r="CC49" i="10"/>
  <c r="CB49" i="2"/>
  <c r="CO13" i="10"/>
  <c r="CN13" i="2"/>
  <c r="CC59" i="10"/>
  <c r="CB59" i="2"/>
  <c r="CC61" i="10"/>
  <c r="CB61" i="2"/>
  <c r="CC29" i="10"/>
  <c r="CB29" i="2"/>
  <c r="CC56" i="10"/>
  <c r="CB56" i="2"/>
  <c r="CC54" i="10"/>
  <c r="CB54" i="2"/>
  <c r="CC77" i="10"/>
  <c r="CB77" i="2"/>
  <c r="CC33" i="10"/>
  <c r="CB33" i="2"/>
  <c r="CC57" i="10"/>
  <c r="CB57" i="2"/>
  <c r="CC48" i="10"/>
  <c r="CB48" i="2"/>
  <c r="CC28" i="10"/>
  <c r="CB28" i="2"/>
  <c r="CC38" i="10"/>
  <c r="CB38" i="2"/>
  <c r="CC44" i="10"/>
  <c r="CB44" i="2"/>
  <c r="CC41" i="10"/>
  <c r="CB41" i="2"/>
  <c r="CE16" i="10"/>
  <c r="CD16" i="2"/>
  <c r="CE20" i="10"/>
  <c r="CD20" i="2"/>
  <c r="CC42" i="10"/>
  <c r="CB42" i="2"/>
  <c r="CC76" i="10"/>
  <c r="CB76" i="2"/>
  <c r="CC40" i="10"/>
  <c r="CB40" i="2"/>
  <c r="CC32" i="10"/>
  <c r="CB32" i="2"/>
  <c r="CC74" i="10"/>
  <c r="CB74" i="2"/>
  <c r="CE14" i="10"/>
  <c r="CD14" i="2"/>
  <c r="CC34" i="10"/>
  <c r="CB34" i="2"/>
  <c r="CE19" i="10"/>
  <c r="CD19" i="2"/>
  <c r="CC23" i="10"/>
  <c r="CB23" i="2"/>
  <c r="CE15" i="10"/>
  <c r="CD15" i="2"/>
  <c r="CE18" i="10"/>
  <c r="CD18" i="2"/>
  <c r="CC31" i="10"/>
  <c r="CB31" i="2"/>
  <c r="CC64" i="10"/>
  <c r="CB64" i="2"/>
  <c r="CC58" i="10"/>
  <c r="CB58" i="2"/>
  <c r="CC51" i="10"/>
  <c r="CB51" i="2"/>
  <c r="CC71" i="10"/>
  <c r="CB71" i="2"/>
  <c r="CC55" i="10"/>
  <c r="CB55" i="2"/>
  <c r="CC25" i="10"/>
  <c r="CB25" i="2"/>
  <c r="CC78" i="10"/>
  <c r="CB78" i="2"/>
  <c r="CC67" i="10"/>
  <c r="CB67" i="2"/>
  <c r="CC63" i="10"/>
  <c r="CB63" i="2"/>
  <c r="CC43" i="10"/>
  <c r="CB43" i="2"/>
  <c r="CC46" i="10"/>
  <c r="CB46" i="2"/>
  <c r="CC80" i="10"/>
  <c r="CC79" i="10"/>
  <c r="CB79" i="2"/>
  <c r="CC70" i="10"/>
  <c r="CB70" i="2"/>
  <c r="CC72" i="10"/>
  <c r="CB72" i="2"/>
  <c r="CP12" i="10"/>
  <c r="CO12" i="2"/>
  <c r="CE17" i="10"/>
  <c r="CD17" i="2"/>
  <c r="CC39" i="10"/>
  <c r="CB39" i="2"/>
  <c r="CC75" i="10"/>
  <c r="CB75" i="2"/>
  <c r="CC66" i="10"/>
  <c r="CB66" i="2"/>
  <c r="CC47" i="10"/>
  <c r="CB47" i="2"/>
  <c r="CC65" i="10"/>
  <c r="CB65" i="2"/>
  <c r="CC69" i="10"/>
  <c r="CB69" i="2"/>
  <c r="CC22" i="10"/>
  <c r="CB22" i="2"/>
  <c r="CC68" i="10"/>
  <c r="CB68" i="2"/>
  <c r="CC50" i="10"/>
  <c r="CB50" i="2"/>
  <c r="CC53" i="10"/>
  <c r="CB53" i="2"/>
  <c r="CE21" i="10"/>
  <c r="CD21" i="2"/>
  <c r="CC37" i="10"/>
  <c r="CB37" i="2"/>
  <c r="CC24" i="10"/>
  <c r="CB24" i="2"/>
  <c r="CC45" i="10"/>
  <c r="CB45" i="2"/>
  <c r="CC35" i="10"/>
  <c r="CB35" i="2"/>
  <c r="CC36" i="10"/>
  <c r="CB36" i="2"/>
  <c r="CC60" i="10"/>
  <c r="CB60" i="2"/>
  <c r="CC52" i="10"/>
  <c r="CB52" i="2"/>
  <c r="CC26" i="10"/>
  <c r="CB26" i="2"/>
  <c r="CP5" i="2"/>
  <c r="CP4" i="2"/>
  <c r="CQ6" i="2"/>
  <c r="CQ10" i="2"/>
  <c r="CQ9" i="2"/>
  <c r="CQ11" i="2"/>
  <c r="CQ7" i="2"/>
  <c r="CQ8" i="2"/>
  <c r="CQ12" i="10" l="1"/>
  <c r="CP12" i="2"/>
  <c r="CD51" i="10"/>
  <c r="CC51" i="2"/>
  <c r="CD23" i="10"/>
  <c r="CC23" i="2"/>
  <c r="CD40" i="10"/>
  <c r="CC40" i="2"/>
  <c r="CD44" i="10"/>
  <c r="CC44" i="2"/>
  <c r="CD77" i="10"/>
  <c r="CC77" i="2"/>
  <c r="CP13" i="10"/>
  <c r="CO13" i="2"/>
  <c r="CD60" i="10"/>
  <c r="CC60" i="2"/>
  <c r="CD36" i="10"/>
  <c r="CC36" i="2"/>
  <c r="CD53" i="10"/>
  <c r="CC53" i="2"/>
  <c r="CD47" i="10"/>
  <c r="CC47" i="2"/>
  <c r="CD72" i="10"/>
  <c r="CC72" i="2"/>
  <c r="CD63" i="10"/>
  <c r="CC63" i="2"/>
  <c r="CD67" i="10"/>
  <c r="CC67" i="2"/>
  <c r="CD58" i="10"/>
  <c r="CC58" i="2"/>
  <c r="CF19" i="10"/>
  <c r="CE19" i="2"/>
  <c r="CD76" i="10"/>
  <c r="CC76" i="2"/>
  <c r="CD38" i="10"/>
  <c r="CC38" i="2"/>
  <c r="CD54" i="10"/>
  <c r="CC54" i="2"/>
  <c r="CD49" i="10"/>
  <c r="CC49" i="2"/>
  <c r="CD35" i="10"/>
  <c r="CC35" i="2"/>
  <c r="CD50" i="10"/>
  <c r="CC50" i="2"/>
  <c r="CD66" i="10"/>
  <c r="CC66" i="2"/>
  <c r="CD70" i="10"/>
  <c r="CC70" i="2"/>
  <c r="CD78" i="10"/>
  <c r="CC78" i="2"/>
  <c r="CD64" i="10"/>
  <c r="CC64" i="2"/>
  <c r="CD34" i="10"/>
  <c r="CC34" i="2"/>
  <c r="CD42" i="10"/>
  <c r="CC42" i="2"/>
  <c r="CD28" i="10"/>
  <c r="CC28" i="2"/>
  <c r="CD56" i="10"/>
  <c r="CC56" i="2"/>
  <c r="CD73" i="10"/>
  <c r="CC73" i="2"/>
  <c r="CD68" i="10"/>
  <c r="CC68" i="2"/>
  <c r="CD75" i="10"/>
  <c r="CC75" i="2"/>
  <c r="CD79" i="10"/>
  <c r="CC79" i="2"/>
  <c r="CD80" i="10"/>
  <c r="CD81" i="10"/>
  <c r="CC80" i="2"/>
  <c r="CD25" i="10"/>
  <c r="CC25" i="2"/>
  <c r="CD31" i="10"/>
  <c r="CC31" i="2"/>
  <c r="CF14" i="10"/>
  <c r="CE14" i="2"/>
  <c r="CF20" i="10"/>
  <c r="CE20" i="2"/>
  <c r="CD48" i="10"/>
  <c r="CC48" i="2"/>
  <c r="CD29" i="10"/>
  <c r="CC29" i="2"/>
  <c r="CD62" i="10"/>
  <c r="CC62" i="2"/>
  <c r="CD65" i="10"/>
  <c r="CC65" i="2"/>
  <c r="CD45" i="10"/>
  <c r="CC45" i="2"/>
  <c r="CD24" i="10"/>
  <c r="CC24" i="2"/>
  <c r="CD22" i="10"/>
  <c r="CC22" i="2"/>
  <c r="CD39" i="10"/>
  <c r="CC39" i="2"/>
  <c r="CD26" i="10"/>
  <c r="CC26" i="2"/>
  <c r="CD46" i="10"/>
  <c r="CC46" i="2"/>
  <c r="CD55" i="10"/>
  <c r="CC55" i="2"/>
  <c r="CF18" i="10"/>
  <c r="CE18" i="2"/>
  <c r="CD74" i="10"/>
  <c r="CC74" i="2"/>
  <c r="CF16" i="10"/>
  <c r="CE16" i="2"/>
  <c r="CD57" i="10"/>
  <c r="CC57" i="2"/>
  <c r="CD61" i="10"/>
  <c r="CC61" i="2"/>
  <c r="CD30" i="10"/>
  <c r="CC30" i="2"/>
  <c r="CF17" i="10"/>
  <c r="CE17" i="2"/>
  <c r="CF21" i="10"/>
  <c r="CE21" i="2"/>
  <c r="CD52" i="10"/>
  <c r="CC52" i="2"/>
  <c r="CD37" i="10"/>
  <c r="CC37" i="2"/>
  <c r="CD69" i="10"/>
  <c r="CC69" i="2"/>
  <c r="CD43" i="10"/>
  <c r="CC43" i="2"/>
  <c r="CD71" i="10"/>
  <c r="CC71" i="2"/>
  <c r="CF15" i="10"/>
  <c r="CE15" i="2"/>
  <c r="CD32" i="10"/>
  <c r="CC32" i="2"/>
  <c r="CD41" i="10"/>
  <c r="CC41" i="2"/>
  <c r="CD33" i="10"/>
  <c r="CC33" i="2"/>
  <c r="CD59" i="10"/>
  <c r="CC59" i="2"/>
  <c r="CD27" i="10"/>
  <c r="CC27" i="2"/>
  <c r="CR8" i="2"/>
  <c r="CR7" i="2"/>
  <c r="CR10" i="2"/>
  <c r="CQ4" i="2"/>
  <c r="CR11" i="2"/>
  <c r="CR9" i="2"/>
  <c r="CR6" i="2"/>
  <c r="CQ5" i="2"/>
  <c r="CE25" i="10" l="1"/>
  <c r="CD25" i="2"/>
  <c r="CE37" i="10"/>
  <c r="CD37" i="2"/>
  <c r="CE62" i="10"/>
  <c r="CD62" i="2"/>
  <c r="CE56" i="10"/>
  <c r="CD56" i="2"/>
  <c r="CE70" i="10"/>
  <c r="CD70" i="2"/>
  <c r="CE38" i="10"/>
  <c r="CD38" i="2"/>
  <c r="CE72" i="10"/>
  <c r="CD72" i="2"/>
  <c r="CE77" i="10"/>
  <c r="CD77" i="2"/>
  <c r="CG16" i="10"/>
  <c r="CF16" i="2"/>
  <c r="CE80" i="10"/>
  <c r="CD80" i="2"/>
  <c r="CE28" i="10"/>
  <c r="CD28" i="2"/>
  <c r="CE66" i="10"/>
  <c r="CD66" i="2"/>
  <c r="CE76" i="10"/>
  <c r="CD76" i="2"/>
  <c r="CE47" i="10"/>
  <c r="CD47" i="2"/>
  <c r="CE44" i="10"/>
  <c r="CD44" i="2"/>
  <c r="CG15" i="10"/>
  <c r="CF15" i="2"/>
  <c r="CG21" i="10"/>
  <c r="CF21" i="2"/>
  <c r="CE74" i="10"/>
  <c r="CD74" i="2"/>
  <c r="CE22" i="10"/>
  <c r="CD22" i="2"/>
  <c r="CE48" i="10"/>
  <c r="CD48" i="2"/>
  <c r="CE81" i="10"/>
  <c r="CE82" i="10"/>
  <c r="CD81" i="2"/>
  <c r="CE79" i="10"/>
  <c r="CD79" i="2"/>
  <c r="CE42" i="10"/>
  <c r="CD42" i="2"/>
  <c r="CE50" i="10"/>
  <c r="CD50" i="2"/>
  <c r="CG19" i="10"/>
  <c r="CF19" i="2"/>
  <c r="CE53" i="10"/>
  <c r="CD53" i="2"/>
  <c r="CE40" i="10"/>
  <c r="CD40" i="2"/>
  <c r="CE27" i="10"/>
  <c r="CD27" i="2"/>
  <c r="CE24" i="10"/>
  <c r="CD24" i="2"/>
  <c r="CG20" i="10"/>
  <c r="CF20" i="2"/>
  <c r="CE52" i="10"/>
  <c r="CD52" i="2"/>
  <c r="CE75" i="10"/>
  <c r="CD75" i="2"/>
  <c r="CE34" i="10"/>
  <c r="CD34" i="2"/>
  <c r="CE35" i="10"/>
  <c r="CD35" i="2"/>
  <c r="CE58" i="10"/>
  <c r="CD58" i="2"/>
  <c r="CE36" i="10"/>
  <c r="CD36" i="2"/>
  <c r="CE23" i="10"/>
  <c r="CD23" i="2"/>
  <c r="CE57" i="10"/>
  <c r="CD57" i="2"/>
  <c r="CE29" i="10"/>
  <c r="CD29" i="2"/>
  <c r="CE71" i="10"/>
  <c r="CD71" i="2"/>
  <c r="CE59" i="10"/>
  <c r="CD59" i="2"/>
  <c r="CE43" i="10"/>
  <c r="CD43" i="2"/>
  <c r="CE30" i="10"/>
  <c r="CD30" i="2"/>
  <c r="CE55" i="10"/>
  <c r="CD55" i="2"/>
  <c r="CE45" i="10"/>
  <c r="CD45" i="2"/>
  <c r="CG14" i="10"/>
  <c r="CF14" i="2"/>
  <c r="CG18" i="10"/>
  <c r="CF18" i="2"/>
  <c r="CE68" i="10"/>
  <c r="CD68" i="2"/>
  <c r="CE64" i="10"/>
  <c r="CD64" i="2"/>
  <c r="CE49" i="10"/>
  <c r="CD49" i="2"/>
  <c r="CE67" i="10"/>
  <c r="CD67" i="2"/>
  <c r="CE60" i="10"/>
  <c r="CD60" i="2"/>
  <c r="CE51" i="10"/>
  <c r="CD51" i="2"/>
  <c r="CE41" i="10"/>
  <c r="CD41" i="2"/>
  <c r="CE26" i="10"/>
  <c r="CD26" i="2"/>
  <c r="CE39" i="10"/>
  <c r="CD39" i="2"/>
  <c r="CG17" i="10"/>
  <c r="CF17" i="2"/>
  <c r="CE33" i="10"/>
  <c r="CD33" i="2"/>
  <c r="CE46" i="10"/>
  <c r="CD46" i="2"/>
  <c r="CE31" i="10"/>
  <c r="CD31" i="2"/>
  <c r="CE32" i="10"/>
  <c r="CD32" i="2"/>
  <c r="CE69" i="10"/>
  <c r="CD69" i="2"/>
  <c r="CE61" i="10"/>
  <c r="CD61" i="2"/>
  <c r="CE65" i="10"/>
  <c r="CD65" i="2"/>
  <c r="CE73" i="10"/>
  <c r="CD73" i="2"/>
  <c r="CE78" i="10"/>
  <c r="CD78" i="2"/>
  <c r="CE54" i="10"/>
  <c r="CD54" i="2"/>
  <c r="CE63" i="10"/>
  <c r="CD63" i="2"/>
  <c r="CQ13" i="10"/>
  <c r="CP13" i="2"/>
  <c r="CR12" i="10"/>
  <c r="CQ12" i="2"/>
  <c r="CR5" i="2"/>
  <c r="CS11" i="2"/>
  <c r="CR4" i="2"/>
  <c r="CS7" i="2"/>
  <c r="CS9" i="2"/>
  <c r="CS6" i="2"/>
  <c r="CS10" i="2"/>
  <c r="CS8" i="2"/>
  <c r="CF50" i="10" l="1"/>
  <c r="CE50" i="2"/>
  <c r="CF78" i="10"/>
  <c r="CE78" i="2"/>
  <c r="CF68" i="10"/>
  <c r="CE68" i="2"/>
  <c r="CH20" i="10"/>
  <c r="CG20" i="2"/>
  <c r="CF74" i="10"/>
  <c r="CE74" i="2"/>
  <c r="CF66" i="10"/>
  <c r="CE66" i="2"/>
  <c r="CF38" i="10"/>
  <c r="CE38" i="2"/>
  <c r="CF51" i="10"/>
  <c r="CE51" i="2"/>
  <c r="CS12" i="10"/>
  <c r="CR12" i="2"/>
  <c r="CH14" i="10"/>
  <c r="CG14" i="2"/>
  <c r="CF71" i="10"/>
  <c r="CE71" i="2"/>
  <c r="CF35" i="10"/>
  <c r="CE35" i="2"/>
  <c r="CF27" i="10"/>
  <c r="CE27" i="2"/>
  <c r="CF79" i="10"/>
  <c r="CE79" i="2"/>
  <c r="CF31" i="10"/>
  <c r="CE31" i="2"/>
  <c r="CF43" i="10"/>
  <c r="CE43" i="2"/>
  <c r="CF24" i="10"/>
  <c r="CE24" i="2"/>
  <c r="CF70" i="10"/>
  <c r="CE70" i="2"/>
  <c r="CH15" i="10"/>
  <c r="CG15" i="2"/>
  <c r="CF80" i="10"/>
  <c r="CE80" i="2"/>
  <c r="CF56" i="10"/>
  <c r="CE56" i="2"/>
  <c r="CH18" i="10"/>
  <c r="CG18" i="2"/>
  <c r="CR13" i="10"/>
  <c r="CQ13" i="2"/>
  <c r="CF61" i="10"/>
  <c r="CE61" i="2"/>
  <c r="CH17" i="10"/>
  <c r="CG17" i="2"/>
  <c r="CF67" i="10"/>
  <c r="CE67" i="2"/>
  <c r="CF45" i="10"/>
  <c r="CE45" i="2"/>
  <c r="CF29" i="10"/>
  <c r="CE29" i="2"/>
  <c r="CF34" i="10"/>
  <c r="CE34" i="2"/>
  <c r="CF40" i="10"/>
  <c r="CE40" i="2"/>
  <c r="CF83" i="10"/>
  <c r="CF82" i="10"/>
  <c r="CE82" i="2"/>
  <c r="CF59" i="10"/>
  <c r="CE59" i="2"/>
  <c r="CF28" i="10"/>
  <c r="CE28" i="2"/>
  <c r="CF81" i="10"/>
  <c r="CE81" i="2"/>
  <c r="CF44" i="10"/>
  <c r="CE44" i="2"/>
  <c r="CH16" i="10"/>
  <c r="CG16" i="2"/>
  <c r="CF62" i="10"/>
  <c r="CE62" i="2"/>
  <c r="CF65" i="10"/>
  <c r="CE65" i="2"/>
  <c r="CF63" i="10"/>
  <c r="CE63" i="2"/>
  <c r="CF69" i="10"/>
  <c r="CE69" i="2"/>
  <c r="CF39" i="10"/>
  <c r="CE39" i="2"/>
  <c r="CF49" i="10"/>
  <c r="CE49" i="2"/>
  <c r="CF55" i="10"/>
  <c r="CE55" i="2"/>
  <c r="CF57" i="10"/>
  <c r="CE57" i="2"/>
  <c r="CF75" i="10"/>
  <c r="CE75" i="2"/>
  <c r="CF53" i="10"/>
  <c r="CE53" i="2"/>
  <c r="CF58" i="10"/>
  <c r="CE58" i="2"/>
  <c r="CH21" i="10"/>
  <c r="CG21" i="2"/>
  <c r="CF33" i="10"/>
  <c r="CE33" i="2"/>
  <c r="CF48" i="10"/>
  <c r="CE48" i="2"/>
  <c r="CF47" i="10"/>
  <c r="CE47" i="2"/>
  <c r="CF77" i="10"/>
  <c r="CE77" i="2"/>
  <c r="CF37" i="10"/>
  <c r="CE37" i="2"/>
  <c r="CF54" i="10"/>
  <c r="CE54" i="2"/>
  <c r="CF26" i="10"/>
  <c r="CE26" i="2"/>
  <c r="CF64" i="10"/>
  <c r="CE64" i="2"/>
  <c r="CF30" i="10"/>
  <c r="CE30" i="2"/>
  <c r="CF23" i="10"/>
  <c r="CE23" i="2"/>
  <c r="CF52" i="10"/>
  <c r="CE52" i="2"/>
  <c r="CH19" i="10"/>
  <c r="CG19" i="2"/>
  <c r="CF41" i="10"/>
  <c r="CE41" i="2"/>
  <c r="CF36" i="10"/>
  <c r="CE36" i="2"/>
  <c r="CF73" i="10"/>
  <c r="CE73" i="2"/>
  <c r="CF46" i="10"/>
  <c r="CE46" i="2"/>
  <c r="CF42" i="10"/>
  <c r="CE42" i="2"/>
  <c r="CF60" i="10"/>
  <c r="CE60" i="2"/>
  <c r="CF32" i="10"/>
  <c r="CE32" i="2"/>
  <c r="CF22" i="10"/>
  <c r="CE22" i="2"/>
  <c r="CF76" i="10"/>
  <c r="CE76" i="2"/>
  <c r="CF72" i="10"/>
  <c r="CE72" i="2"/>
  <c r="CF25" i="10"/>
  <c r="CE25" i="2"/>
  <c r="CT10" i="2"/>
  <c r="CT9" i="2"/>
  <c r="CT11" i="2"/>
  <c r="CS5" i="2"/>
  <c r="CS4" i="2"/>
  <c r="CT6" i="2"/>
  <c r="CT8" i="2"/>
  <c r="CT7" i="2"/>
  <c r="CG37" i="10" l="1"/>
  <c r="CF37" i="2"/>
  <c r="CG60" i="10"/>
  <c r="CF60" i="2"/>
  <c r="CI19" i="10"/>
  <c r="CH19" i="2"/>
  <c r="CG54" i="10"/>
  <c r="CF54" i="2"/>
  <c r="CI21" i="10"/>
  <c r="CH21" i="2"/>
  <c r="CG49" i="10"/>
  <c r="CF49" i="2"/>
  <c r="CI16" i="10"/>
  <c r="CH16" i="2"/>
  <c r="CG42" i="10"/>
  <c r="CF42" i="2"/>
  <c r="CG39" i="10"/>
  <c r="CF39" i="2"/>
  <c r="CG40" i="10"/>
  <c r="CF40" i="2"/>
  <c r="CG61" i="10"/>
  <c r="CF61" i="2"/>
  <c r="CG70" i="10"/>
  <c r="CF70" i="2"/>
  <c r="CG35" i="10"/>
  <c r="CF35" i="2"/>
  <c r="CG66" i="10"/>
  <c r="CF66" i="2"/>
  <c r="CG44" i="10"/>
  <c r="CF44" i="2"/>
  <c r="CG34" i="10"/>
  <c r="CF34" i="2"/>
  <c r="CS13" i="10"/>
  <c r="CR13" i="2"/>
  <c r="CG24" i="10"/>
  <c r="CF24" i="2"/>
  <c r="CG71" i="10"/>
  <c r="CF71" i="2"/>
  <c r="CG74" i="10"/>
  <c r="CF74" i="2"/>
  <c r="CG52" i="10"/>
  <c r="CF52" i="2"/>
  <c r="CG72" i="10"/>
  <c r="CF72" i="2"/>
  <c r="CG23" i="10"/>
  <c r="CF23" i="2"/>
  <c r="CG53" i="10"/>
  <c r="CF53" i="2"/>
  <c r="CG29" i="10"/>
  <c r="CF29" i="2"/>
  <c r="CI18" i="10"/>
  <c r="CH18" i="2"/>
  <c r="CG43" i="10"/>
  <c r="CF43" i="2"/>
  <c r="CI14" i="10"/>
  <c r="CH14" i="2"/>
  <c r="CI20" i="10"/>
  <c r="CH20" i="2"/>
  <c r="CG69" i="10"/>
  <c r="CF69" i="2"/>
  <c r="CG73" i="10"/>
  <c r="CF73" i="2"/>
  <c r="CG63" i="10"/>
  <c r="CF63" i="2"/>
  <c r="CG28" i="10"/>
  <c r="CF28" i="2"/>
  <c r="CG81" i="10"/>
  <c r="CF81" i="2"/>
  <c r="CG45" i="10"/>
  <c r="CF45" i="2"/>
  <c r="CG56" i="10"/>
  <c r="CF56" i="2"/>
  <c r="CG31" i="10"/>
  <c r="CF31" i="2"/>
  <c r="CT12" i="10"/>
  <c r="CS12" i="2"/>
  <c r="CG68" i="10"/>
  <c r="CF68" i="2"/>
  <c r="CG47" i="10"/>
  <c r="CF47" i="2"/>
  <c r="CG22" i="10"/>
  <c r="CF22" i="2"/>
  <c r="CG36" i="10"/>
  <c r="CF36" i="2"/>
  <c r="CG64" i="10"/>
  <c r="CF64" i="2"/>
  <c r="CG48" i="10"/>
  <c r="CF48" i="2"/>
  <c r="CG57" i="10"/>
  <c r="CF57" i="2"/>
  <c r="CG65" i="10"/>
  <c r="CF65" i="2"/>
  <c r="CG59" i="10"/>
  <c r="CF59" i="2"/>
  <c r="CG76" i="10"/>
  <c r="CF76" i="2"/>
  <c r="CG67" i="10"/>
  <c r="CF67" i="2"/>
  <c r="CG80" i="10"/>
  <c r="CF80" i="2"/>
  <c r="CG79" i="10"/>
  <c r="CF79" i="2"/>
  <c r="CG51" i="10"/>
  <c r="CF51" i="2"/>
  <c r="CG78" i="10"/>
  <c r="CF78" i="2"/>
  <c r="CG30" i="10"/>
  <c r="CF30" i="2"/>
  <c r="CG32" i="10"/>
  <c r="CF32" i="2"/>
  <c r="CG26" i="10"/>
  <c r="CF26" i="2"/>
  <c r="CG82" i="10"/>
  <c r="CF82" i="2"/>
  <c r="CG25" i="10"/>
  <c r="CF25" i="2"/>
  <c r="CG58" i="10"/>
  <c r="CF58" i="2"/>
  <c r="CG46" i="10"/>
  <c r="CF46" i="2"/>
  <c r="CG77" i="10"/>
  <c r="CF77" i="2"/>
  <c r="CG75" i="10"/>
  <c r="CF75" i="2"/>
  <c r="CG41" i="10"/>
  <c r="CF41" i="2"/>
  <c r="CG33" i="10"/>
  <c r="CF33" i="2"/>
  <c r="CG55" i="10"/>
  <c r="CF55" i="2"/>
  <c r="CG62" i="10"/>
  <c r="CF62" i="2"/>
  <c r="CG83" i="10"/>
  <c r="CG84" i="10"/>
  <c r="CF83" i="2"/>
  <c r="CI17" i="10"/>
  <c r="CH17" i="2"/>
  <c r="CI15" i="10"/>
  <c r="CH15" i="2"/>
  <c r="CG27" i="10"/>
  <c r="CF27" i="2"/>
  <c r="CG38" i="10"/>
  <c r="CF38" i="2"/>
  <c r="CG50" i="10"/>
  <c r="CF50" i="2"/>
  <c r="CU6" i="2"/>
  <c r="CU11" i="2"/>
  <c r="CU8" i="2"/>
  <c r="CU7" i="2"/>
  <c r="CU9" i="2"/>
  <c r="CT4" i="2"/>
  <c r="CT5" i="2"/>
  <c r="CU10" i="2"/>
  <c r="CH36" i="10" l="1"/>
  <c r="CG36" i="2"/>
  <c r="CH49" i="10"/>
  <c r="CG49" i="2"/>
  <c r="CH55" i="10"/>
  <c r="CG55" i="2"/>
  <c r="CH58" i="10"/>
  <c r="CG58" i="2"/>
  <c r="CH78" i="10"/>
  <c r="CG78" i="2"/>
  <c r="CH59" i="10"/>
  <c r="CG59" i="2"/>
  <c r="CH22" i="10"/>
  <c r="CG22" i="2"/>
  <c r="CH45" i="10"/>
  <c r="CG45" i="2"/>
  <c r="CJ20" i="10"/>
  <c r="CI20" i="2"/>
  <c r="CH23" i="10"/>
  <c r="CG23" i="2"/>
  <c r="CT13" i="10"/>
  <c r="CS13" i="2"/>
  <c r="CH61" i="10"/>
  <c r="CG61" i="2"/>
  <c r="CJ21" i="10"/>
  <c r="CI21" i="2"/>
  <c r="CH27" i="10"/>
  <c r="CG27" i="2"/>
  <c r="CH69" i="10"/>
  <c r="CG69" i="2"/>
  <c r="CH33" i="10"/>
  <c r="CG33" i="2"/>
  <c r="CH25" i="10"/>
  <c r="CG25" i="2"/>
  <c r="CH51" i="10"/>
  <c r="CG51" i="2"/>
  <c r="CH65" i="10"/>
  <c r="CG65" i="2"/>
  <c r="CH47" i="10"/>
  <c r="CG47" i="2"/>
  <c r="CH81" i="10"/>
  <c r="CG81" i="2"/>
  <c r="CJ14" i="10"/>
  <c r="CI14" i="2"/>
  <c r="CH72" i="10"/>
  <c r="CG72" i="2"/>
  <c r="CH34" i="10"/>
  <c r="CG34" i="2"/>
  <c r="CH40" i="10"/>
  <c r="CG40" i="2"/>
  <c r="CH54" i="10"/>
  <c r="CG54" i="2"/>
  <c r="CH56" i="10"/>
  <c r="CG56" i="2"/>
  <c r="CH41" i="10"/>
  <c r="CG41" i="2"/>
  <c r="CH79" i="10"/>
  <c r="CG79" i="2"/>
  <c r="CH57" i="10"/>
  <c r="CG57" i="2"/>
  <c r="CH68" i="10"/>
  <c r="CG68" i="2"/>
  <c r="CH28" i="10"/>
  <c r="CG28" i="2"/>
  <c r="CH43" i="10"/>
  <c r="CG43" i="2"/>
  <c r="CH52" i="10"/>
  <c r="CG52" i="2"/>
  <c r="CH44" i="10"/>
  <c r="CG44" i="2"/>
  <c r="CH39" i="10"/>
  <c r="CG39" i="2"/>
  <c r="CJ19" i="10"/>
  <c r="CI19" i="2"/>
  <c r="CH62" i="10"/>
  <c r="CG62" i="2"/>
  <c r="CH76" i="10"/>
  <c r="CG76" i="2"/>
  <c r="CJ17" i="10"/>
  <c r="CI17" i="2"/>
  <c r="CH46" i="10"/>
  <c r="CG46" i="2"/>
  <c r="CH30" i="10"/>
  <c r="CG30" i="2"/>
  <c r="CH24" i="10"/>
  <c r="CG24" i="2"/>
  <c r="CH38" i="10"/>
  <c r="CG38" i="2"/>
  <c r="CH75" i="10"/>
  <c r="CG75" i="2"/>
  <c r="CH26" i="10"/>
  <c r="CG26" i="2"/>
  <c r="CH80" i="10"/>
  <c r="CG80" i="2"/>
  <c r="CH48" i="10"/>
  <c r="CG48" i="2"/>
  <c r="CU12" i="10"/>
  <c r="CT12" i="2"/>
  <c r="CH63" i="10"/>
  <c r="CG63" i="2"/>
  <c r="CJ18" i="10"/>
  <c r="CI18" i="2"/>
  <c r="CH74" i="10"/>
  <c r="CG74" i="2"/>
  <c r="CH66" i="10"/>
  <c r="CG66" i="2"/>
  <c r="CH42" i="10"/>
  <c r="CG42" i="2"/>
  <c r="CH60" i="10"/>
  <c r="CG60" i="2"/>
  <c r="CH50" i="10"/>
  <c r="CG50" i="2"/>
  <c r="CH53" i="10"/>
  <c r="CG53" i="2"/>
  <c r="CH82" i="10"/>
  <c r="CG82" i="2"/>
  <c r="CH85" i="10"/>
  <c r="CH84" i="10"/>
  <c r="CG84" i="2"/>
  <c r="CH70" i="10"/>
  <c r="CG70" i="2"/>
  <c r="CJ15" i="10"/>
  <c r="CI15" i="2"/>
  <c r="CH83" i="10"/>
  <c r="CG83" i="2"/>
  <c r="CH77" i="10"/>
  <c r="CG77" i="2"/>
  <c r="CH32" i="10"/>
  <c r="CG32" i="2"/>
  <c r="CH67" i="10"/>
  <c r="CG67" i="2"/>
  <c r="CH64" i="10"/>
  <c r="CG64" i="2"/>
  <c r="CH31" i="10"/>
  <c r="CG31" i="2"/>
  <c r="CH73" i="10"/>
  <c r="CG73" i="2"/>
  <c r="CH29" i="10"/>
  <c r="CG29" i="2"/>
  <c r="CH71" i="10"/>
  <c r="CG71" i="2"/>
  <c r="CH35" i="10"/>
  <c r="CG35" i="2"/>
  <c r="CJ16" i="10"/>
  <c r="CI16" i="2"/>
  <c r="CH37" i="10"/>
  <c r="CG37" i="2"/>
  <c r="CV8" i="2"/>
  <c r="CU4" i="2"/>
  <c r="CV6" i="2"/>
  <c r="CU5" i="2"/>
  <c r="CV7" i="2"/>
  <c r="CV11" i="2"/>
  <c r="CV10" i="2"/>
  <c r="CV9" i="2"/>
  <c r="CI67" i="10" l="1"/>
  <c r="CH67" i="2"/>
  <c r="CK16" i="10"/>
  <c r="CJ16" i="2"/>
  <c r="CI64" i="10"/>
  <c r="CH64" i="2"/>
  <c r="CI70" i="10"/>
  <c r="CH70" i="2"/>
  <c r="CI42" i="10"/>
  <c r="CH42" i="2"/>
  <c r="CI48" i="10"/>
  <c r="CH48" i="2"/>
  <c r="CI30" i="10"/>
  <c r="CH30" i="2"/>
  <c r="CI39" i="10"/>
  <c r="CH39" i="2"/>
  <c r="CI57" i="10"/>
  <c r="CH57" i="2"/>
  <c r="CI34" i="10"/>
  <c r="CH34" i="2"/>
  <c r="CI51" i="10"/>
  <c r="CH51" i="2"/>
  <c r="CI61" i="10"/>
  <c r="CH61" i="2"/>
  <c r="CI59" i="10"/>
  <c r="CH59" i="2"/>
  <c r="CI84" i="10"/>
  <c r="CH84" i="2"/>
  <c r="CI44" i="10"/>
  <c r="CH44" i="2"/>
  <c r="CI71" i="10"/>
  <c r="CH71" i="2"/>
  <c r="CI32" i="10"/>
  <c r="CH32" i="2"/>
  <c r="CI78" i="10"/>
  <c r="CH78" i="2"/>
  <c r="CI82" i="10"/>
  <c r="CH82" i="2"/>
  <c r="CI74" i="10"/>
  <c r="CH74" i="2"/>
  <c r="CI26" i="10"/>
  <c r="CH26" i="2"/>
  <c r="CK17" i="10"/>
  <c r="CJ17" i="2"/>
  <c r="CI52" i="10"/>
  <c r="CH52" i="2"/>
  <c r="CI41" i="10"/>
  <c r="CH41" i="2"/>
  <c r="CK14" i="10"/>
  <c r="CJ14" i="2"/>
  <c r="CI33" i="10"/>
  <c r="CH33" i="2"/>
  <c r="CI23" i="10"/>
  <c r="CH23" i="2"/>
  <c r="CI58" i="10"/>
  <c r="CH58" i="2"/>
  <c r="CI85" i="10"/>
  <c r="CI86" i="10"/>
  <c r="CH85" i="2"/>
  <c r="CI80" i="10"/>
  <c r="CH80" i="2"/>
  <c r="CI46" i="10"/>
  <c r="CH46" i="2"/>
  <c r="CI72" i="10"/>
  <c r="CH72" i="2"/>
  <c r="CI29" i="10"/>
  <c r="CH29" i="2"/>
  <c r="CI77" i="10"/>
  <c r="CH77" i="2"/>
  <c r="CI66" i="10"/>
  <c r="CH66" i="2"/>
  <c r="CI79" i="10"/>
  <c r="CH79" i="2"/>
  <c r="CI53" i="10"/>
  <c r="CH53" i="2"/>
  <c r="CK18" i="10"/>
  <c r="CJ18" i="2"/>
  <c r="CI75" i="10"/>
  <c r="CH75" i="2"/>
  <c r="CI76" i="10"/>
  <c r="CH76" i="2"/>
  <c r="CI43" i="10"/>
  <c r="CH43" i="2"/>
  <c r="CI56" i="10"/>
  <c r="CH56" i="2"/>
  <c r="CI81" i="10"/>
  <c r="CH81" i="2"/>
  <c r="CI69" i="10"/>
  <c r="CH69" i="2"/>
  <c r="CK20" i="10"/>
  <c r="CJ20" i="2"/>
  <c r="CI55" i="10"/>
  <c r="CH55" i="2"/>
  <c r="CI35" i="10"/>
  <c r="CH35" i="2"/>
  <c r="CI83" i="10"/>
  <c r="CH83" i="2"/>
  <c r="CU13" i="10"/>
  <c r="CT13" i="2"/>
  <c r="CI50" i="10"/>
  <c r="CH50" i="2"/>
  <c r="CI63" i="10"/>
  <c r="CH63" i="2"/>
  <c r="CI38" i="10"/>
  <c r="CH38" i="2"/>
  <c r="CI62" i="10"/>
  <c r="CH62" i="2"/>
  <c r="CI28" i="10"/>
  <c r="CH28" i="2"/>
  <c r="CI54" i="10"/>
  <c r="CH54" i="2"/>
  <c r="CI47" i="10"/>
  <c r="CH47" i="2"/>
  <c r="CI27" i="10"/>
  <c r="CH27" i="2"/>
  <c r="CI45" i="10"/>
  <c r="CH45" i="2"/>
  <c r="CI49" i="10"/>
  <c r="CH49" i="2"/>
  <c r="CI25" i="10"/>
  <c r="CH25" i="2"/>
  <c r="CI73" i="10"/>
  <c r="CH73" i="2"/>
  <c r="CI31" i="10"/>
  <c r="CH31" i="2"/>
  <c r="CI37" i="10"/>
  <c r="CH37" i="2"/>
  <c r="CK15" i="10"/>
  <c r="CJ15" i="2"/>
  <c r="CI60" i="10"/>
  <c r="CH60" i="2"/>
  <c r="CV12" i="10"/>
  <c r="CU12" i="2"/>
  <c r="CI24" i="10"/>
  <c r="CH24" i="2"/>
  <c r="CK19" i="10"/>
  <c r="CJ19" i="2"/>
  <c r="CI68" i="10"/>
  <c r="CH68" i="2"/>
  <c r="CI40" i="10"/>
  <c r="CH40" i="2"/>
  <c r="CI65" i="10"/>
  <c r="CH65" i="2"/>
  <c r="CK21" i="10"/>
  <c r="CJ21" i="2"/>
  <c r="CI22" i="10"/>
  <c r="CH22" i="2"/>
  <c r="CI36" i="10"/>
  <c r="CH36" i="2"/>
  <c r="CW10" i="2"/>
  <c r="CW6" i="2"/>
  <c r="CW11" i="2"/>
  <c r="CW7" i="2"/>
  <c r="CW9" i="2"/>
  <c r="CV5" i="2"/>
  <c r="CV4" i="2"/>
  <c r="CW8" i="2"/>
  <c r="CW12" i="10" l="1"/>
  <c r="CV12" i="2"/>
  <c r="CJ83" i="10"/>
  <c r="CI83" i="2"/>
  <c r="CJ80" i="10"/>
  <c r="CI80" i="2"/>
  <c r="CJ41" i="10"/>
  <c r="CI41" i="2"/>
  <c r="CJ78" i="10"/>
  <c r="CI78" i="2"/>
  <c r="CJ61" i="10"/>
  <c r="CI61" i="2"/>
  <c r="CJ48" i="10"/>
  <c r="CI48" i="2"/>
  <c r="CJ35" i="10"/>
  <c r="CI35" i="2"/>
  <c r="CL21" i="10"/>
  <c r="CK21" i="2"/>
  <c r="CJ28" i="10"/>
  <c r="CI28" i="2"/>
  <c r="CJ56" i="10"/>
  <c r="CI56" i="2"/>
  <c r="CJ79" i="10"/>
  <c r="CI79" i="2"/>
  <c r="CJ43" i="10"/>
  <c r="CI43" i="2"/>
  <c r="CL15" i="10"/>
  <c r="CK15" i="2"/>
  <c r="CJ45" i="10"/>
  <c r="CI45" i="2"/>
  <c r="CJ38" i="10"/>
  <c r="CI38" i="2"/>
  <c r="CJ55" i="10"/>
  <c r="CI55" i="2"/>
  <c r="CJ76" i="10"/>
  <c r="CI76" i="2"/>
  <c r="CJ77" i="10"/>
  <c r="CI77" i="2"/>
  <c r="CJ51" i="10"/>
  <c r="CI51" i="2"/>
  <c r="CJ58" i="10"/>
  <c r="CI58" i="2"/>
  <c r="CL17" i="10"/>
  <c r="CK17" i="2"/>
  <c r="CJ71" i="10"/>
  <c r="CI71" i="2"/>
  <c r="CJ34" i="10"/>
  <c r="CI34" i="2"/>
  <c r="CJ70" i="10"/>
  <c r="CI70" i="2"/>
  <c r="CJ32" i="10"/>
  <c r="CI32" i="2"/>
  <c r="CJ68" i="10"/>
  <c r="CI68" i="2"/>
  <c r="CJ37" i="10"/>
  <c r="CI37" i="2"/>
  <c r="CJ27" i="10"/>
  <c r="CI27" i="2"/>
  <c r="CJ63" i="10"/>
  <c r="CI63" i="2"/>
  <c r="CL20" i="10"/>
  <c r="CK20" i="2"/>
  <c r="CJ75" i="10"/>
  <c r="CI75" i="2"/>
  <c r="CJ29" i="10"/>
  <c r="CI29" i="2"/>
  <c r="CJ25" i="10"/>
  <c r="CI25" i="2"/>
  <c r="CJ49" i="10"/>
  <c r="CI49" i="2"/>
  <c r="CJ52" i="10"/>
  <c r="CI52" i="2"/>
  <c r="CJ23" i="10"/>
  <c r="CI23" i="2"/>
  <c r="CJ26" i="10"/>
  <c r="CI26" i="2"/>
  <c r="CJ44" i="10"/>
  <c r="CI44" i="2"/>
  <c r="CJ57" i="10"/>
  <c r="CI57" i="2"/>
  <c r="CJ64" i="10"/>
  <c r="CI64" i="2"/>
  <c r="CJ60" i="10"/>
  <c r="CI60" i="2"/>
  <c r="CJ66" i="10"/>
  <c r="CI66" i="2"/>
  <c r="CJ85" i="10"/>
  <c r="CI85" i="2"/>
  <c r="CJ36" i="10"/>
  <c r="CI36" i="2"/>
  <c r="CL19" i="10"/>
  <c r="CK19" i="2"/>
  <c r="CJ31" i="10"/>
  <c r="CI31" i="2"/>
  <c r="CJ47" i="10"/>
  <c r="CI47" i="2"/>
  <c r="CJ50" i="10"/>
  <c r="CI50" i="2"/>
  <c r="CJ69" i="10"/>
  <c r="CI69" i="2"/>
  <c r="CL18" i="10"/>
  <c r="CK18" i="2"/>
  <c r="CJ72" i="10"/>
  <c r="CI72" i="2"/>
  <c r="CJ65" i="10"/>
  <c r="CI65" i="2"/>
  <c r="CJ87" i="10"/>
  <c r="CJ86" i="10"/>
  <c r="CI86" i="2"/>
  <c r="CJ40" i="10"/>
  <c r="CI40" i="2"/>
  <c r="CJ33" i="10"/>
  <c r="CI33" i="2"/>
  <c r="CJ74" i="10"/>
  <c r="CI74" i="2"/>
  <c r="CJ84" i="10"/>
  <c r="CI84" i="2"/>
  <c r="CJ39" i="10"/>
  <c r="CI39" i="2"/>
  <c r="CL16" i="10"/>
  <c r="CK16" i="2"/>
  <c r="CJ62" i="10"/>
  <c r="CI62" i="2"/>
  <c r="CJ42" i="10"/>
  <c r="CI42" i="2"/>
  <c r="CJ24" i="10"/>
  <c r="CI24" i="2"/>
  <c r="CJ54" i="10"/>
  <c r="CI54" i="2"/>
  <c r="CV13" i="10"/>
  <c r="CU13" i="2"/>
  <c r="CJ81" i="10"/>
  <c r="CI81" i="2"/>
  <c r="CJ53" i="10"/>
  <c r="CI53" i="2"/>
  <c r="CJ46" i="10"/>
  <c r="CI46" i="2"/>
  <c r="CJ22" i="10"/>
  <c r="CI22" i="2"/>
  <c r="CJ73" i="10"/>
  <c r="CI73" i="2"/>
  <c r="CL14" i="10"/>
  <c r="CK14" i="2"/>
  <c r="CJ82" i="10"/>
  <c r="CI82" i="2"/>
  <c r="CJ59" i="10"/>
  <c r="CI59" i="2"/>
  <c r="CJ30" i="10"/>
  <c r="CI30" i="2"/>
  <c r="CJ67" i="10"/>
  <c r="CI67" i="2"/>
  <c r="CW4" i="2"/>
  <c r="CX10" i="2"/>
  <c r="CX7" i="2"/>
  <c r="CW5" i="2"/>
  <c r="CX11" i="2"/>
  <c r="CX9" i="2"/>
  <c r="CX8" i="2"/>
  <c r="CX6" i="2"/>
  <c r="CM14" i="10" l="1"/>
  <c r="CL14" i="2"/>
  <c r="CK76" i="10"/>
  <c r="CJ76" i="2"/>
  <c r="CK64" i="10"/>
  <c r="CJ64" i="2"/>
  <c r="CK27" i="10"/>
  <c r="CJ27" i="2"/>
  <c r="CK71" i="10"/>
  <c r="CJ71" i="2"/>
  <c r="CK55" i="10"/>
  <c r="CJ55" i="2"/>
  <c r="CK56" i="10"/>
  <c r="CJ56" i="2"/>
  <c r="CK78" i="10"/>
  <c r="CJ78" i="2"/>
  <c r="CK31" i="10"/>
  <c r="CJ31" i="2"/>
  <c r="CK73" i="10"/>
  <c r="CJ73" i="2"/>
  <c r="CK54" i="10"/>
  <c r="CJ54" i="2"/>
  <c r="CK84" i="10"/>
  <c r="CJ84" i="2"/>
  <c r="CK72" i="10"/>
  <c r="CJ72" i="2"/>
  <c r="CM19" i="10"/>
  <c r="CL19" i="2"/>
  <c r="CK57" i="10"/>
  <c r="CJ57" i="2"/>
  <c r="CK25" i="10"/>
  <c r="CJ25" i="2"/>
  <c r="CK37" i="10"/>
  <c r="CJ37" i="2"/>
  <c r="CM17" i="10"/>
  <c r="CL17" i="2"/>
  <c r="CK38" i="10"/>
  <c r="CJ38" i="2"/>
  <c r="CK28" i="10"/>
  <c r="CJ28" i="2"/>
  <c r="CK41" i="10"/>
  <c r="CJ41" i="2"/>
  <c r="CK82" i="10"/>
  <c r="CJ82" i="2"/>
  <c r="CK39" i="10"/>
  <c r="CJ39" i="2"/>
  <c r="CK22" i="10"/>
  <c r="CJ22" i="2"/>
  <c r="CK24" i="10"/>
  <c r="CJ24" i="2"/>
  <c r="CK74" i="10"/>
  <c r="CJ74" i="2"/>
  <c r="CW13" i="10"/>
  <c r="CV13" i="2"/>
  <c r="CK49" i="10"/>
  <c r="CJ49" i="2"/>
  <c r="CM18" i="10"/>
  <c r="CL18" i="2"/>
  <c r="CK36" i="10"/>
  <c r="CJ36" i="2"/>
  <c r="CK44" i="10"/>
  <c r="CJ44" i="2"/>
  <c r="CK29" i="10"/>
  <c r="CJ29" i="2"/>
  <c r="CK68" i="10"/>
  <c r="CJ68" i="2"/>
  <c r="CK58" i="10"/>
  <c r="CJ58" i="2"/>
  <c r="CK45" i="10"/>
  <c r="CJ45" i="2"/>
  <c r="CM21" i="10"/>
  <c r="CL21" i="2"/>
  <c r="CK80" i="10"/>
  <c r="CJ80" i="2"/>
  <c r="CK81" i="10"/>
  <c r="CJ81" i="2"/>
  <c r="CK63" i="10"/>
  <c r="CJ63" i="2"/>
  <c r="CK30" i="10"/>
  <c r="CJ30" i="2"/>
  <c r="CK46" i="10"/>
  <c r="CJ46" i="2"/>
  <c r="CK42" i="10"/>
  <c r="CJ42" i="2"/>
  <c r="CK33" i="10"/>
  <c r="CJ33" i="2"/>
  <c r="CM16" i="10"/>
  <c r="CL16" i="2"/>
  <c r="CK87" i="10"/>
  <c r="CK88" i="10"/>
  <c r="CJ87" i="2"/>
  <c r="CK47" i="10"/>
  <c r="CJ47" i="2"/>
  <c r="CK60" i="10"/>
  <c r="CJ60" i="2"/>
  <c r="CK52" i="10"/>
  <c r="CJ52" i="2"/>
  <c r="CK79" i="10"/>
  <c r="CJ79" i="2"/>
  <c r="CK69" i="10"/>
  <c r="CJ69" i="2"/>
  <c r="CK85" i="10"/>
  <c r="CJ85" i="2"/>
  <c r="CK26" i="10"/>
  <c r="CJ26" i="2"/>
  <c r="CK75" i="10"/>
  <c r="CJ75" i="2"/>
  <c r="CK32" i="10"/>
  <c r="CJ32" i="2"/>
  <c r="CK51" i="10"/>
  <c r="CJ51" i="2"/>
  <c r="CM15" i="10"/>
  <c r="CL15" i="2"/>
  <c r="CK35" i="10"/>
  <c r="CJ35" i="2"/>
  <c r="CK83" i="10"/>
  <c r="CJ83" i="2"/>
  <c r="CK86" i="10"/>
  <c r="CJ86" i="2"/>
  <c r="CK34" i="10"/>
  <c r="CJ34" i="2"/>
  <c r="CK59" i="10"/>
  <c r="CJ59" i="2"/>
  <c r="CK53" i="10"/>
  <c r="CJ53" i="2"/>
  <c r="CK62" i="10"/>
  <c r="CJ62" i="2"/>
  <c r="CK40" i="10"/>
  <c r="CJ40" i="2"/>
  <c r="CK61" i="10"/>
  <c r="CJ61" i="2"/>
  <c r="CK65" i="10"/>
  <c r="CJ65" i="2"/>
  <c r="CK67" i="10"/>
  <c r="CJ67" i="2"/>
  <c r="CK50" i="10"/>
  <c r="CJ50" i="2"/>
  <c r="CK66" i="10"/>
  <c r="CJ66" i="2"/>
  <c r="CK23" i="10"/>
  <c r="CJ23" i="2"/>
  <c r="CM20" i="10"/>
  <c r="CL20" i="2"/>
  <c r="CK70" i="10"/>
  <c r="CJ70" i="2"/>
  <c r="CK77" i="10"/>
  <c r="CJ77" i="2"/>
  <c r="CK43" i="10"/>
  <c r="CJ43" i="2"/>
  <c r="CK48" i="10"/>
  <c r="CJ48" i="2"/>
  <c r="CX12" i="10"/>
  <c r="CW12" i="2"/>
  <c r="CY6" i="2"/>
  <c r="CY9" i="2"/>
  <c r="CX5" i="2"/>
  <c r="CY11" i="2"/>
  <c r="CY7" i="2"/>
  <c r="CY10" i="2"/>
  <c r="CX4" i="2"/>
  <c r="CY8" i="2"/>
  <c r="CL52" i="10" l="1"/>
  <c r="CK52" i="2"/>
  <c r="CL42" i="10"/>
  <c r="CK42" i="2"/>
  <c r="CN21" i="10"/>
  <c r="CM21" i="2"/>
  <c r="CL36" i="10"/>
  <c r="CK36" i="2"/>
  <c r="CL22" i="10"/>
  <c r="CK22" i="2"/>
  <c r="CL84" i="10"/>
  <c r="CK84" i="2"/>
  <c r="CN17" i="10"/>
  <c r="CM17" i="2"/>
  <c r="CN20" i="10"/>
  <c r="CM20" i="2"/>
  <c r="CL86" i="10"/>
  <c r="CK86" i="2"/>
  <c r="CL60" i="10"/>
  <c r="CK60" i="2"/>
  <c r="CL55" i="10"/>
  <c r="CK55" i="2"/>
  <c r="CL61" i="10"/>
  <c r="CK61" i="2"/>
  <c r="CL75" i="10"/>
  <c r="CK75" i="2"/>
  <c r="CL46" i="10"/>
  <c r="CK46" i="2"/>
  <c r="CL45" i="10"/>
  <c r="CK45" i="2"/>
  <c r="CN18" i="10"/>
  <c r="CM18" i="2"/>
  <c r="CL39" i="10"/>
  <c r="CK39" i="2"/>
  <c r="CL37" i="10"/>
  <c r="CK37" i="2"/>
  <c r="CL54" i="10"/>
  <c r="CK54" i="2"/>
  <c r="CL71" i="10"/>
  <c r="CK71" i="2"/>
  <c r="CL34" i="10"/>
  <c r="CK34" i="2"/>
  <c r="CY12" i="10"/>
  <c r="CX12" i="2"/>
  <c r="CL23" i="10"/>
  <c r="CK23" i="2"/>
  <c r="CL40" i="10"/>
  <c r="CK40" i="2"/>
  <c r="CL83" i="10"/>
  <c r="CK83" i="2"/>
  <c r="CL26" i="10"/>
  <c r="CK26" i="2"/>
  <c r="CL47" i="10"/>
  <c r="CK47" i="2"/>
  <c r="CL30" i="10"/>
  <c r="CK30" i="2"/>
  <c r="CL58" i="10"/>
  <c r="CK58" i="2"/>
  <c r="CL49" i="10"/>
  <c r="CK49" i="2"/>
  <c r="CL82" i="10"/>
  <c r="CK82" i="2"/>
  <c r="CL25" i="10"/>
  <c r="CK25" i="2"/>
  <c r="CL73" i="10"/>
  <c r="CK73" i="2"/>
  <c r="CL27" i="10"/>
  <c r="CK27" i="2"/>
  <c r="CL70" i="10"/>
  <c r="CK70" i="2"/>
  <c r="CL66" i="10"/>
  <c r="CK66" i="2"/>
  <c r="CL87" i="10"/>
  <c r="CK87" i="2"/>
  <c r="CL63" i="10"/>
  <c r="CK63" i="2"/>
  <c r="CL68" i="10"/>
  <c r="CK68" i="2"/>
  <c r="CX13" i="10"/>
  <c r="CW13" i="2"/>
  <c r="CL41" i="10"/>
  <c r="CK41" i="2"/>
  <c r="CL57" i="10"/>
  <c r="CK57" i="2"/>
  <c r="CL31" i="10"/>
  <c r="CK31" i="2"/>
  <c r="CL64" i="10"/>
  <c r="CK64" i="2"/>
  <c r="CL85" i="10"/>
  <c r="CK85" i="2"/>
  <c r="CL43" i="10"/>
  <c r="CK43" i="2"/>
  <c r="CL50" i="10"/>
  <c r="CK50" i="2"/>
  <c r="CL53" i="10"/>
  <c r="CK53" i="2"/>
  <c r="CN15" i="10"/>
  <c r="CM15" i="2"/>
  <c r="CL69" i="10"/>
  <c r="CK69" i="2"/>
  <c r="CL32" i="10"/>
  <c r="CK32" i="2"/>
  <c r="CL48" i="10"/>
  <c r="CK48" i="2"/>
  <c r="CL88" i="10"/>
  <c r="CL89" i="10"/>
  <c r="CK88" i="2"/>
  <c r="CN16" i="10"/>
  <c r="CM16" i="2"/>
  <c r="CL81" i="10"/>
  <c r="CK81" i="2"/>
  <c r="CL29" i="10"/>
  <c r="CK29" i="2"/>
  <c r="CL74" i="10"/>
  <c r="CK74" i="2"/>
  <c r="CL28" i="10"/>
  <c r="CK28" i="2"/>
  <c r="CN19" i="10"/>
  <c r="CM19" i="2"/>
  <c r="CL78" i="10"/>
  <c r="CK78" i="2"/>
  <c r="CL76" i="10"/>
  <c r="CK76" i="2"/>
  <c r="CL35" i="10"/>
  <c r="CK35" i="2"/>
  <c r="CL77" i="10"/>
  <c r="CK77" i="2"/>
  <c r="CL67" i="10"/>
  <c r="CK67" i="2"/>
  <c r="CL59" i="10"/>
  <c r="CK59" i="2"/>
  <c r="CL79" i="10"/>
  <c r="CK79" i="2"/>
  <c r="CL65" i="10"/>
  <c r="CK65" i="2"/>
  <c r="CL62" i="10"/>
  <c r="CK62" i="2"/>
  <c r="CL51" i="10"/>
  <c r="CK51" i="2"/>
  <c r="CL33" i="10"/>
  <c r="CK33" i="2"/>
  <c r="CL80" i="10"/>
  <c r="CK80" i="2"/>
  <c r="CL44" i="10"/>
  <c r="CK44" i="2"/>
  <c r="CL24" i="10"/>
  <c r="CK24" i="2"/>
  <c r="CL38" i="10"/>
  <c r="CK38" i="2"/>
  <c r="CL72" i="10"/>
  <c r="CK72" i="2"/>
  <c r="CL56" i="10"/>
  <c r="CK56" i="2"/>
  <c r="CN14" i="10"/>
  <c r="CM14" i="2"/>
  <c r="CY4" i="2"/>
  <c r="CZ10" i="2"/>
  <c r="CZ6" i="2"/>
  <c r="CZ8" i="2"/>
  <c r="CZ9" i="2"/>
  <c r="CZ7" i="2"/>
  <c r="CZ11" i="2"/>
  <c r="CY5" i="2"/>
  <c r="CM44" i="10" l="1"/>
  <c r="CL44" i="2"/>
  <c r="CM79" i="10"/>
  <c r="CL79" i="2"/>
  <c r="CM78" i="10"/>
  <c r="CL78" i="2"/>
  <c r="CO16" i="10"/>
  <c r="CN16" i="2"/>
  <c r="CM53" i="10"/>
  <c r="CL53" i="2"/>
  <c r="CM57" i="10"/>
  <c r="CL57" i="2"/>
  <c r="CM66" i="10"/>
  <c r="CL66" i="2"/>
  <c r="CM49" i="10"/>
  <c r="CL49" i="2"/>
  <c r="CM40" i="10"/>
  <c r="CL40" i="2"/>
  <c r="CM37" i="10"/>
  <c r="CL37" i="2"/>
  <c r="CM61" i="10"/>
  <c r="CL61" i="2"/>
  <c r="CM84" i="10"/>
  <c r="CL84" i="2"/>
  <c r="CM90" i="10"/>
  <c r="CM89" i="10"/>
  <c r="CL89" i="2"/>
  <c r="CO14" i="10"/>
  <c r="CN14" i="2"/>
  <c r="CM80" i="10"/>
  <c r="CL80" i="2"/>
  <c r="CO19" i="10"/>
  <c r="CN19" i="2"/>
  <c r="CM88" i="10"/>
  <c r="CL88" i="2"/>
  <c r="CM41" i="10"/>
  <c r="CL41" i="2"/>
  <c r="CM70" i="10"/>
  <c r="CL70" i="2"/>
  <c r="CM58" i="10"/>
  <c r="CL58" i="2"/>
  <c r="CM23" i="10"/>
  <c r="CL23" i="2"/>
  <c r="CM39" i="10"/>
  <c r="CL39" i="2"/>
  <c r="CM55" i="10"/>
  <c r="CL55" i="2"/>
  <c r="CM22" i="10"/>
  <c r="CL22" i="2"/>
  <c r="CM28" i="10"/>
  <c r="CL28" i="2"/>
  <c r="CM48" i="10"/>
  <c r="CL48" i="2"/>
  <c r="CM43" i="10"/>
  <c r="CL43" i="2"/>
  <c r="CY13" i="10"/>
  <c r="CX13" i="2"/>
  <c r="CM27" i="10"/>
  <c r="CL27" i="2"/>
  <c r="CM30" i="10"/>
  <c r="CL30" i="2"/>
  <c r="CZ12" i="10"/>
  <c r="CY12" i="2"/>
  <c r="CO18" i="10"/>
  <c r="CN18" i="2"/>
  <c r="CM60" i="10"/>
  <c r="CL60" i="2"/>
  <c r="CM36" i="10"/>
  <c r="CL36" i="2"/>
  <c r="CM74" i="10"/>
  <c r="CL74" i="2"/>
  <c r="CM32" i="10"/>
  <c r="CL32" i="2"/>
  <c r="CM85" i="10"/>
  <c r="CL85" i="2"/>
  <c r="CM68" i="10"/>
  <c r="CL68" i="2"/>
  <c r="CM73" i="10"/>
  <c r="CL73" i="2"/>
  <c r="CM47" i="10"/>
  <c r="CL47" i="2"/>
  <c r="CM34" i="10"/>
  <c r="CL34" i="2"/>
  <c r="CM45" i="10"/>
  <c r="CL45" i="2"/>
  <c r="CM86" i="10"/>
  <c r="CL86" i="2"/>
  <c r="CO21" i="10"/>
  <c r="CN21" i="2"/>
  <c r="CM50" i="10"/>
  <c r="CL50" i="2"/>
  <c r="CM67" i="10"/>
  <c r="CL67" i="2"/>
  <c r="CM38" i="10"/>
  <c r="CL38" i="2"/>
  <c r="CM62" i="10"/>
  <c r="CL62" i="2"/>
  <c r="CM35" i="10"/>
  <c r="CL35" i="2"/>
  <c r="CM29" i="10"/>
  <c r="CL29" i="2"/>
  <c r="CM51" i="10"/>
  <c r="CL51" i="2"/>
  <c r="CM69" i="10"/>
  <c r="CL69" i="2"/>
  <c r="CM64" i="10"/>
  <c r="CL64" i="2"/>
  <c r="CM63" i="10"/>
  <c r="CL63" i="2"/>
  <c r="CM25" i="10"/>
  <c r="CL25" i="2"/>
  <c r="CM26" i="10"/>
  <c r="CL26" i="2"/>
  <c r="CM71" i="10"/>
  <c r="CL71" i="2"/>
  <c r="CM46" i="10"/>
  <c r="CL46" i="2"/>
  <c r="CO20" i="10"/>
  <c r="CN20" i="2"/>
  <c r="CM42" i="10"/>
  <c r="CL42" i="2"/>
  <c r="CM59" i="10"/>
  <c r="CL59" i="2"/>
  <c r="CM56" i="10"/>
  <c r="CL56" i="2"/>
  <c r="CM33" i="10"/>
  <c r="CL33" i="2"/>
  <c r="CM77" i="10"/>
  <c r="CL77" i="2"/>
  <c r="CM24" i="10"/>
  <c r="CL24" i="2"/>
  <c r="CM65" i="10"/>
  <c r="CL65" i="2"/>
  <c r="CM76" i="10"/>
  <c r="CL76" i="2"/>
  <c r="CM81" i="10"/>
  <c r="CL81" i="2"/>
  <c r="CM72" i="10"/>
  <c r="CL72" i="2"/>
  <c r="CO15" i="10"/>
  <c r="CN15" i="2"/>
  <c r="CM31" i="10"/>
  <c r="CL31" i="2"/>
  <c r="CM87" i="10"/>
  <c r="CL87" i="2"/>
  <c r="CM82" i="10"/>
  <c r="CL82" i="2"/>
  <c r="CM83" i="10"/>
  <c r="CL83" i="2"/>
  <c r="CM54" i="10"/>
  <c r="CL54" i="2"/>
  <c r="CM75" i="10"/>
  <c r="CL75" i="2"/>
  <c r="CO17" i="10"/>
  <c r="CN17" i="2"/>
  <c r="CM52" i="10"/>
  <c r="CL52" i="2"/>
  <c r="DB8" i="2"/>
  <c r="DB8" i="7" s="1"/>
  <c r="DA8" i="2"/>
  <c r="DA10" i="2"/>
  <c r="DB10" i="2"/>
  <c r="DB10" i="7" s="1"/>
  <c r="CZ4" i="2"/>
  <c r="DB7" i="2"/>
  <c r="DB7" i="7" s="1"/>
  <c r="DA7" i="2"/>
  <c r="CZ5" i="2"/>
  <c r="DB11" i="2"/>
  <c r="DB11" i="7" s="1"/>
  <c r="DA11" i="2"/>
  <c r="DB9" i="2"/>
  <c r="DB9" i="7" s="1"/>
  <c r="DA9" i="2"/>
  <c r="DA6" i="2"/>
  <c r="DB6" i="2"/>
  <c r="DB6" i="7" s="1"/>
  <c r="CN65" i="10" l="1"/>
  <c r="CM65" i="2"/>
  <c r="CN63" i="10"/>
  <c r="CM63" i="2"/>
  <c r="CN62" i="10"/>
  <c r="CM62" i="2"/>
  <c r="CN45" i="10"/>
  <c r="CM45" i="2"/>
  <c r="CN32" i="10"/>
  <c r="CM32" i="2"/>
  <c r="CN30" i="10"/>
  <c r="CM30" i="2"/>
  <c r="CN22" i="10"/>
  <c r="CM22" i="2"/>
  <c r="CN41" i="10"/>
  <c r="CM41" i="2"/>
  <c r="CN84" i="10"/>
  <c r="CM84" i="2"/>
  <c r="CN57" i="10"/>
  <c r="CM57" i="2"/>
  <c r="CN88" i="10"/>
  <c r="CM88" i="2"/>
  <c r="CN61" i="10"/>
  <c r="CM61" i="2"/>
  <c r="CN53" i="10"/>
  <c r="CM53" i="2"/>
  <c r="CN31" i="10"/>
  <c r="CM31" i="2"/>
  <c r="CN74" i="10"/>
  <c r="CM74" i="2"/>
  <c r="CN75" i="10"/>
  <c r="CM75" i="2"/>
  <c r="CP15" i="10"/>
  <c r="CO15" i="2"/>
  <c r="CN77" i="10"/>
  <c r="CM77" i="2"/>
  <c r="CN46" i="10"/>
  <c r="CM46" i="2"/>
  <c r="CN69" i="10"/>
  <c r="CM69" i="2"/>
  <c r="CN67" i="10"/>
  <c r="CM67" i="2"/>
  <c r="CN47" i="10"/>
  <c r="CM47" i="2"/>
  <c r="CN36" i="10"/>
  <c r="CM36" i="2"/>
  <c r="CZ13" i="10"/>
  <c r="CY13" i="2"/>
  <c r="CN39" i="10"/>
  <c r="CM39" i="2"/>
  <c r="CP19" i="10"/>
  <c r="CO19" i="2"/>
  <c r="CN52" i="10"/>
  <c r="CM52" i="2"/>
  <c r="CN42" i="10"/>
  <c r="CM42" i="2"/>
  <c r="CP17" i="10"/>
  <c r="CO17" i="2"/>
  <c r="CN38" i="10"/>
  <c r="CM38" i="2"/>
  <c r="CN37" i="10"/>
  <c r="CM37" i="2"/>
  <c r="CP16" i="10"/>
  <c r="CO16" i="2"/>
  <c r="CN80" i="10"/>
  <c r="CM80" i="2"/>
  <c r="CN71" i="10"/>
  <c r="CM71" i="2"/>
  <c r="CN40" i="10"/>
  <c r="CM40" i="2"/>
  <c r="CN78" i="10"/>
  <c r="CM78" i="2"/>
  <c r="CN33" i="10"/>
  <c r="CM33" i="2"/>
  <c r="CN50" i="10"/>
  <c r="CM50" i="2"/>
  <c r="CN73" i="10"/>
  <c r="CM73" i="2"/>
  <c r="CN60" i="10"/>
  <c r="CM60" i="2"/>
  <c r="CN23" i="10"/>
  <c r="CM23" i="2"/>
  <c r="CN83" i="10"/>
  <c r="CM83" i="2"/>
  <c r="CN81" i="10"/>
  <c r="CM81" i="2"/>
  <c r="CN56" i="10"/>
  <c r="CM56" i="2"/>
  <c r="CN26" i="10"/>
  <c r="CM26" i="2"/>
  <c r="CN29" i="10"/>
  <c r="CM29" i="2"/>
  <c r="CP21" i="10"/>
  <c r="CO21" i="2"/>
  <c r="CN68" i="10"/>
  <c r="CM68" i="2"/>
  <c r="CP18" i="10"/>
  <c r="CO18" i="2"/>
  <c r="CN48" i="10"/>
  <c r="CM48" i="2"/>
  <c r="CN58" i="10"/>
  <c r="CM58" i="2"/>
  <c r="CP14" i="10"/>
  <c r="CO14" i="2"/>
  <c r="CN34" i="10"/>
  <c r="CM34" i="2"/>
  <c r="CN54" i="10"/>
  <c r="CM54" i="2"/>
  <c r="CN51" i="10"/>
  <c r="CM51" i="2"/>
  <c r="CN43" i="10"/>
  <c r="CM43" i="2"/>
  <c r="CN49" i="10"/>
  <c r="CM49" i="2"/>
  <c r="CN79" i="10"/>
  <c r="CM79" i="2"/>
  <c r="CN24" i="10"/>
  <c r="CM24" i="2"/>
  <c r="CP20" i="10"/>
  <c r="CO20" i="2"/>
  <c r="CN64" i="10"/>
  <c r="CM64" i="2"/>
  <c r="CN55" i="10"/>
  <c r="CM55" i="2"/>
  <c r="CN72" i="10"/>
  <c r="CM72" i="2"/>
  <c r="CN82" i="10"/>
  <c r="CM82" i="2"/>
  <c r="CN76" i="10"/>
  <c r="CM76" i="2"/>
  <c r="CN59" i="10"/>
  <c r="CM59" i="2"/>
  <c r="CN25" i="10"/>
  <c r="CM25" i="2"/>
  <c r="CN35" i="10"/>
  <c r="CM35" i="2"/>
  <c r="CN86" i="10"/>
  <c r="CM86" i="2"/>
  <c r="CN85" i="10"/>
  <c r="CM85" i="2"/>
  <c r="DA12" i="10"/>
  <c r="CZ12" i="2"/>
  <c r="CN28" i="10"/>
  <c r="CM28" i="2"/>
  <c r="CN70" i="10"/>
  <c r="CM70" i="2"/>
  <c r="CN89" i="10"/>
  <c r="CM89" i="2"/>
  <c r="CN87" i="10"/>
  <c r="CM87" i="2"/>
  <c r="CN27" i="10"/>
  <c r="CM27" i="2"/>
  <c r="CN90" i="10"/>
  <c r="CN91" i="10"/>
  <c r="CM90" i="2"/>
  <c r="CN66" i="10"/>
  <c r="CM66" i="2"/>
  <c r="CN44" i="10"/>
  <c r="CM44" i="2"/>
  <c r="DA9" i="7"/>
  <c r="DA7" i="7"/>
  <c r="DA6" i="7"/>
  <c r="DB5" i="2"/>
  <c r="DB5" i="7" s="1"/>
  <c r="DA5" i="2"/>
  <c r="DB4" i="2"/>
  <c r="DB4" i="7" s="1"/>
  <c r="DA4" i="2"/>
  <c r="DA10" i="7"/>
  <c r="DA8" i="7"/>
  <c r="CZ8" i="7" s="1"/>
  <c r="CO28" i="10" l="1"/>
  <c r="CN28" i="2"/>
  <c r="CO59" i="10"/>
  <c r="CN59" i="2"/>
  <c r="CQ20" i="10"/>
  <c r="CP20" i="2"/>
  <c r="CO54" i="10"/>
  <c r="CN54" i="2"/>
  <c r="CO68" i="10"/>
  <c r="CN68" i="2"/>
  <c r="CO83" i="10"/>
  <c r="CN83" i="2"/>
  <c r="CO78" i="10"/>
  <c r="CN78" i="2"/>
  <c r="CO38" i="10"/>
  <c r="CN38" i="2"/>
  <c r="DA13" i="10"/>
  <c r="CZ13" i="2"/>
  <c r="CO77" i="10"/>
  <c r="CN77" i="2"/>
  <c r="CO61" i="10"/>
  <c r="CN61" i="2"/>
  <c r="CO30" i="10"/>
  <c r="CN30" i="2"/>
  <c r="CO90" i="10"/>
  <c r="CN90" i="2"/>
  <c r="DB12" i="10"/>
  <c r="DB12" i="2" s="1"/>
  <c r="DB12" i="7" s="1"/>
  <c r="DA11" i="7" s="1"/>
  <c r="CZ10" i="7" s="1"/>
  <c r="DA12" i="2"/>
  <c r="CO76" i="10"/>
  <c r="CN76" i="2"/>
  <c r="CO24" i="10"/>
  <c r="CN24" i="2"/>
  <c r="CO34" i="10"/>
  <c r="CN34" i="2"/>
  <c r="CQ21" i="10"/>
  <c r="CP21" i="2"/>
  <c r="CO23" i="10"/>
  <c r="CN23" i="2"/>
  <c r="CO40" i="10"/>
  <c r="CN40" i="2"/>
  <c r="CQ17" i="10"/>
  <c r="CP17" i="2"/>
  <c r="CO36" i="10"/>
  <c r="CN36" i="2"/>
  <c r="CQ15" i="10"/>
  <c r="CP15" i="2"/>
  <c r="CO88" i="10"/>
  <c r="CN88" i="2"/>
  <c r="CO32" i="10"/>
  <c r="CN32" i="2"/>
  <c r="CO92" i="10"/>
  <c r="CO91" i="10"/>
  <c r="CN91" i="2"/>
  <c r="CO27" i="10"/>
  <c r="CN27" i="2"/>
  <c r="CO85" i="10"/>
  <c r="CN85" i="2"/>
  <c r="CO82" i="10"/>
  <c r="CN82" i="2"/>
  <c r="CO79" i="10"/>
  <c r="CN79" i="2"/>
  <c r="CQ14" i="10"/>
  <c r="CP14" i="2"/>
  <c r="CO29" i="10"/>
  <c r="CN29" i="2"/>
  <c r="CO60" i="10"/>
  <c r="CN60" i="2"/>
  <c r="CO71" i="10"/>
  <c r="CN71" i="2"/>
  <c r="CO42" i="10"/>
  <c r="CN42" i="2"/>
  <c r="CO47" i="10"/>
  <c r="CN47" i="2"/>
  <c r="CO75" i="10"/>
  <c r="CN75" i="2"/>
  <c r="CO57" i="10"/>
  <c r="CN57" i="2"/>
  <c r="CO45" i="10"/>
  <c r="CN45" i="2"/>
  <c r="CO66" i="10"/>
  <c r="CN66" i="2"/>
  <c r="CO87" i="10"/>
  <c r="CN87" i="2"/>
  <c r="CO86" i="10"/>
  <c r="CN86" i="2"/>
  <c r="CO72" i="10"/>
  <c r="CN72" i="2"/>
  <c r="CO49" i="10"/>
  <c r="CN49" i="2"/>
  <c r="CO58" i="10"/>
  <c r="CN58" i="2"/>
  <c r="CO26" i="10"/>
  <c r="CN26" i="2"/>
  <c r="CO73" i="10"/>
  <c r="CN73" i="2"/>
  <c r="CO80" i="10"/>
  <c r="CN80" i="2"/>
  <c r="CO52" i="10"/>
  <c r="CN52" i="2"/>
  <c r="CO67" i="10"/>
  <c r="CN67" i="2"/>
  <c r="CO74" i="10"/>
  <c r="CN74" i="2"/>
  <c r="CO84" i="10"/>
  <c r="CN84" i="2"/>
  <c r="CO62" i="10"/>
  <c r="CN62" i="2"/>
  <c r="CZ9" i="7"/>
  <c r="CY8" i="7" s="1"/>
  <c r="CO89" i="10"/>
  <c r="CN89" i="2"/>
  <c r="CO35" i="10"/>
  <c r="CN35" i="2"/>
  <c r="CO55" i="10"/>
  <c r="CN55" i="2"/>
  <c r="CO43" i="10"/>
  <c r="CN43" i="2"/>
  <c r="CO48" i="10"/>
  <c r="CN48" i="2"/>
  <c r="CO56" i="10"/>
  <c r="CN56" i="2"/>
  <c r="CO50" i="10"/>
  <c r="CN50" i="2"/>
  <c r="CQ16" i="10"/>
  <c r="CP16" i="2"/>
  <c r="CQ19" i="10"/>
  <c r="CP19" i="2"/>
  <c r="CO69" i="10"/>
  <c r="CN69" i="2"/>
  <c r="CO31" i="10"/>
  <c r="CN31" i="2"/>
  <c r="CO41" i="10"/>
  <c r="CN41" i="2"/>
  <c r="CO63" i="10"/>
  <c r="CN63" i="2"/>
  <c r="CO44" i="10"/>
  <c r="CN44" i="2"/>
  <c r="CO70" i="10"/>
  <c r="CN70" i="2"/>
  <c r="CO25" i="10"/>
  <c r="CN25" i="2"/>
  <c r="CO64" i="10"/>
  <c r="CN64" i="2"/>
  <c r="CO51" i="10"/>
  <c r="CN51" i="2"/>
  <c r="CQ18" i="10"/>
  <c r="CP18" i="2"/>
  <c r="CO81" i="10"/>
  <c r="CN81" i="2"/>
  <c r="CO33" i="10"/>
  <c r="CN33" i="2"/>
  <c r="CO37" i="10"/>
  <c r="CN37" i="2"/>
  <c r="CO39" i="10"/>
  <c r="CN39" i="2"/>
  <c r="CO46" i="10"/>
  <c r="CN46" i="2"/>
  <c r="CO53" i="10"/>
  <c r="CN53" i="2"/>
  <c r="CO22" i="10"/>
  <c r="CN22" i="2"/>
  <c r="CO65" i="10"/>
  <c r="CN65" i="2"/>
  <c r="CZ6" i="7"/>
  <c r="CZ7" i="7"/>
  <c r="CY7" i="7" s="1"/>
  <c r="DA5" i="7"/>
  <c r="CZ5" i="7" s="1"/>
  <c r="DA4" i="7"/>
  <c r="CY6" i="7" l="1"/>
  <c r="CX6" i="7" s="1"/>
  <c r="CY5" i="7"/>
  <c r="CP64" i="10"/>
  <c r="CO64" i="2"/>
  <c r="CP62" i="10"/>
  <c r="CO62" i="2"/>
  <c r="CP73" i="10"/>
  <c r="CO73" i="2"/>
  <c r="CP87" i="10"/>
  <c r="CO87" i="2"/>
  <c r="CP88" i="10"/>
  <c r="CO88" i="2"/>
  <c r="CR21" i="10"/>
  <c r="CQ21" i="2"/>
  <c r="CP30" i="10"/>
  <c r="CO30" i="2"/>
  <c r="CP83" i="10"/>
  <c r="CO83" i="2"/>
  <c r="CP67" i="10"/>
  <c r="CO67" i="2"/>
  <c r="CP31" i="10"/>
  <c r="CO31" i="2"/>
  <c r="CP48" i="10"/>
  <c r="CO48" i="2"/>
  <c r="CP42" i="10"/>
  <c r="CO42" i="2"/>
  <c r="CP82" i="10"/>
  <c r="CO82" i="2"/>
  <c r="CP52" i="10"/>
  <c r="CO52" i="2"/>
  <c r="CP37" i="10"/>
  <c r="CO37" i="2"/>
  <c r="CP25" i="10"/>
  <c r="CO25" i="2"/>
  <c r="CP84" i="10"/>
  <c r="CO84" i="2"/>
  <c r="CP26" i="10"/>
  <c r="CO26" i="2"/>
  <c r="CP66" i="10"/>
  <c r="CO66" i="2"/>
  <c r="CR15" i="10"/>
  <c r="CQ15" i="2"/>
  <c r="CP34" i="10"/>
  <c r="CO34" i="2"/>
  <c r="CP61" i="10"/>
  <c r="CO61" i="2"/>
  <c r="CP68" i="10"/>
  <c r="CO68" i="2"/>
  <c r="CP22" i="10"/>
  <c r="CO22" i="2"/>
  <c r="CP81" i="10"/>
  <c r="CO81" i="2"/>
  <c r="CP44" i="10"/>
  <c r="CO44" i="2"/>
  <c r="CP72" i="10"/>
  <c r="CO72" i="2"/>
  <c r="CP39" i="10"/>
  <c r="CO39" i="2"/>
  <c r="CP69" i="10"/>
  <c r="CO69" i="2"/>
  <c r="CP43" i="10"/>
  <c r="CO43" i="2"/>
  <c r="CP71" i="10"/>
  <c r="CO71" i="2"/>
  <c r="CP85" i="10"/>
  <c r="CO85" i="2"/>
  <c r="CP65" i="10"/>
  <c r="CO65" i="2"/>
  <c r="CP33" i="10"/>
  <c r="CO33" i="2"/>
  <c r="CP70" i="10"/>
  <c r="CO70" i="2"/>
  <c r="CP74" i="10"/>
  <c r="CO74" i="2"/>
  <c r="CP58" i="10"/>
  <c r="CO58" i="2"/>
  <c r="CP36" i="10"/>
  <c r="CO36" i="2"/>
  <c r="CP24" i="10"/>
  <c r="CO24" i="2"/>
  <c r="CP77" i="10"/>
  <c r="CO77" i="2"/>
  <c r="CP54" i="10"/>
  <c r="CO54" i="2"/>
  <c r="CP55" i="10"/>
  <c r="CO55" i="2"/>
  <c r="CP45" i="10"/>
  <c r="CO45" i="2"/>
  <c r="CP60" i="10"/>
  <c r="CO60" i="2"/>
  <c r="CP27" i="10"/>
  <c r="CO27" i="2"/>
  <c r="CP49" i="10"/>
  <c r="CO49" i="2"/>
  <c r="CR17" i="10"/>
  <c r="CQ17" i="2"/>
  <c r="CP76" i="10"/>
  <c r="CO76" i="2"/>
  <c r="DB13" i="10"/>
  <c r="DB13" i="2" s="1"/>
  <c r="DB13" i="7" s="1"/>
  <c r="DA12" i="7" s="1"/>
  <c r="DA13" i="2"/>
  <c r="CR20" i="10"/>
  <c r="CQ20" i="2"/>
  <c r="CR16" i="10"/>
  <c r="CQ16" i="2"/>
  <c r="CP35" i="10"/>
  <c r="CO35" i="2"/>
  <c r="CP57" i="10"/>
  <c r="CO57" i="2"/>
  <c r="CP29" i="10"/>
  <c r="CO29" i="2"/>
  <c r="CP91" i="10"/>
  <c r="CO91" i="2"/>
  <c r="CR19" i="10"/>
  <c r="CQ19" i="2"/>
  <c r="CP53" i="10"/>
  <c r="CO53" i="2"/>
  <c r="CP92" i="10"/>
  <c r="CP93" i="10"/>
  <c r="CO92" i="2"/>
  <c r="CP40" i="10"/>
  <c r="CO40" i="2"/>
  <c r="CP38" i="10"/>
  <c r="CO38" i="2"/>
  <c r="CP59" i="10"/>
  <c r="CO59" i="2"/>
  <c r="CR18" i="10"/>
  <c r="CQ18" i="2"/>
  <c r="CP89" i="10"/>
  <c r="CO89" i="2"/>
  <c r="CP75" i="10"/>
  <c r="CO75" i="2"/>
  <c r="CR14" i="10"/>
  <c r="CQ14" i="2"/>
  <c r="CP63" i="10"/>
  <c r="CO63" i="2"/>
  <c r="CP86" i="10"/>
  <c r="CO86" i="2"/>
  <c r="CP32" i="10"/>
  <c r="CO32" i="2"/>
  <c r="CP23" i="10"/>
  <c r="CO23" i="2"/>
  <c r="CP90" i="10"/>
  <c r="CO90" i="2"/>
  <c r="CP78" i="10"/>
  <c r="CO78" i="2"/>
  <c r="CP28" i="10"/>
  <c r="CO28" i="2"/>
  <c r="CP50" i="10"/>
  <c r="CO50" i="2"/>
  <c r="CP46" i="10"/>
  <c r="CO46" i="2"/>
  <c r="CP51" i="10"/>
  <c r="CO51" i="2"/>
  <c r="CY9" i="7"/>
  <c r="CP80" i="10"/>
  <c r="CO80" i="2"/>
  <c r="CP41" i="10"/>
  <c r="CO41" i="2"/>
  <c r="CP56" i="10"/>
  <c r="CO56" i="2"/>
  <c r="CP47" i="10"/>
  <c r="CO47" i="2"/>
  <c r="CP79" i="10"/>
  <c r="CO79" i="2"/>
  <c r="CZ4" i="7"/>
  <c r="CY4" i="7" s="1"/>
  <c r="CX4" i="7" s="1"/>
  <c r="CX5" i="7"/>
  <c r="CW5" i="7" s="1"/>
  <c r="CX7" i="7"/>
  <c r="CQ26" i="10" l="1"/>
  <c r="CP26" i="2"/>
  <c r="CQ90" i="10"/>
  <c r="CP90" i="2"/>
  <c r="CQ75" i="10"/>
  <c r="CP75" i="2"/>
  <c r="CQ57" i="10"/>
  <c r="CP57" i="2"/>
  <c r="CQ55" i="10"/>
  <c r="CP55" i="2"/>
  <c r="CQ74" i="10"/>
  <c r="CP74" i="2"/>
  <c r="CQ43" i="10"/>
  <c r="CP43" i="2"/>
  <c r="CQ22" i="10"/>
  <c r="CP22" i="2"/>
  <c r="CW4" i="7"/>
  <c r="CV4" i="7" s="1"/>
  <c r="CQ93" i="10"/>
  <c r="CQ94" i="10"/>
  <c r="CP93" i="2"/>
  <c r="CS17" i="10"/>
  <c r="CR17" i="2"/>
  <c r="CQ42" i="10"/>
  <c r="CP42" i="2"/>
  <c r="CS21" i="10"/>
  <c r="CR21" i="2"/>
  <c r="CQ84" i="10"/>
  <c r="CP84" i="2"/>
  <c r="CQ49" i="10"/>
  <c r="CP49" i="2"/>
  <c r="CQ48" i="10"/>
  <c r="CP48" i="2"/>
  <c r="CQ88" i="10"/>
  <c r="CP88" i="2"/>
  <c r="CQ46" i="10"/>
  <c r="CP46" i="2"/>
  <c r="CQ32" i="10"/>
  <c r="CP32" i="2"/>
  <c r="CS18" i="10"/>
  <c r="CR18" i="2"/>
  <c r="CQ53" i="10"/>
  <c r="CP53" i="2"/>
  <c r="CS16" i="10"/>
  <c r="CR16" i="2"/>
  <c r="CQ77" i="10"/>
  <c r="CP77" i="2"/>
  <c r="CQ33" i="10"/>
  <c r="CP33" i="2"/>
  <c r="CQ39" i="10"/>
  <c r="CP39" i="2"/>
  <c r="CQ61" i="10"/>
  <c r="CP61" i="2"/>
  <c r="CQ25" i="10"/>
  <c r="CP25" i="2"/>
  <c r="CQ51" i="10"/>
  <c r="CP51" i="2"/>
  <c r="CQ35" i="10"/>
  <c r="CP35" i="2"/>
  <c r="CQ54" i="10"/>
  <c r="CP54" i="2"/>
  <c r="CQ70" i="10"/>
  <c r="CP70" i="2"/>
  <c r="CQ69" i="10"/>
  <c r="CP69" i="2"/>
  <c r="CQ79" i="10"/>
  <c r="CP79" i="2"/>
  <c r="CQ31" i="10"/>
  <c r="CP31" i="2"/>
  <c r="CQ87" i="10"/>
  <c r="CP87" i="2"/>
  <c r="CQ56" i="10"/>
  <c r="CP56" i="2"/>
  <c r="CQ23" i="10"/>
  <c r="CP23" i="2"/>
  <c r="CQ89" i="10"/>
  <c r="CP89" i="2"/>
  <c r="CQ92" i="10"/>
  <c r="CP92" i="2"/>
  <c r="CQ68" i="10"/>
  <c r="CP68" i="2"/>
  <c r="CQ47" i="10"/>
  <c r="CP47" i="2"/>
  <c r="CQ50" i="10"/>
  <c r="CP50" i="2"/>
  <c r="CQ86" i="10"/>
  <c r="CP86" i="2"/>
  <c r="CQ59" i="10"/>
  <c r="CP59" i="2"/>
  <c r="CS19" i="10"/>
  <c r="CR19" i="2"/>
  <c r="CQ27" i="10"/>
  <c r="CP27" i="2"/>
  <c r="CQ24" i="10"/>
  <c r="CP24" i="2"/>
  <c r="CQ65" i="10"/>
  <c r="CP65" i="2"/>
  <c r="CQ72" i="10"/>
  <c r="CP72" i="2"/>
  <c r="CQ34" i="10"/>
  <c r="CP34" i="2"/>
  <c r="CQ37" i="10"/>
  <c r="CP37" i="2"/>
  <c r="CS20" i="10"/>
  <c r="CR20" i="2"/>
  <c r="CX8" i="7"/>
  <c r="CW7" i="7" s="1"/>
  <c r="CQ67" i="10"/>
  <c r="CP67" i="2"/>
  <c r="CQ73" i="10"/>
  <c r="CP73" i="2"/>
  <c r="CQ36" i="10"/>
  <c r="CP36" i="2"/>
  <c r="CQ85" i="10"/>
  <c r="CP85" i="2"/>
  <c r="CQ44" i="10"/>
  <c r="CP44" i="2"/>
  <c r="CS15" i="10"/>
  <c r="CR15" i="2"/>
  <c r="CQ52" i="10"/>
  <c r="CP52" i="2"/>
  <c r="CQ83" i="10"/>
  <c r="CP83" i="2"/>
  <c r="CQ62" i="10"/>
  <c r="CP62" i="2"/>
  <c r="CQ28" i="10"/>
  <c r="CP28" i="2"/>
  <c r="CQ63" i="10"/>
  <c r="CP63" i="2"/>
  <c r="CQ38" i="10"/>
  <c r="CP38" i="2"/>
  <c r="CQ91" i="10"/>
  <c r="CP91" i="2"/>
  <c r="CQ60" i="10"/>
  <c r="CP60" i="2"/>
  <c r="CQ78" i="10"/>
  <c r="CP78" i="2"/>
  <c r="CQ29" i="10"/>
  <c r="CP29" i="2"/>
  <c r="CQ45" i="10"/>
  <c r="CP45" i="2"/>
  <c r="CQ58" i="10"/>
  <c r="CP58" i="2"/>
  <c r="CQ71" i="10"/>
  <c r="CP71" i="2"/>
  <c r="CQ81" i="10"/>
  <c r="CP81" i="2"/>
  <c r="CQ66" i="10"/>
  <c r="CP66" i="2"/>
  <c r="CQ41" i="10"/>
  <c r="CP41" i="2"/>
  <c r="CZ11" i="7"/>
  <c r="CS14" i="10"/>
  <c r="CR14" i="2"/>
  <c r="CQ80" i="10"/>
  <c r="CP80" i="2"/>
  <c r="CQ40" i="10"/>
  <c r="CP40" i="2"/>
  <c r="CQ76" i="10"/>
  <c r="CP76" i="2"/>
  <c r="CQ82" i="10"/>
  <c r="CP82" i="2"/>
  <c r="CQ30" i="10"/>
  <c r="CP30" i="2"/>
  <c r="CQ64" i="10"/>
  <c r="CP64" i="2"/>
  <c r="CW6" i="7"/>
  <c r="CV6" i="7" l="1"/>
  <c r="CR80" i="10"/>
  <c r="CQ80" i="2"/>
  <c r="CR67" i="10"/>
  <c r="CQ67" i="2"/>
  <c r="CR42" i="10"/>
  <c r="CQ42" i="2"/>
  <c r="CR74" i="10"/>
  <c r="CQ74" i="2"/>
  <c r="CR38" i="10"/>
  <c r="CQ38" i="2"/>
  <c r="CR24" i="10"/>
  <c r="CQ24" i="2"/>
  <c r="CR47" i="10"/>
  <c r="CQ47" i="2"/>
  <c r="CR87" i="10"/>
  <c r="CQ87" i="2"/>
  <c r="CR35" i="10"/>
  <c r="CQ35" i="2"/>
  <c r="CR77" i="10"/>
  <c r="CQ77" i="2"/>
  <c r="CR58" i="10"/>
  <c r="CQ58" i="2"/>
  <c r="CR64" i="10"/>
  <c r="CQ64" i="2"/>
  <c r="CT14" i="10"/>
  <c r="CS14" i="2"/>
  <c r="CT15" i="10"/>
  <c r="CS15" i="2"/>
  <c r="CR88" i="10"/>
  <c r="CQ88" i="2"/>
  <c r="CT17" i="10"/>
  <c r="CS17" i="2"/>
  <c r="CR55" i="10"/>
  <c r="CQ55" i="2"/>
  <c r="CY10" i="7"/>
  <c r="CR45" i="10"/>
  <c r="CQ45" i="2"/>
  <c r="CR63" i="10"/>
  <c r="CQ63" i="2"/>
  <c r="CT20" i="10"/>
  <c r="CS20" i="2"/>
  <c r="CR27" i="10"/>
  <c r="CQ27" i="2"/>
  <c r="CR68" i="10"/>
  <c r="CQ68" i="2"/>
  <c r="CR31" i="10"/>
  <c r="CQ31" i="2"/>
  <c r="CR51" i="10"/>
  <c r="CQ51" i="2"/>
  <c r="CT16" i="10"/>
  <c r="CS16" i="2"/>
  <c r="CV5" i="7"/>
  <c r="CU5" i="7" s="1"/>
  <c r="CR48" i="10"/>
  <c r="CQ48" i="2"/>
  <c r="CR95" i="10"/>
  <c r="CR94" i="10"/>
  <c r="CQ94" i="2"/>
  <c r="CR57" i="10"/>
  <c r="CQ57" i="2"/>
  <c r="CR44" i="10"/>
  <c r="CQ44" i="2"/>
  <c r="CR41" i="10"/>
  <c r="CQ41" i="2"/>
  <c r="CR29" i="10"/>
  <c r="CQ29" i="2"/>
  <c r="CR28" i="10"/>
  <c r="CQ28" i="2"/>
  <c r="CR37" i="10"/>
  <c r="CQ37" i="2"/>
  <c r="CT19" i="10"/>
  <c r="CS19" i="2"/>
  <c r="CR92" i="10"/>
  <c r="CQ92" i="2"/>
  <c r="CR79" i="10"/>
  <c r="CQ79" i="2"/>
  <c r="CR25" i="10"/>
  <c r="CQ25" i="2"/>
  <c r="CR53" i="10"/>
  <c r="CQ53" i="2"/>
  <c r="CR93" i="10"/>
  <c r="CQ93" i="2"/>
  <c r="CR85" i="10"/>
  <c r="CQ85" i="2"/>
  <c r="CR49" i="10"/>
  <c r="CQ49" i="2"/>
  <c r="CR75" i="10"/>
  <c r="CQ75" i="2"/>
  <c r="CR34" i="10"/>
  <c r="CQ34" i="2"/>
  <c r="CR59" i="10"/>
  <c r="CQ59" i="2"/>
  <c r="CR89" i="10"/>
  <c r="CQ89" i="2"/>
  <c r="CR69" i="10"/>
  <c r="CQ69" i="2"/>
  <c r="CR61" i="10"/>
  <c r="CQ61" i="2"/>
  <c r="CT18" i="10"/>
  <c r="CS18" i="2"/>
  <c r="CR78" i="10"/>
  <c r="CQ78" i="2"/>
  <c r="CR36" i="10"/>
  <c r="CQ36" i="2"/>
  <c r="CR84" i="10"/>
  <c r="CQ84" i="2"/>
  <c r="CR22" i="10"/>
  <c r="CQ22" i="2"/>
  <c r="CR90" i="10"/>
  <c r="CQ90" i="2"/>
  <c r="CR30" i="10"/>
  <c r="CQ30" i="2"/>
  <c r="CR82" i="10"/>
  <c r="CQ82" i="2"/>
  <c r="CR66" i="10"/>
  <c r="CQ66" i="2"/>
  <c r="CR62" i="10"/>
  <c r="CQ62" i="2"/>
  <c r="CR76" i="10"/>
  <c r="CQ76" i="2"/>
  <c r="CR81" i="10"/>
  <c r="CQ81" i="2"/>
  <c r="CR60" i="10"/>
  <c r="CQ60" i="2"/>
  <c r="CR83" i="10"/>
  <c r="CQ83" i="2"/>
  <c r="CR72" i="10"/>
  <c r="CQ72" i="2"/>
  <c r="CR86" i="10"/>
  <c r="CQ86" i="2"/>
  <c r="CR23" i="10"/>
  <c r="CQ23" i="2"/>
  <c r="CR70" i="10"/>
  <c r="CQ70" i="2"/>
  <c r="CR39" i="10"/>
  <c r="CQ39" i="2"/>
  <c r="CR32" i="10"/>
  <c r="CQ32" i="2"/>
  <c r="CR40" i="10"/>
  <c r="CQ40" i="2"/>
  <c r="CR73" i="10"/>
  <c r="CQ73" i="2"/>
  <c r="CT21" i="10"/>
  <c r="CS21" i="2"/>
  <c r="CR43" i="10"/>
  <c r="CQ43" i="2"/>
  <c r="CR71" i="10"/>
  <c r="CQ71" i="2"/>
  <c r="CR91" i="10"/>
  <c r="CQ91" i="2"/>
  <c r="CR52" i="10"/>
  <c r="CQ52" i="2"/>
  <c r="CR65" i="10"/>
  <c r="CQ65" i="2"/>
  <c r="CR50" i="10"/>
  <c r="CQ50" i="2"/>
  <c r="CR56" i="10"/>
  <c r="CQ56" i="2"/>
  <c r="CR54" i="10"/>
  <c r="CQ54" i="2"/>
  <c r="CR33" i="10"/>
  <c r="CQ33" i="2"/>
  <c r="CR46" i="10"/>
  <c r="CQ46" i="2"/>
  <c r="CR26" i="10"/>
  <c r="CQ26" i="2"/>
  <c r="CU21" i="10" l="1"/>
  <c r="CT21" i="2"/>
  <c r="CS23" i="10"/>
  <c r="CR23" i="2"/>
  <c r="CS76" i="10"/>
  <c r="CR76" i="2"/>
  <c r="CS22" i="10"/>
  <c r="CR22" i="2"/>
  <c r="CS69" i="10"/>
  <c r="CR69" i="2"/>
  <c r="CS85" i="10"/>
  <c r="CR85" i="2"/>
  <c r="CU19" i="10"/>
  <c r="CT19" i="2"/>
  <c r="CS57" i="10"/>
  <c r="CR57" i="2"/>
  <c r="CS26" i="10"/>
  <c r="CR26" i="2"/>
  <c r="CS65" i="10"/>
  <c r="CR65" i="2"/>
  <c r="CS73" i="10"/>
  <c r="CR73" i="2"/>
  <c r="CS86" i="10"/>
  <c r="CR86" i="2"/>
  <c r="CS62" i="10"/>
  <c r="CR62" i="2"/>
  <c r="CS84" i="10"/>
  <c r="CR84" i="2"/>
  <c r="CS89" i="10"/>
  <c r="CR89" i="2"/>
  <c r="CS93" i="10"/>
  <c r="CR93" i="2"/>
  <c r="CS37" i="10"/>
  <c r="CR37" i="2"/>
  <c r="CS94" i="10"/>
  <c r="CR94" i="2"/>
  <c r="CS68" i="10"/>
  <c r="CR68" i="2"/>
  <c r="CS55" i="10"/>
  <c r="CR55" i="2"/>
  <c r="CS58" i="10"/>
  <c r="CR58" i="2"/>
  <c r="CS38" i="10"/>
  <c r="CR38" i="2"/>
  <c r="CS95" i="10"/>
  <c r="CS96" i="10"/>
  <c r="CR95" i="2"/>
  <c r="CS40" i="10"/>
  <c r="CR40" i="2"/>
  <c r="CS72" i="10"/>
  <c r="CR72" i="2"/>
  <c r="CS66" i="10"/>
  <c r="CR66" i="2"/>
  <c r="CS36" i="10"/>
  <c r="CR36" i="2"/>
  <c r="CS59" i="10"/>
  <c r="CR59" i="2"/>
  <c r="CS53" i="10"/>
  <c r="CR53" i="2"/>
  <c r="CS28" i="10"/>
  <c r="CR28" i="2"/>
  <c r="CS27" i="10"/>
  <c r="CR27" i="2"/>
  <c r="CU17" i="10"/>
  <c r="CT17" i="2"/>
  <c r="CS77" i="10"/>
  <c r="CR77" i="2"/>
  <c r="CS33" i="10"/>
  <c r="CR33" i="2"/>
  <c r="CS91" i="10"/>
  <c r="CR91" i="2"/>
  <c r="CS48" i="10"/>
  <c r="CR48" i="2"/>
  <c r="CS74" i="10"/>
  <c r="CR74" i="2"/>
  <c r="CS35" i="10"/>
  <c r="CR35" i="2"/>
  <c r="CS46" i="10"/>
  <c r="CR46" i="2"/>
  <c r="CS83" i="10"/>
  <c r="CR83" i="2"/>
  <c r="CS78" i="10"/>
  <c r="CR78" i="2"/>
  <c r="CS34" i="10"/>
  <c r="CR34" i="2"/>
  <c r="CS29" i="10"/>
  <c r="CR29" i="2"/>
  <c r="CU20" i="10"/>
  <c r="CT20" i="2"/>
  <c r="CS88" i="10"/>
  <c r="CR88" i="2"/>
  <c r="CS54" i="10"/>
  <c r="CR54" i="2"/>
  <c r="CS71" i="10"/>
  <c r="CR71" i="2"/>
  <c r="CS42" i="10"/>
  <c r="CR42" i="2"/>
  <c r="CS52" i="10"/>
  <c r="CR52" i="2"/>
  <c r="CS30" i="10"/>
  <c r="CR30" i="2"/>
  <c r="CS56" i="10"/>
  <c r="CR56" i="2"/>
  <c r="CS32" i="10"/>
  <c r="CR32" i="2"/>
  <c r="CS82" i="10"/>
  <c r="CR82" i="2"/>
  <c r="CS25" i="10"/>
  <c r="CR25" i="2"/>
  <c r="CS39" i="10"/>
  <c r="CR39" i="2"/>
  <c r="CS60" i="10"/>
  <c r="CR60" i="2"/>
  <c r="CU18" i="10"/>
  <c r="CT18" i="2"/>
  <c r="CS75" i="10"/>
  <c r="CR75" i="2"/>
  <c r="CS79" i="10"/>
  <c r="CR79" i="2"/>
  <c r="CS41" i="10"/>
  <c r="CR41" i="2"/>
  <c r="CU16" i="10"/>
  <c r="CT16" i="2"/>
  <c r="CS63" i="10"/>
  <c r="CR63" i="2"/>
  <c r="CU15" i="10"/>
  <c r="CT15" i="2"/>
  <c r="CS87" i="10"/>
  <c r="CR87" i="2"/>
  <c r="CS43" i="10"/>
  <c r="CR43" i="2"/>
  <c r="CS70" i="10"/>
  <c r="CR70" i="2"/>
  <c r="CS81" i="10"/>
  <c r="CR81" i="2"/>
  <c r="CS90" i="10"/>
  <c r="CR90" i="2"/>
  <c r="CS61" i="10"/>
  <c r="CR61" i="2"/>
  <c r="CS49" i="10"/>
  <c r="CR49" i="2"/>
  <c r="CS92" i="10"/>
  <c r="CR92" i="2"/>
  <c r="CS44" i="10"/>
  <c r="CR44" i="2"/>
  <c r="CS51" i="10"/>
  <c r="CR51" i="2"/>
  <c r="CS45" i="10"/>
  <c r="CR45" i="2"/>
  <c r="CU14" i="10"/>
  <c r="CT14" i="2"/>
  <c r="CS47" i="10"/>
  <c r="CR47" i="2"/>
  <c r="CS67" i="10"/>
  <c r="CR67" i="2"/>
  <c r="CU4" i="7"/>
  <c r="CT4" i="7" s="1"/>
  <c r="CS50" i="10"/>
  <c r="CR50" i="2"/>
  <c r="CX9" i="7"/>
  <c r="CS31" i="10"/>
  <c r="CR31" i="2"/>
  <c r="CS64" i="10"/>
  <c r="CR64" i="2"/>
  <c r="CS24" i="10"/>
  <c r="CR24" i="2"/>
  <c r="CS80" i="10"/>
  <c r="CR80" i="2"/>
  <c r="CT80" i="10" l="1"/>
  <c r="CS80" i="2"/>
  <c r="CT34" i="10"/>
  <c r="CS34" i="2"/>
  <c r="CT48" i="10"/>
  <c r="CS48" i="2"/>
  <c r="CT28" i="10"/>
  <c r="CS28" i="2"/>
  <c r="CT40" i="10"/>
  <c r="CS40" i="2"/>
  <c r="CT94" i="10"/>
  <c r="CS94" i="2"/>
  <c r="CT86" i="10"/>
  <c r="CS86" i="2"/>
  <c r="CT85" i="10"/>
  <c r="CS85" i="2"/>
  <c r="CT24" i="10"/>
  <c r="CS24" i="2"/>
  <c r="CT78" i="10"/>
  <c r="CS78" i="2"/>
  <c r="CT91" i="10"/>
  <c r="CS91" i="2"/>
  <c r="CT53" i="10"/>
  <c r="CS53" i="2"/>
  <c r="CT96" i="10"/>
  <c r="CT97" i="10"/>
  <c r="CS96" i="2"/>
  <c r="CT79" i="10"/>
  <c r="CS79" i="2"/>
  <c r="CT47" i="10"/>
  <c r="CS47" i="2"/>
  <c r="CT49" i="10"/>
  <c r="CS49" i="2"/>
  <c r="CT87" i="10"/>
  <c r="CS87" i="2"/>
  <c r="CT75" i="10"/>
  <c r="CS75" i="2"/>
  <c r="CT32" i="10"/>
  <c r="CS32" i="2"/>
  <c r="CT54" i="10"/>
  <c r="CS54" i="2"/>
  <c r="CT95" i="10"/>
  <c r="CS95" i="2"/>
  <c r="CT37" i="10"/>
  <c r="CS37" i="2"/>
  <c r="CT73" i="10"/>
  <c r="CS73" i="2"/>
  <c r="CT69" i="10"/>
  <c r="CS69" i="2"/>
  <c r="CT59" i="10"/>
  <c r="CS59" i="2"/>
  <c r="CV14" i="10"/>
  <c r="CU14" i="2"/>
  <c r="CT61" i="10"/>
  <c r="CS61" i="2"/>
  <c r="CV15" i="10"/>
  <c r="CU15" i="2"/>
  <c r="CV18" i="10"/>
  <c r="CU18" i="2"/>
  <c r="CT56" i="10"/>
  <c r="CS56" i="2"/>
  <c r="CT88" i="10"/>
  <c r="CS88" i="2"/>
  <c r="CT38" i="10"/>
  <c r="CS38" i="2"/>
  <c r="CT93" i="10"/>
  <c r="CS93" i="2"/>
  <c r="CT65" i="10"/>
  <c r="CS65" i="2"/>
  <c r="CT22" i="10"/>
  <c r="CS22" i="2"/>
  <c r="CT46" i="10"/>
  <c r="CS46" i="2"/>
  <c r="CT77" i="10"/>
  <c r="CS77" i="2"/>
  <c r="CT36" i="10"/>
  <c r="CS36" i="2"/>
  <c r="CT43" i="10"/>
  <c r="CS43" i="2"/>
  <c r="CT30" i="10"/>
  <c r="CS30" i="2"/>
  <c r="CT58" i="10"/>
  <c r="CS58" i="2"/>
  <c r="CT89" i="10"/>
  <c r="CS89" i="2"/>
  <c r="CT26" i="10"/>
  <c r="CS26" i="2"/>
  <c r="CT76" i="10"/>
  <c r="CS76" i="2"/>
  <c r="CT71" i="10"/>
  <c r="CS71" i="2"/>
  <c r="CT83" i="10"/>
  <c r="CS83" i="2"/>
  <c r="CT60" i="10"/>
  <c r="CS60" i="2"/>
  <c r="CT35" i="10"/>
  <c r="CS35" i="2"/>
  <c r="CV17" i="10"/>
  <c r="CU17" i="2"/>
  <c r="CT66" i="10"/>
  <c r="CS66" i="2"/>
  <c r="CT92" i="10"/>
  <c r="CS92" i="2"/>
  <c r="CT82" i="10"/>
  <c r="CS82" i="2"/>
  <c r="CT33" i="10"/>
  <c r="CS33" i="2"/>
  <c r="CT31" i="10"/>
  <c r="CS31" i="2"/>
  <c r="CV20" i="10"/>
  <c r="CU20" i="2"/>
  <c r="CT51" i="10"/>
  <c r="CS51" i="2"/>
  <c r="CT81" i="10"/>
  <c r="CS81" i="2"/>
  <c r="CV16" i="10"/>
  <c r="CU16" i="2"/>
  <c r="CT39" i="10"/>
  <c r="CS39" i="2"/>
  <c r="CT52" i="10"/>
  <c r="CS52" i="2"/>
  <c r="CT55" i="10"/>
  <c r="CS55" i="2"/>
  <c r="CT84" i="10"/>
  <c r="CS84" i="2"/>
  <c r="CT57" i="10"/>
  <c r="CS57" i="2"/>
  <c r="CT23" i="10"/>
  <c r="CS23" i="2"/>
  <c r="CT67" i="10"/>
  <c r="CS67" i="2"/>
  <c r="CT64" i="10"/>
  <c r="CS64" i="2"/>
  <c r="CW8" i="7"/>
  <c r="CT45" i="10"/>
  <c r="CS45" i="2"/>
  <c r="CT90" i="10"/>
  <c r="CS90" i="2"/>
  <c r="CT63" i="10"/>
  <c r="CS63" i="2"/>
  <c r="CT50" i="10"/>
  <c r="CS50" i="2"/>
  <c r="CT29" i="10"/>
  <c r="CS29" i="2"/>
  <c r="CT74" i="10"/>
  <c r="CS74" i="2"/>
  <c r="CT27" i="10"/>
  <c r="CS27" i="2"/>
  <c r="CT72" i="10"/>
  <c r="CS72" i="2"/>
  <c r="CT44" i="10"/>
  <c r="CS44" i="2"/>
  <c r="CT70" i="10"/>
  <c r="CS70" i="2"/>
  <c r="CT41" i="10"/>
  <c r="CS41" i="2"/>
  <c r="CT25" i="10"/>
  <c r="CS25" i="2"/>
  <c r="CT42" i="10"/>
  <c r="CS42" i="2"/>
  <c r="CT68" i="10"/>
  <c r="CS68" i="2"/>
  <c r="CT62" i="10"/>
  <c r="CS62" i="2"/>
  <c r="CV19" i="10"/>
  <c r="CU19" i="2"/>
  <c r="CV21" i="10"/>
  <c r="CU21" i="2"/>
  <c r="CU75" i="10" l="1"/>
  <c r="CT75" i="2"/>
  <c r="CU56" i="10"/>
  <c r="CT56" i="2"/>
  <c r="CW19" i="10"/>
  <c r="CV19" i="2"/>
  <c r="CU70" i="10"/>
  <c r="CT70" i="2"/>
  <c r="CU53" i="10"/>
  <c r="CT53" i="2"/>
  <c r="CU94" i="10"/>
  <c r="CT94" i="2"/>
  <c r="CU52" i="10"/>
  <c r="CT52" i="2"/>
  <c r="CU39" i="10"/>
  <c r="CT39" i="2"/>
  <c r="CU33" i="10"/>
  <c r="CT33" i="2"/>
  <c r="CU60" i="10"/>
  <c r="CT60" i="2"/>
  <c r="CU22" i="10"/>
  <c r="CT22" i="2"/>
  <c r="CW18" i="10"/>
  <c r="CV18" i="2"/>
  <c r="CU73" i="10"/>
  <c r="CT73" i="2"/>
  <c r="CU87" i="10"/>
  <c r="CT87" i="2"/>
  <c r="CU89" i="10"/>
  <c r="CT89" i="2"/>
  <c r="CU67" i="10"/>
  <c r="CT67" i="2"/>
  <c r="CU44" i="10"/>
  <c r="CT44" i="2"/>
  <c r="CU91" i="10"/>
  <c r="CT91" i="2"/>
  <c r="CU40" i="10"/>
  <c r="CT40" i="2"/>
  <c r="CU50" i="10"/>
  <c r="CT50" i="2"/>
  <c r="CU58" i="10"/>
  <c r="CT58" i="2"/>
  <c r="CU62" i="10"/>
  <c r="CT62" i="2"/>
  <c r="CU63" i="10"/>
  <c r="CT63" i="2"/>
  <c r="CU23" i="10"/>
  <c r="CT23" i="2"/>
  <c r="CW16" i="10"/>
  <c r="CV16" i="2"/>
  <c r="CU82" i="10"/>
  <c r="CT82" i="2"/>
  <c r="CU83" i="10"/>
  <c r="CT83" i="2"/>
  <c r="CU30" i="10"/>
  <c r="CT30" i="2"/>
  <c r="CU65" i="10"/>
  <c r="CT65" i="2"/>
  <c r="CW15" i="10"/>
  <c r="CV15" i="2"/>
  <c r="CU37" i="10"/>
  <c r="CT37" i="2"/>
  <c r="CU49" i="10"/>
  <c r="CT49" i="2"/>
  <c r="CU68" i="10"/>
  <c r="CT68" i="2"/>
  <c r="CU78" i="10"/>
  <c r="CT78" i="2"/>
  <c r="CU28" i="10"/>
  <c r="CT28" i="2"/>
  <c r="CU72" i="10"/>
  <c r="CT72" i="2"/>
  <c r="CU90" i="10"/>
  <c r="CT90" i="2"/>
  <c r="CU57" i="10"/>
  <c r="CT57" i="2"/>
  <c r="CU81" i="10"/>
  <c r="CT81" i="2"/>
  <c r="CU92" i="10"/>
  <c r="CT92" i="2"/>
  <c r="CU71" i="10"/>
  <c r="CT71" i="2"/>
  <c r="CU43" i="10"/>
  <c r="CT43" i="2"/>
  <c r="CU93" i="10"/>
  <c r="CT93" i="2"/>
  <c r="CU61" i="10"/>
  <c r="CT61" i="2"/>
  <c r="CU95" i="10"/>
  <c r="CT95" i="2"/>
  <c r="CU47" i="10"/>
  <c r="CT47" i="2"/>
  <c r="CU35" i="10"/>
  <c r="CT35" i="2"/>
  <c r="CU48" i="10"/>
  <c r="CT48" i="2"/>
  <c r="CU29" i="10"/>
  <c r="CT29" i="2"/>
  <c r="CU69" i="10"/>
  <c r="CT69" i="2"/>
  <c r="CU24" i="10"/>
  <c r="CT24" i="2"/>
  <c r="CU27" i="10"/>
  <c r="CT27" i="2"/>
  <c r="CU45" i="10"/>
  <c r="CT45" i="2"/>
  <c r="CU84" i="10"/>
  <c r="CT84" i="2"/>
  <c r="CU51" i="10"/>
  <c r="CT51" i="2"/>
  <c r="CU66" i="10"/>
  <c r="CT66" i="2"/>
  <c r="CU76" i="10"/>
  <c r="CT76" i="2"/>
  <c r="CU36" i="10"/>
  <c r="CT36" i="2"/>
  <c r="CU38" i="10"/>
  <c r="CT38" i="2"/>
  <c r="CW14" i="10"/>
  <c r="CV14" i="2"/>
  <c r="CU54" i="10"/>
  <c r="CT54" i="2"/>
  <c r="CU79" i="10"/>
  <c r="CT79" i="2"/>
  <c r="CU31" i="10"/>
  <c r="CT31" i="2"/>
  <c r="CV7" i="7"/>
  <c r="CU85" i="10"/>
  <c r="CT85" i="2"/>
  <c r="CU34" i="10"/>
  <c r="CT34" i="2"/>
  <c r="CU64" i="10"/>
  <c r="CT64" i="2"/>
  <c r="CU42" i="10"/>
  <c r="CT42" i="2"/>
  <c r="CU25" i="10"/>
  <c r="CT25" i="2"/>
  <c r="CU74" i="10"/>
  <c r="CT74" i="2"/>
  <c r="CU55" i="10"/>
  <c r="CT55" i="2"/>
  <c r="CW20" i="10"/>
  <c r="CV20" i="2"/>
  <c r="CW17" i="10"/>
  <c r="CV17" i="2"/>
  <c r="CU26" i="10"/>
  <c r="CT26" i="2"/>
  <c r="CU77" i="10"/>
  <c r="CT77" i="2"/>
  <c r="CU88" i="10"/>
  <c r="CT88" i="2"/>
  <c r="CU59" i="10"/>
  <c r="CT59" i="2"/>
  <c r="CU32" i="10"/>
  <c r="CT32" i="2"/>
  <c r="CU97" i="10"/>
  <c r="CU98" i="10"/>
  <c r="CT97" i="2"/>
  <c r="CU46" i="10"/>
  <c r="CT46" i="2"/>
  <c r="CW21" i="10"/>
  <c r="CV21" i="2"/>
  <c r="CU41" i="10"/>
  <c r="CT41" i="2"/>
  <c r="CU96" i="10"/>
  <c r="CT96" i="2"/>
  <c r="CU86" i="10"/>
  <c r="CT86" i="2"/>
  <c r="CU80" i="10"/>
  <c r="CT80" i="2"/>
  <c r="CX20" i="10" l="1"/>
  <c r="CW20" i="2"/>
  <c r="CV34" i="10"/>
  <c r="CU34" i="2"/>
  <c r="CX14" i="10"/>
  <c r="CW14" i="2"/>
  <c r="CV84" i="10"/>
  <c r="CU84" i="2"/>
  <c r="CV48" i="10"/>
  <c r="CU48" i="2"/>
  <c r="CV43" i="10"/>
  <c r="CU43" i="2"/>
  <c r="CV72" i="10"/>
  <c r="CU72" i="2"/>
  <c r="CX15" i="10"/>
  <c r="CW15" i="2"/>
  <c r="CV23" i="10"/>
  <c r="CU23" i="2"/>
  <c r="CV91" i="10"/>
  <c r="CU91" i="2"/>
  <c r="CX18" i="10"/>
  <c r="CW18" i="2"/>
  <c r="CV94" i="10"/>
  <c r="CU94" i="2"/>
  <c r="CV32" i="10"/>
  <c r="CU32" i="2"/>
  <c r="CV59" i="10"/>
  <c r="CU59" i="2"/>
  <c r="CV55" i="10"/>
  <c r="CU55" i="2"/>
  <c r="CV85" i="10"/>
  <c r="CU85" i="2"/>
  <c r="CV38" i="10"/>
  <c r="CU38" i="2"/>
  <c r="CV45" i="10"/>
  <c r="CU45" i="2"/>
  <c r="CV35" i="10"/>
  <c r="CU35" i="2"/>
  <c r="CV71" i="10"/>
  <c r="CU71" i="2"/>
  <c r="CV28" i="10"/>
  <c r="CU28" i="2"/>
  <c r="CV65" i="10"/>
  <c r="CU65" i="2"/>
  <c r="CV63" i="10"/>
  <c r="CU63" i="2"/>
  <c r="CV44" i="10"/>
  <c r="CU44" i="2"/>
  <c r="CV22" i="10"/>
  <c r="CU22" i="2"/>
  <c r="CV53" i="10"/>
  <c r="CU53" i="2"/>
  <c r="CU6" i="7"/>
  <c r="CV88" i="10"/>
  <c r="CU88" i="2"/>
  <c r="CV74" i="10"/>
  <c r="CU74" i="2"/>
  <c r="CV36" i="10"/>
  <c r="CU36" i="2"/>
  <c r="CV27" i="10"/>
  <c r="CU27" i="2"/>
  <c r="CV47" i="10"/>
  <c r="CU47" i="2"/>
  <c r="CV92" i="10"/>
  <c r="CU92" i="2"/>
  <c r="CV78" i="10"/>
  <c r="CU78" i="2"/>
  <c r="CV30" i="10"/>
  <c r="CU30" i="2"/>
  <c r="CV62" i="10"/>
  <c r="CU62" i="2"/>
  <c r="CV67" i="10"/>
  <c r="CU67" i="2"/>
  <c r="CV60" i="10"/>
  <c r="CU60" i="2"/>
  <c r="CV70" i="10"/>
  <c r="CU70" i="2"/>
  <c r="CX21" i="10"/>
  <c r="CW21" i="2"/>
  <c r="CV96" i="10"/>
  <c r="CU96" i="2"/>
  <c r="CV77" i="10"/>
  <c r="CU77" i="2"/>
  <c r="CV25" i="10"/>
  <c r="CU25" i="2"/>
  <c r="CV31" i="10"/>
  <c r="CU31" i="2"/>
  <c r="CV76" i="10"/>
  <c r="CU76" i="2"/>
  <c r="CV24" i="10"/>
  <c r="CU24" i="2"/>
  <c r="CV95" i="10"/>
  <c r="CU95" i="2"/>
  <c r="CV81" i="10"/>
  <c r="CU81" i="2"/>
  <c r="CV68" i="10"/>
  <c r="CU68" i="2"/>
  <c r="CV83" i="10"/>
  <c r="CU83" i="2"/>
  <c r="CV58" i="10"/>
  <c r="CU58" i="2"/>
  <c r="CV89" i="10"/>
  <c r="CU89" i="2"/>
  <c r="CV33" i="10"/>
  <c r="CU33" i="2"/>
  <c r="CX19" i="10"/>
  <c r="CW19" i="2"/>
  <c r="CV41" i="10"/>
  <c r="CU41" i="2"/>
  <c r="CV46" i="10"/>
  <c r="CU46" i="2"/>
  <c r="CV26" i="10"/>
  <c r="CU26" i="2"/>
  <c r="CV42" i="10"/>
  <c r="CU42" i="2"/>
  <c r="CV79" i="10"/>
  <c r="CU79" i="2"/>
  <c r="CV66" i="10"/>
  <c r="CU66" i="2"/>
  <c r="CV69" i="10"/>
  <c r="CU69" i="2"/>
  <c r="CV61" i="10"/>
  <c r="CU61" i="2"/>
  <c r="CV57" i="10"/>
  <c r="CU57" i="2"/>
  <c r="CV49" i="10"/>
  <c r="CU49" i="2"/>
  <c r="CV82" i="10"/>
  <c r="CU82" i="2"/>
  <c r="CV50" i="10"/>
  <c r="CU50" i="2"/>
  <c r="CV87" i="10"/>
  <c r="CU87" i="2"/>
  <c r="CV39" i="10"/>
  <c r="CU39" i="2"/>
  <c r="CV56" i="10"/>
  <c r="CU56" i="2"/>
  <c r="CV86" i="10"/>
  <c r="CU86" i="2"/>
  <c r="CV80" i="10"/>
  <c r="CU80" i="2"/>
  <c r="CV98" i="10"/>
  <c r="CV99" i="10"/>
  <c r="CU98" i="2"/>
  <c r="CV97" i="10"/>
  <c r="CU97" i="2"/>
  <c r="CX17" i="10"/>
  <c r="CW17" i="2"/>
  <c r="CV64" i="10"/>
  <c r="CU64" i="2"/>
  <c r="CV54" i="10"/>
  <c r="CU54" i="2"/>
  <c r="CV51" i="10"/>
  <c r="CU51" i="2"/>
  <c r="CV29" i="10"/>
  <c r="CU29" i="2"/>
  <c r="CV93" i="10"/>
  <c r="CU93" i="2"/>
  <c r="CV90" i="10"/>
  <c r="CU90" i="2"/>
  <c r="CV37" i="10"/>
  <c r="CU37" i="2"/>
  <c r="CX16" i="10"/>
  <c r="CW16" i="2"/>
  <c r="CV40" i="10"/>
  <c r="CU40" i="2"/>
  <c r="CV73" i="10"/>
  <c r="CU73" i="2"/>
  <c r="CV52" i="10"/>
  <c r="CU52" i="2"/>
  <c r="CV75" i="10"/>
  <c r="CU75" i="2"/>
  <c r="CW73" i="10" l="1"/>
  <c r="CV73" i="2"/>
  <c r="CW29" i="10"/>
  <c r="CV29" i="2"/>
  <c r="CW100" i="10"/>
  <c r="CW99" i="10"/>
  <c r="CV99" i="2"/>
  <c r="CW98" i="10"/>
  <c r="CV98" i="2"/>
  <c r="CW50" i="10"/>
  <c r="CV50" i="2"/>
  <c r="CW66" i="10"/>
  <c r="CV66" i="2"/>
  <c r="CY19" i="10"/>
  <c r="CX19" i="2"/>
  <c r="CW81" i="10"/>
  <c r="CV81" i="2"/>
  <c r="CW77" i="10"/>
  <c r="CV77" i="2"/>
  <c r="CW62" i="10"/>
  <c r="CV62" i="2"/>
  <c r="CW36" i="10"/>
  <c r="CV36" i="2"/>
  <c r="CW44" i="10"/>
  <c r="CV44" i="2"/>
  <c r="CW45" i="10"/>
  <c r="CV45" i="2"/>
  <c r="CW94" i="10"/>
  <c r="CV94" i="2"/>
  <c r="CW43" i="10"/>
  <c r="CV43" i="2"/>
  <c r="CW40" i="10"/>
  <c r="CV40" i="2"/>
  <c r="CW51" i="10"/>
  <c r="CV51" i="2"/>
  <c r="CW80" i="10"/>
  <c r="CV80" i="2"/>
  <c r="CW82" i="10"/>
  <c r="CV82" i="2"/>
  <c r="CW79" i="10"/>
  <c r="CV79" i="2"/>
  <c r="CW33" i="10"/>
  <c r="CV33" i="2"/>
  <c r="CW95" i="10"/>
  <c r="CV95" i="2"/>
  <c r="CW96" i="10"/>
  <c r="CV96" i="2"/>
  <c r="CW30" i="10"/>
  <c r="CV30" i="2"/>
  <c r="CW74" i="10"/>
  <c r="CV74" i="2"/>
  <c r="CW63" i="10"/>
  <c r="CV63" i="2"/>
  <c r="CW38" i="10"/>
  <c r="CV38" i="2"/>
  <c r="CY18" i="10"/>
  <c r="CX18" i="2"/>
  <c r="CW48" i="10"/>
  <c r="CV48" i="2"/>
  <c r="CY16" i="10"/>
  <c r="CX16" i="2"/>
  <c r="CW54" i="10"/>
  <c r="CV54" i="2"/>
  <c r="CW86" i="10"/>
  <c r="CV86" i="2"/>
  <c r="CW49" i="10"/>
  <c r="CV49" i="2"/>
  <c r="CW42" i="10"/>
  <c r="CV42" i="2"/>
  <c r="CW89" i="10"/>
  <c r="CV89" i="2"/>
  <c r="CW24" i="10"/>
  <c r="CV24" i="2"/>
  <c r="CY21" i="10"/>
  <c r="CX21" i="2"/>
  <c r="CW78" i="10"/>
  <c r="CV78" i="2"/>
  <c r="CW88" i="10"/>
  <c r="CV88" i="2"/>
  <c r="CW65" i="10"/>
  <c r="CV65" i="2"/>
  <c r="CW85" i="10"/>
  <c r="CV85" i="2"/>
  <c r="CW91" i="10"/>
  <c r="CV91" i="2"/>
  <c r="CW84" i="10"/>
  <c r="CV84" i="2"/>
  <c r="CW64" i="10"/>
  <c r="CV64" i="2"/>
  <c r="CT5" i="7"/>
  <c r="CW37" i="10"/>
  <c r="CV37" i="2"/>
  <c r="CW56" i="10"/>
  <c r="CV56" i="2"/>
  <c r="CW26" i="10"/>
  <c r="CV26" i="2"/>
  <c r="CW58" i="10"/>
  <c r="CV58" i="2"/>
  <c r="CW76" i="10"/>
  <c r="CV76" i="2"/>
  <c r="CW92" i="10"/>
  <c r="CV92" i="2"/>
  <c r="CW28" i="10"/>
  <c r="CV28" i="2"/>
  <c r="CW55" i="10"/>
  <c r="CV55" i="2"/>
  <c r="CW23" i="10"/>
  <c r="CV23" i="2"/>
  <c r="CY14" i="10"/>
  <c r="CX14" i="2"/>
  <c r="CW57" i="10"/>
  <c r="CV57" i="2"/>
  <c r="CW70" i="10"/>
  <c r="CV70" i="2"/>
  <c r="CW75" i="10"/>
  <c r="CV75" i="2"/>
  <c r="CW90" i="10"/>
  <c r="CV90" i="2"/>
  <c r="CY17" i="10"/>
  <c r="CX17" i="2"/>
  <c r="CW39" i="10"/>
  <c r="CV39" i="2"/>
  <c r="CW61" i="10"/>
  <c r="CV61" i="2"/>
  <c r="CW46" i="10"/>
  <c r="CV46" i="2"/>
  <c r="CW83" i="10"/>
  <c r="CV83" i="2"/>
  <c r="CW31" i="10"/>
  <c r="CV31" i="2"/>
  <c r="CW60" i="10"/>
  <c r="CV60" i="2"/>
  <c r="CW47" i="10"/>
  <c r="CV47" i="2"/>
  <c r="CW53" i="10"/>
  <c r="CV53" i="2"/>
  <c r="CW71" i="10"/>
  <c r="CV71" i="2"/>
  <c r="CW59" i="10"/>
  <c r="CV59" i="2"/>
  <c r="CY15" i="10"/>
  <c r="CX15" i="2"/>
  <c r="CW34" i="10"/>
  <c r="CV34" i="2"/>
  <c r="CW52" i="10"/>
  <c r="CV52" i="2"/>
  <c r="CW93" i="10"/>
  <c r="CV93" i="2"/>
  <c r="CW97" i="10"/>
  <c r="CV97" i="2"/>
  <c r="CW87" i="10"/>
  <c r="CV87" i="2"/>
  <c r="CW69" i="10"/>
  <c r="CV69" i="2"/>
  <c r="CW41" i="10"/>
  <c r="CV41" i="2"/>
  <c r="CW68" i="10"/>
  <c r="CV68" i="2"/>
  <c r="CW25" i="10"/>
  <c r="CV25" i="2"/>
  <c r="CW67" i="10"/>
  <c r="CV67" i="2"/>
  <c r="CW27" i="10"/>
  <c r="CV27" i="2"/>
  <c r="CW22" i="10"/>
  <c r="CV22" i="2"/>
  <c r="CW35" i="10"/>
  <c r="CV35" i="2"/>
  <c r="CW32" i="10"/>
  <c r="CV32" i="2"/>
  <c r="CW72" i="10"/>
  <c r="CV72" i="2"/>
  <c r="CY20" i="10"/>
  <c r="CX20" i="2"/>
  <c r="CX92" i="10" l="1"/>
  <c r="CW92" i="2"/>
  <c r="CX44" i="10"/>
  <c r="CW44" i="2"/>
  <c r="CX66" i="10"/>
  <c r="CW66" i="2"/>
  <c r="CX70" i="10"/>
  <c r="CW70" i="2"/>
  <c r="CX68" i="10"/>
  <c r="CW68" i="2"/>
  <c r="CX47" i="10"/>
  <c r="CW47" i="2"/>
  <c r="CX90" i="10"/>
  <c r="CW90" i="2"/>
  <c r="CX55" i="10"/>
  <c r="CW55" i="2"/>
  <c r="CX56" i="10"/>
  <c r="CW56" i="2"/>
  <c r="CX27" i="10"/>
  <c r="CW27" i="2"/>
  <c r="CX87" i="10"/>
  <c r="CW87" i="2"/>
  <c r="CX59" i="10"/>
  <c r="CW59" i="2"/>
  <c r="CX83" i="10"/>
  <c r="CW83" i="2"/>
  <c r="CX85" i="10"/>
  <c r="CW85" i="2"/>
  <c r="CX89" i="10"/>
  <c r="CW89" i="2"/>
  <c r="CX48" i="10"/>
  <c r="CW48" i="2"/>
  <c r="CX96" i="10"/>
  <c r="CW96" i="2"/>
  <c r="CX51" i="10"/>
  <c r="CW51" i="2"/>
  <c r="CX36" i="10"/>
  <c r="CW36" i="2"/>
  <c r="CX50" i="10"/>
  <c r="CW50" i="2"/>
  <c r="CX28" i="10"/>
  <c r="CW28" i="2"/>
  <c r="CX37" i="10"/>
  <c r="CW37" i="2"/>
  <c r="CZ20" i="10"/>
  <c r="CY20" i="2"/>
  <c r="CX95" i="10"/>
  <c r="CW95" i="2"/>
  <c r="CX40" i="10"/>
  <c r="CW40" i="2"/>
  <c r="CX62" i="10"/>
  <c r="CW62" i="2"/>
  <c r="CX98" i="10"/>
  <c r="CW98" i="2"/>
  <c r="CX65" i="10"/>
  <c r="CW65" i="2"/>
  <c r="CX72" i="10"/>
  <c r="CW72" i="2"/>
  <c r="CX25" i="10"/>
  <c r="CW25" i="2"/>
  <c r="CX53" i="10"/>
  <c r="CW53" i="2"/>
  <c r="CX61" i="10"/>
  <c r="CW61" i="2"/>
  <c r="CX88" i="10"/>
  <c r="CW88" i="2"/>
  <c r="CX49" i="10"/>
  <c r="CW49" i="2"/>
  <c r="CX38" i="10"/>
  <c r="CW38" i="2"/>
  <c r="CX33" i="10"/>
  <c r="CW33" i="2"/>
  <c r="CX67" i="10"/>
  <c r="CW67" i="2"/>
  <c r="CX97" i="10"/>
  <c r="CW97" i="2"/>
  <c r="CX71" i="10"/>
  <c r="CW71" i="2"/>
  <c r="CX46" i="10"/>
  <c r="CW46" i="2"/>
  <c r="CZ18" i="10"/>
  <c r="CY18" i="2"/>
  <c r="CX93" i="10"/>
  <c r="CW93" i="2"/>
  <c r="CX57" i="10"/>
  <c r="CW57" i="2"/>
  <c r="CX76" i="10"/>
  <c r="CW76" i="2"/>
  <c r="CX43" i="10"/>
  <c r="CW43" i="2"/>
  <c r="CX77" i="10"/>
  <c r="CW77" i="2"/>
  <c r="CX99" i="10"/>
  <c r="CW99" i="2"/>
  <c r="CX75" i="10"/>
  <c r="CW75" i="2"/>
  <c r="CX64" i="10"/>
  <c r="CW64" i="2"/>
  <c r="CX78" i="10"/>
  <c r="CW78" i="2"/>
  <c r="CX86" i="10"/>
  <c r="CW86" i="2"/>
  <c r="CX63" i="10"/>
  <c r="CW63" i="2"/>
  <c r="CX79" i="10"/>
  <c r="CW79" i="2"/>
  <c r="CX100" i="10"/>
  <c r="CX101" i="10"/>
  <c r="CW100" i="2"/>
  <c r="CZ14" i="10"/>
  <c r="CY14" i="2"/>
  <c r="CX58" i="10"/>
  <c r="CW58" i="2"/>
  <c r="CX94" i="10"/>
  <c r="CW94" i="2"/>
  <c r="CX81" i="10"/>
  <c r="CW81" i="2"/>
  <c r="CX39" i="10"/>
  <c r="CW39" i="2"/>
  <c r="CX35" i="10"/>
  <c r="CW35" i="2"/>
  <c r="CX41" i="10"/>
  <c r="CW41" i="2"/>
  <c r="CX34" i="10"/>
  <c r="CW34" i="2"/>
  <c r="CX60" i="10"/>
  <c r="CW60" i="2"/>
  <c r="CX84" i="10"/>
  <c r="CW84" i="2"/>
  <c r="CZ21" i="10"/>
  <c r="CY21" i="2"/>
  <c r="CX54" i="10"/>
  <c r="CW54" i="2"/>
  <c r="CX74" i="10"/>
  <c r="CW74" i="2"/>
  <c r="CX82" i="10"/>
  <c r="CW82" i="2"/>
  <c r="CX29" i="10"/>
  <c r="CW29" i="2"/>
  <c r="CS4" i="7"/>
  <c r="CX45" i="10"/>
  <c r="CW45" i="2"/>
  <c r="CZ19" i="10"/>
  <c r="CY19" i="2"/>
  <c r="CX42" i="10"/>
  <c r="CW42" i="2"/>
  <c r="CX32" i="10"/>
  <c r="CW32" i="2"/>
  <c r="CX52" i="10"/>
  <c r="CW52" i="2"/>
  <c r="CZ17" i="10"/>
  <c r="CY17" i="2"/>
  <c r="CX23" i="10"/>
  <c r="CW23" i="2"/>
  <c r="CX26" i="10"/>
  <c r="CW26" i="2"/>
  <c r="CX22" i="10"/>
  <c r="CW22" i="2"/>
  <c r="CX69" i="10"/>
  <c r="CW69" i="2"/>
  <c r="CZ15" i="10"/>
  <c r="CY15" i="2"/>
  <c r="CX31" i="10"/>
  <c r="CW31" i="2"/>
  <c r="CX91" i="10"/>
  <c r="CW91" i="2"/>
  <c r="CX24" i="10"/>
  <c r="CW24" i="2"/>
  <c r="CZ16" i="10"/>
  <c r="CY16" i="2"/>
  <c r="CX30" i="10"/>
  <c r="CW30" i="2"/>
  <c r="CX80" i="10"/>
  <c r="CW80" i="2"/>
  <c r="CX73" i="10"/>
  <c r="CW73" i="2"/>
  <c r="CY39" i="10" l="1"/>
  <c r="CX39" i="2"/>
  <c r="CY75" i="10"/>
  <c r="CX75" i="2"/>
  <c r="CY93" i="10"/>
  <c r="CX93" i="2"/>
  <c r="CY33" i="10"/>
  <c r="CX33" i="2"/>
  <c r="CY25" i="10"/>
  <c r="CX25" i="2"/>
  <c r="CY95" i="10"/>
  <c r="CX95" i="2"/>
  <c r="CY51" i="10"/>
  <c r="CX51" i="2"/>
  <c r="CY59" i="10"/>
  <c r="CX59" i="2"/>
  <c r="CY47" i="10"/>
  <c r="CX47" i="2"/>
  <c r="CY69" i="10"/>
  <c r="CX69" i="2"/>
  <c r="CY29" i="10"/>
  <c r="CX29" i="2"/>
  <c r="CY81" i="10"/>
  <c r="CX81" i="2"/>
  <c r="CY99" i="10"/>
  <c r="CX99" i="2"/>
  <c r="DA18" i="10"/>
  <c r="CZ18" i="2"/>
  <c r="CY38" i="10"/>
  <c r="CX38" i="2"/>
  <c r="CY72" i="10"/>
  <c r="CX72" i="2"/>
  <c r="DA20" i="10"/>
  <c r="CZ20" i="2"/>
  <c r="CY63" i="10"/>
  <c r="CX63" i="2"/>
  <c r="CY96" i="10"/>
  <c r="CX96" i="2"/>
  <c r="CY68" i="10"/>
  <c r="CX68" i="2"/>
  <c r="CY52" i="10"/>
  <c r="CX52" i="2"/>
  <c r="CY84" i="10"/>
  <c r="CX84" i="2"/>
  <c r="CY30" i="10"/>
  <c r="CX30" i="2"/>
  <c r="CY32" i="10"/>
  <c r="CX32" i="2"/>
  <c r="CY87" i="10"/>
  <c r="CX87" i="2"/>
  <c r="DA16" i="10"/>
  <c r="CZ16" i="2"/>
  <c r="CY22" i="10"/>
  <c r="CX22" i="2"/>
  <c r="CY60" i="10"/>
  <c r="CX60" i="2"/>
  <c r="CY94" i="10"/>
  <c r="CX94" i="2"/>
  <c r="CY77" i="10"/>
  <c r="CX77" i="2"/>
  <c r="CY46" i="10"/>
  <c r="CX46" i="2"/>
  <c r="CY49" i="10"/>
  <c r="CX49" i="2"/>
  <c r="CY65" i="10"/>
  <c r="CX65" i="2"/>
  <c r="CY37" i="10"/>
  <c r="CX37" i="2"/>
  <c r="CY86" i="10"/>
  <c r="CX86" i="2"/>
  <c r="CY48" i="10"/>
  <c r="CX48" i="2"/>
  <c r="CY27" i="10"/>
  <c r="CX27" i="2"/>
  <c r="CY70" i="10"/>
  <c r="CX70" i="2"/>
  <c r="DA15" i="10"/>
  <c r="CZ15" i="2"/>
  <c r="CY58" i="10"/>
  <c r="CX58" i="2"/>
  <c r="CY43" i="10"/>
  <c r="CX43" i="2"/>
  <c r="CY71" i="10"/>
  <c r="CX71" i="2"/>
  <c r="CY88" i="10"/>
  <c r="CX88" i="2"/>
  <c r="CY98" i="10"/>
  <c r="CX98" i="2"/>
  <c r="CY28" i="10"/>
  <c r="CX28" i="2"/>
  <c r="CY79" i="10"/>
  <c r="CX79" i="2"/>
  <c r="CY42" i="10"/>
  <c r="CX42" i="2"/>
  <c r="DA19" i="10"/>
  <c r="CZ19" i="2"/>
  <c r="CY74" i="10"/>
  <c r="CX74" i="2"/>
  <c r="CY78" i="10"/>
  <c r="CX78" i="2"/>
  <c r="CY89" i="10"/>
  <c r="CX89" i="2"/>
  <c r="CY56" i="10"/>
  <c r="CX56" i="2"/>
  <c r="CY66" i="10"/>
  <c r="CX66" i="2"/>
  <c r="CY80" i="10"/>
  <c r="CX80" i="2"/>
  <c r="CY82" i="10"/>
  <c r="CX82" i="2"/>
  <c r="CY34" i="10"/>
  <c r="CX34" i="2"/>
  <c r="CY91" i="10"/>
  <c r="CX91" i="2"/>
  <c r="CY23" i="10"/>
  <c r="CX23" i="2"/>
  <c r="CY41" i="10"/>
  <c r="CX41" i="2"/>
  <c r="DA14" i="10"/>
  <c r="CZ14" i="2"/>
  <c r="CY76" i="10"/>
  <c r="CX76" i="2"/>
  <c r="CY97" i="10"/>
  <c r="CX97" i="2"/>
  <c r="CY61" i="10"/>
  <c r="CX61" i="2"/>
  <c r="CY62" i="10"/>
  <c r="CX62" i="2"/>
  <c r="CY50" i="10"/>
  <c r="CX50" i="2"/>
  <c r="CY64" i="10"/>
  <c r="CX64" i="2"/>
  <c r="CY85" i="10"/>
  <c r="CX85" i="2"/>
  <c r="CY55" i="10"/>
  <c r="CX55" i="2"/>
  <c r="CY44" i="10"/>
  <c r="CX44" i="2"/>
  <c r="CY24" i="10"/>
  <c r="CX24" i="2"/>
  <c r="CY26" i="10"/>
  <c r="CX26" i="2"/>
  <c r="CY45" i="10"/>
  <c r="CX45" i="2"/>
  <c r="CY54" i="10"/>
  <c r="CX54" i="2"/>
  <c r="CY73" i="10"/>
  <c r="CX73" i="2"/>
  <c r="CY31" i="10"/>
  <c r="CX31" i="2"/>
  <c r="DA17" i="10"/>
  <c r="CZ17" i="2"/>
  <c r="CY35" i="10"/>
  <c r="CX35" i="2"/>
  <c r="CY102" i="10"/>
  <c r="CY101" i="10"/>
  <c r="CX101" i="2"/>
  <c r="CY57" i="10"/>
  <c r="CX57" i="2"/>
  <c r="CY67" i="10"/>
  <c r="CX67" i="2"/>
  <c r="CY53" i="10"/>
  <c r="CX53" i="2"/>
  <c r="CY40" i="10"/>
  <c r="CX40" i="2"/>
  <c r="CY36" i="10"/>
  <c r="CX36" i="2"/>
  <c r="DA21" i="10"/>
  <c r="CZ21" i="2"/>
  <c r="CY100" i="10"/>
  <c r="CX100" i="2"/>
  <c r="CY83" i="10"/>
  <c r="CX83" i="2"/>
  <c r="CY90" i="10"/>
  <c r="CX90" i="2"/>
  <c r="CY92" i="10"/>
  <c r="CX92" i="2"/>
  <c r="CZ100" i="10" l="1"/>
  <c r="CY100" i="2"/>
  <c r="CZ31" i="10"/>
  <c r="CY31" i="2"/>
  <c r="CZ24" i="10"/>
  <c r="CY24" i="2"/>
  <c r="CZ62" i="10"/>
  <c r="CY62" i="2"/>
  <c r="CZ23" i="10"/>
  <c r="CY23" i="2"/>
  <c r="CZ35" i="10"/>
  <c r="CY35" i="2"/>
  <c r="CZ83" i="10"/>
  <c r="CY83" i="2"/>
  <c r="CZ53" i="10"/>
  <c r="CY53" i="2"/>
  <c r="DB17" i="10"/>
  <c r="DB17" i="2" s="1"/>
  <c r="DB17" i="7" s="1"/>
  <c r="DA17" i="2"/>
  <c r="CZ26" i="10"/>
  <c r="CY26" i="2"/>
  <c r="CZ50" i="10"/>
  <c r="CY50" i="2"/>
  <c r="CZ41" i="10"/>
  <c r="CY41" i="2"/>
  <c r="CZ66" i="10"/>
  <c r="CY66" i="2"/>
  <c r="CZ81" i="10"/>
  <c r="CY81" i="2"/>
  <c r="CZ42" i="10"/>
  <c r="CY42" i="2"/>
  <c r="CZ43" i="10"/>
  <c r="CY43" i="2"/>
  <c r="CZ86" i="10"/>
  <c r="CY86" i="2"/>
  <c r="CZ94" i="10"/>
  <c r="CY94" i="2"/>
  <c r="CZ30" i="10"/>
  <c r="CY30" i="2"/>
  <c r="CZ95" i="10"/>
  <c r="CY95" i="2"/>
  <c r="CZ25" i="10"/>
  <c r="CY25" i="2"/>
  <c r="CZ79" i="10"/>
  <c r="CY79" i="2"/>
  <c r="CZ58" i="10"/>
  <c r="CY58" i="2"/>
  <c r="CZ60" i="10"/>
  <c r="CY60" i="2"/>
  <c r="CZ84" i="10"/>
  <c r="CY84" i="2"/>
  <c r="DB21" i="10"/>
  <c r="DB21" i="2" s="1"/>
  <c r="DB21" i="7" s="1"/>
  <c r="DA21" i="2"/>
  <c r="CZ57" i="10"/>
  <c r="CY57" i="2"/>
  <c r="CZ73" i="10"/>
  <c r="CY73" i="2"/>
  <c r="CZ44" i="10"/>
  <c r="CY44" i="2"/>
  <c r="CZ61" i="10"/>
  <c r="CY61" i="2"/>
  <c r="CZ91" i="10"/>
  <c r="CY91" i="2"/>
  <c r="CZ89" i="10"/>
  <c r="CY89" i="2"/>
  <c r="CZ72" i="10"/>
  <c r="CY72" i="2"/>
  <c r="CZ69" i="10"/>
  <c r="CY69" i="2"/>
  <c r="CZ67" i="10"/>
  <c r="CY67" i="2"/>
  <c r="CZ29" i="10"/>
  <c r="CY29" i="2"/>
  <c r="CZ37" i="10"/>
  <c r="CY37" i="2"/>
  <c r="CZ28" i="10"/>
  <c r="CY28" i="2"/>
  <c r="DB15" i="10"/>
  <c r="DB15" i="2" s="1"/>
  <c r="DB15" i="7" s="1"/>
  <c r="DA15" i="2"/>
  <c r="CZ65" i="10"/>
  <c r="CY65" i="2"/>
  <c r="CZ22" i="10"/>
  <c r="CY22" i="2"/>
  <c r="CZ52" i="10"/>
  <c r="CY52" i="2"/>
  <c r="CZ33" i="10"/>
  <c r="CY33" i="2"/>
  <c r="CZ38" i="10"/>
  <c r="CY38" i="2"/>
  <c r="CZ47" i="10"/>
  <c r="CY47" i="2"/>
  <c r="CZ101" i="10"/>
  <c r="CY101" i="2"/>
  <c r="CZ54" i="10"/>
  <c r="CY54" i="2"/>
  <c r="CZ55" i="10"/>
  <c r="CY55" i="2"/>
  <c r="CZ97" i="10"/>
  <c r="CY97" i="2"/>
  <c r="CZ34" i="10"/>
  <c r="CY34" i="2"/>
  <c r="CZ78" i="10"/>
  <c r="CY78" i="2"/>
  <c r="CZ93" i="10"/>
  <c r="CY93" i="2"/>
  <c r="CZ102" i="10"/>
  <c r="CZ103" i="10"/>
  <c r="CY102" i="2"/>
  <c r="CZ98" i="10"/>
  <c r="CY98" i="2"/>
  <c r="CZ70" i="10"/>
  <c r="CY70" i="2"/>
  <c r="CZ49" i="10"/>
  <c r="CY49" i="2"/>
  <c r="DB16" i="10"/>
  <c r="DB16" i="2" s="1"/>
  <c r="DB16" i="7" s="1"/>
  <c r="DA16" i="2"/>
  <c r="CZ68" i="10"/>
  <c r="CY68" i="2"/>
  <c r="CZ92" i="10"/>
  <c r="CY92" i="2"/>
  <c r="CZ36" i="10"/>
  <c r="CY36" i="2"/>
  <c r="CZ45" i="10"/>
  <c r="CY45" i="2"/>
  <c r="CZ85" i="10"/>
  <c r="CY85" i="2"/>
  <c r="CZ76" i="10"/>
  <c r="CY76" i="2"/>
  <c r="CZ82" i="10"/>
  <c r="CY82" i="2"/>
  <c r="DB18" i="10"/>
  <c r="DB18" i="2" s="1"/>
  <c r="DB18" i="7" s="1"/>
  <c r="DA18" i="2"/>
  <c r="CZ59" i="10"/>
  <c r="CY59" i="2"/>
  <c r="CZ56" i="10"/>
  <c r="CY56" i="2"/>
  <c r="CZ74" i="10"/>
  <c r="CY74" i="2"/>
  <c r="CZ88" i="10"/>
  <c r="CY88" i="2"/>
  <c r="CZ27" i="10"/>
  <c r="CY27" i="2"/>
  <c r="CZ46" i="10"/>
  <c r="CY46" i="2"/>
  <c r="CZ87" i="10"/>
  <c r="CY87" i="2"/>
  <c r="CZ96" i="10"/>
  <c r="CY96" i="2"/>
  <c r="CZ75" i="10"/>
  <c r="CY75" i="2"/>
  <c r="DB20" i="10"/>
  <c r="DB20" i="2" s="1"/>
  <c r="DB20" i="7" s="1"/>
  <c r="DA20" i="2"/>
  <c r="CZ90" i="10"/>
  <c r="CY90" i="2"/>
  <c r="CZ40" i="10"/>
  <c r="CY40" i="2"/>
  <c r="CZ64" i="10"/>
  <c r="CY64" i="2"/>
  <c r="CZ80" i="10"/>
  <c r="CY80" i="2"/>
  <c r="CZ99" i="10"/>
  <c r="CY99" i="2"/>
  <c r="DB14" i="10"/>
  <c r="DB14" i="2" s="1"/>
  <c r="DB14" i="7" s="1"/>
  <c r="DA13" i="7" s="1"/>
  <c r="DA14" i="2"/>
  <c r="DB19" i="10"/>
  <c r="DB19" i="2" s="1"/>
  <c r="DB19" i="7" s="1"/>
  <c r="DA19" i="2"/>
  <c r="CZ71" i="10"/>
  <c r="CY71" i="2"/>
  <c r="CZ48" i="10"/>
  <c r="CY48" i="2"/>
  <c r="CZ77" i="10"/>
  <c r="CY77" i="2"/>
  <c r="CZ32" i="10"/>
  <c r="CY32" i="2"/>
  <c r="CZ63" i="10"/>
  <c r="CY63" i="2"/>
  <c r="CZ51" i="10"/>
  <c r="CY51" i="2"/>
  <c r="CZ39" i="10"/>
  <c r="CY39" i="2"/>
  <c r="DA18" i="7" l="1"/>
  <c r="DA15" i="7"/>
  <c r="DA20" i="7"/>
  <c r="DA48" i="10"/>
  <c r="CZ48" i="2"/>
  <c r="DA28" i="10"/>
  <c r="CZ28" i="2"/>
  <c r="DA25" i="10"/>
  <c r="CZ25" i="2"/>
  <c r="DA17" i="7"/>
  <c r="CZ17" i="7" s="1"/>
  <c r="DA64" i="10"/>
  <c r="CZ64" i="2"/>
  <c r="DA87" i="10"/>
  <c r="CZ87" i="2"/>
  <c r="DA59" i="10"/>
  <c r="CZ59" i="2"/>
  <c r="DA36" i="10"/>
  <c r="CZ36" i="2"/>
  <c r="DA89" i="10"/>
  <c r="CZ89" i="2"/>
  <c r="DA42" i="10"/>
  <c r="CZ42" i="2"/>
  <c r="DA16" i="7"/>
  <c r="CZ16" i="7" s="1"/>
  <c r="DA24" i="10"/>
  <c r="CZ24" i="2"/>
  <c r="DA98" i="10"/>
  <c r="CZ98" i="2"/>
  <c r="DA33" i="10"/>
  <c r="CZ33" i="2"/>
  <c r="DA37" i="10"/>
  <c r="CZ37" i="2"/>
  <c r="DA95" i="10"/>
  <c r="CZ95" i="2"/>
  <c r="DA92" i="10"/>
  <c r="CZ92" i="2"/>
  <c r="DA104" i="10"/>
  <c r="DA103" i="10"/>
  <c r="CZ103" i="2"/>
  <c r="DA55" i="10"/>
  <c r="CZ55" i="2"/>
  <c r="DA91" i="10"/>
  <c r="CZ91" i="2"/>
  <c r="DA84" i="10"/>
  <c r="CZ84" i="2"/>
  <c r="DA81" i="10"/>
  <c r="CZ81" i="2"/>
  <c r="DA53" i="10"/>
  <c r="CZ53" i="2"/>
  <c r="DA31" i="10"/>
  <c r="CZ31" i="2"/>
  <c r="DA46" i="10"/>
  <c r="CZ46" i="2"/>
  <c r="DA40" i="10"/>
  <c r="CZ40" i="2"/>
  <c r="DA102" i="10"/>
  <c r="CZ102" i="2"/>
  <c r="DA90" i="10"/>
  <c r="CZ90" i="2"/>
  <c r="DA27" i="10"/>
  <c r="CZ27" i="2"/>
  <c r="DA82" i="10"/>
  <c r="CZ82" i="2"/>
  <c r="DA68" i="10"/>
  <c r="CZ68" i="2"/>
  <c r="DA54" i="10"/>
  <c r="CZ54" i="2"/>
  <c r="DA61" i="10"/>
  <c r="CZ61" i="2"/>
  <c r="DA60" i="10"/>
  <c r="CZ60" i="2"/>
  <c r="DA30" i="10"/>
  <c r="CZ30" i="2"/>
  <c r="DA66" i="10"/>
  <c r="CZ66" i="2"/>
  <c r="DA83" i="10"/>
  <c r="CZ83" i="2"/>
  <c r="DA100" i="10"/>
  <c r="CZ100" i="2"/>
  <c r="DA63" i="10"/>
  <c r="CZ63" i="2"/>
  <c r="DA93" i="10"/>
  <c r="CZ93" i="2"/>
  <c r="DA22" i="10"/>
  <c r="CZ22" i="2"/>
  <c r="DA67" i="10"/>
  <c r="CZ67" i="2"/>
  <c r="CZ12" i="7"/>
  <c r="DA101" i="10"/>
  <c r="CZ101" i="2"/>
  <c r="DA44" i="10"/>
  <c r="CZ44" i="2"/>
  <c r="DA58" i="10"/>
  <c r="CZ58" i="2"/>
  <c r="DA94" i="10"/>
  <c r="CZ94" i="2"/>
  <c r="DA41" i="10"/>
  <c r="CZ41" i="2"/>
  <c r="DA35" i="10"/>
  <c r="CZ35" i="2"/>
  <c r="DA97" i="10"/>
  <c r="CZ97" i="2"/>
  <c r="DA51" i="10"/>
  <c r="CZ51" i="2"/>
  <c r="DA19" i="7"/>
  <c r="CZ19" i="7" s="1"/>
  <c r="DA88" i="10"/>
  <c r="CZ88" i="2"/>
  <c r="DA76" i="10"/>
  <c r="CZ76" i="2"/>
  <c r="DA32" i="10"/>
  <c r="CZ32" i="2"/>
  <c r="DA65" i="10"/>
  <c r="CZ65" i="2"/>
  <c r="DA69" i="10"/>
  <c r="CZ69" i="2"/>
  <c r="DA99" i="10"/>
  <c r="CZ99" i="2"/>
  <c r="DA75" i="10"/>
  <c r="CZ75" i="2"/>
  <c r="DA74" i="10"/>
  <c r="CZ74" i="2"/>
  <c r="DA85" i="10"/>
  <c r="CZ85" i="2"/>
  <c r="DA49" i="10"/>
  <c r="CZ49" i="2"/>
  <c r="DA78" i="10"/>
  <c r="CZ78" i="2"/>
  <c r="DA47" i="10"/>
  <c r="CZ47" i="2"/>
  <c r="DA73" i="10"/>
  <c r="CZ73" i="2"/>
  <c r="DA79" i="10"/>
  <c r="CZ79" i="2"/>
  <c r="DA86" i="10"/>
  <c r="CZ86" i="2"/>
  <c r="DA50" i="10"/>
  <c r="CZ50" i="2"/>
  <c r="DA23" i="10"/>
  <c r="CZ23" i="2"/>
  <c r="DA39" i="10"/>
  <c r="CZ39" i="2"/>
  <c r="DA71" i="10"/>
  <c r="CZ71" i="2"/>
  <c r="DA29" i="10"/>
  <c r="CZ29" i="2"/>
  <c r="DA72" i="10"/>
  <c r="CZ72" i="2"/>
  <c r="DA52" i="10"/>
  <c r="CZ52" i="2"/>
  <c r="DA77" i="10"/>
  <c r="CZ77" i="2"/>
  <c r="DA14" i="7"/>
  <c r="CZ13" i="7" s="1"/>
  <c r="DA80" i="10"/>
  <c r="CZ80" i="2"/>
  <c r="DA96" i="10"/>
  <c r="CZ96" i="2"/>
  <c r="DA56" i="10"/>
  <c r="CZ56" i="2"/>
  <c r="DA45" i="10"/>
  <c r="CZ45" i="2"/>
  <c r="DA70" i="10"/>
  <c r="CZ70" i="2"/>
  <c r="DA34" i="10"/>
  <c r="CZ34" i="2"/>
  <c r="DA38" i="10"/>
  <c r="CZ38" i="2"/>
  <c r="DA57" i="10"/>
  <c r="CZ57" i="2"/>
  <c r="DA43" i="10"/>
  <c r="CZ43" i="2"/>
  <c r="DA26" i="10"/>
  <c r="CZ26" i="2"/>
  <c r="DA62" i="10"/>
  <c r="CZ62" i="2"/>
  <c r="CZ15" i="7" l="1"/>
  <c r="CY15" i="7" s="1"/>
  <c r="CZ14" i="7"/>
  <c r="CY14" i="7" s="1"/>
  <c r="CX14" i="7" s="1"/>
  <c r="DB71" i="10"/>
  <c r="DB71" i="2" s="1"/>
  <c r="DB71" i="7" s="1"/>
  <c r="DA71" i="2"/>
  <c r="DB57" i="10"/>
  <c r="DB57" i="2" s="1"/>
  <c r="DB57" i="7" s="1"/>
  <c r="DA57" i="2"/>
  <c r="DB56" i="10"/>
  <c r="DB56" i="2" s="1"/>
  <c r="DB56" i="7" s="1"/>
  <c r="DA56" i="2"/>
  <c r="DB73" i="10"/>
  <c r="DB73" i="2" s="1"/>
  <c r="DB73" i="7" s="1"/>
  <c r="DA73" i="2"/>
  <c r="DB75" i="10"/>
  <c r="DB75" i="2" s="1"/>
  <c r="DB75" i="7" s="1"/>
  <c r="DA75" i="2"/>
  <c r="DB22" i="10"/>
  <c r="DB22" i="2" s="1"/>
  <c r="DB22" i="7" s="1"/>
  <c r="DA21" i="7" s="1"/>
  <c r="DA22" i="2"/>
  <c r="DB66" i="10"/>
  <c r="DB66" i="2" s="1"/>
  <c r="DB66" i="7" s="1"/>
  <c r="DA66" i="2"/>
  <c r="DB68" i="10"/>
  <c r="DB68" i="2" s="1"/>
  <c r="DB68" i="7" s="1"/>
  <c r="DA68" i="2"/>
  <c r="DB92" i="10"/>
  <c r="DB92" i="2" s="1"/>
  <c r="DB92" i="7" s="1"/>
  <c r="DA92" i="2"/>
  <c r="DB36" i="10"/>
  <c r="DB36" i="2" s="1"/>
  <c r="DB36" i="7" s="1"/>
  <c r="DA36" i="2"/>
  <c r="DB25" i="10"/>
  <c r="DB25" i="2" s="1"/>
  <c r="DB25" i="7" s="1"/>
  <c r="DA25" i="2"/>
  <c r="DB39" i="10"/>
  <c r="DB39" i="2" s="1"/>
  <c r="DB39" i="7" s="1"/>
  <c r="DA39" i="2"/>
  <c r="DB97" i="10"/>
  <c r="DB97" i="2" s="1"/>
  <c r="DB97" i="7" s="1"/>
  <c r="DA97" i="2"/>
  <c r="DB81" i="10"/>
  <c r="DB81" i="2" s="1"/>
  <c r="DB81" i="7" s="1"/>
  <c r="DA81" i="2"/>
  <c r="DB98" i="10"/>
  <c r="DB98" i="2" s="1"/>
  <c r="DB98" i="7" s="1"/>
  <c r="DA98" i="2"/>
  <c r="DB52" i="10"/>
  <c r="DB52" i="2" s="1"/>
  <c r="DB52" i="7" s="1"/>
  <c r="DA52" i="2"/>
  <c r="DB96" i="10"/>
  <c r="DB96" i="2" s="1"/>
  <c r="DB96" i="7" s="1"/>
  <c r="DA96" i="2"/>
  <c r="DB47" i="10"/>
  <c r="DB47" i="2" s="1"/>
  <c r="DB47" i="7" s="1"/>
  <c r="DA47" i="2"/>
  <c r="DB99" i="10"/>
  <c r="DB99" i="2" s="1"/>
  <c r="DB99" i="7" s="1"/>
  <c r="DA99" i="2"/>
  <c r="DB101" i="10"/>
  <c r="DB101" i="2" s="1"/>
  <c r="DB101" i="7" s="1"/>
  <c r="DA101" i="2"/>
  <c r="DB93" i="10"/>
  <c r="DB93" i="2" s="1"/>
  <c r="DB93" i="7" s="1"/>
  <c r="DA93" i="2"/>
  <c r="DB30" i="10"/>
  <c r="DB30" i="2" s="1"/>
  <c r="DB30" i="7" s="1"/>
  <c r="DA30" i="2"/>
  <c r="DB82" i="10"/>
  <c r="DB82" i="2" s="1"/>
  <c r="DB82" i="7" s="1"/>
  <c r="DA82" i="2"/>
  <c r="DB40" i="10"/>
  <c r="DB40" i="2" s="1"/>
  <c r="DB40" i="7" s="1"/>
  <c r="DA40" i="2"/>
  <c r="DB59" i="10"/>
  <c r="DB59" i="2" s="1"/>
  <c r="DB59" i="7" s="1"/>
  <c r="DA59" i="2"/>
  <c r="DB84" i="10"/>
  <c r="DB84" i="2" s="1"/>
  <c r="DB84" i="7" s="1"/>
  <c r="DA84" i="2"/>
  <c r="DB28" i="10"/>
  <c r="DB28" i="2" s="1"/>
  <c r="DB28" i="7" s="1"/>
  <c r="DA28" i="2"/>
  <c r="DB32" i="10"/>
  <c r="DB32" i="2" s="1"/>
  <c r="DB32" i="7" s="1"/>
  <c r="DA32" i="2"/>
  <c r="DB35" i="10"/>
  <c r="DB35" i="2" s="1"/>
  <c r="DB35" i="7" s="1"/>
  <c r="DA35" i="2"/>
  <c r="CY12" i="7"/>
  <c r="CY11" i="7"/>
  <c r="DB38" i="10"/>
  <c r="DB38" i="2" s="1"/>
  <c r="DB38" i="7" s="1"/>
  <c r="DA38" i="2"/>
  <c r="DB80" i="10"/>
  <c r="DB80" i="2" s="1"/>
  <c r="DB80" i="7" s="1"/>
  <c r="DA80" i="2"/>
  <c r="DB72" i="10"/>
  <c r="DB72" i="2" s="1"/>
  <c r="DB72" i="7" s="1"/>
  <c r="DA72" i="2"/>
  <c r="DB23" i="10"/>
  <c r="DB23" i="2" s="1"/>
  <c r="DB23" i="7" s="1"/>
  <c r="DA22" i="7" s="1"/>
  <c r="DA23" i="2"/>
  <c r="DB78" i="10"/>
  <c r="DB78" i="2" s="1"/>
  <c r="DB78" i="7" s="1"/>
  <c r="DA78" i="2"/>
  <c r="CZ18" i="7"/>
  <c r="CY18" i="7" s="1"/>
  <c r="DB60" i="10"/>
  <c r="DB60" i="2" s="1"/>
  <c r="DB60" i="7" s="1"/>
  <c r="DA60" i="2"/>
  <c r="DB27" i="10"/>
  <c r="DB27" i="2" s="1"/>
  <c r="DB27" i="7" s="1"/>
  <c r="DA27" i="2"/>
  <c r="DB95" i="10"/>
  <c r="DB95" i="2" s="1"/>
  <c r="DB95" i="7" s="1"/>
  <c r="DA95" i="2"/>
  <c r="DB24" i="10"/>
  <c r="DB24" i="2" s="1"/>
  <c r="DB24" i="7" s="1"/>
  <c r="DA24" i="2"/>
  <c r="DB87" i="10"/>
  <c r="DB87" i="2" s="1"/>
  <c r="DB87" i="7" s="1"/>
  <c r="DA87" i="2"/>
  <c r="DB41" i="10"/>
  <c r="DB41" i="2" s="1"/>
  <c r="DB41" i="7" s="1"/>
  <c r="DA41" i="2"/>
  <c r="DB91" i="10"/>
  <c r="DB91" i="2" s="1"/>
  <c r="DB91" i="7" s="1"/>
  <c r="DA91" i="2"/>
  <c r="CY16" i="7"/>
  <c r="CX15" i="7" s="1"/>
  <c r="DB62" i="10"/>
  <c r="DB62" i="2" s="1"/>
  <c r="DB62" i="7" s="1"/>
  <c r="DA62" i="2"/>
  <c r="DB34" i="10"/>
  <c r="DB34" i="2" s="1"/>
  <c r="DB34" i="7" s="1"/>
  <c r="DA34" i="2"/>
  <c r="DB50" i="10"/>
  <c r="DB50" i="2" s="1"/>
  <c r="DB50" i="7" s="1"/>
  <c r="DA50" i="2"/>
  <c r="DB49" i="10"/>
  <c r="DB49" i="2" s="1"/>
  <c r="DB49" i="7" s="1"/>
  <c r="DA49" i="2"/>
  <c r="DB69" i="10"/>
  <c r="DB69" i="2" s="1"/>
  <c r="DB69" i="7" s="1"/>
  <c r="DA69" i="2"/>
  <c r="DB76" i="10"/>
  <c r="DB76" i="2" s="1"/>
  <c r="DB76" i="7" s="1"/>
  <c r="DA76" i="2"/>
  <c r="DB63" i="10"/>
  <c r="DB63" i="2" s="1"/>
  <c r="DB63" i="7" s="1"/>
  <c r="DA63" i="2"/>
  <c r="DB61" i="10"/>
  <c r="DB61" i="2" s="1"/>
  <c r="DB61" i="7" s="1"/>
  <c r="DA61" i="2"/>
  <c r="DB90" i="10"/>
  <c r="DB90" i="2" s="1"/>
  <c r="DB90" i="7" s="1"/>
  <c r="DA90" i="2"/>
  <c r="DB64" i="10"/>
  <c r="DB64" i="2" s="1"/>
  <c r="DB64" i="7" s="1"/>
  <c r="DA64" i="2"/>
  <c r="DB94" i="10"/>
  <c r="DB94" i="2" s="1"/>
  <c r="DB94" i="7" s="1"/>
  <c r="DA94" i="2"/>
  <c r="DB46" i="10"/>
  <c r="DB46" i="2" s="1"/>
  <c r="DB46" i="7" s="1"/>
  <c r="DA46" i="2"/>
  <c r="DB55" i="10"/>
  <c r="DB55" i="2" s="1"/>
  <c r="DB55" i="7" s="1"/>
  <c r="DA55" i="2"/>
  <c r="DB42" i="10"/>
  <c r="DB42" i="2" s="1"/>
  <c r="DB42" i="7" s="1"/>
  <c r="DA42" i="2"/>
  <c r="DB26" i="10"/>
  <c r="DB26" i="2" s="1"/>
  <c r="DB26" i="7" s="1"/>
  <c r="DA26" i="2"/>
  <c r="DB70" i="10"/>
  <c r="DB70" i="2" s="1"/>
  <c r="DB70" i="7" s="1"/>
  <c r="DA70" i="2"/>
  <c r="DB29" i="10"/>
  <c r="DB29" i="2" s="1"/>
  <c r="DB29" i="7" s="1"/>
  <c r="DA29" i="2"/>
  <c r="DB86" i="10"/>
  <c r="DB86" i="2" s="1"/>
  <c r="DB86" i="7" s="1"/>
  <c r="DA86" i="2"/>
  <c r="DB85" i="10"/>
  <c r="DB85" i="2" s="1"/>
  <c r="DB85" i="7" s="1"/>
  <c r="DA85" i="2"/>
  <c r="DB65" i="10"/>
  <c r="DB65" i="2" s="1"/>
  <c r="DB65" i="7" s="1"/>
  <c r="DA65" i="2"/>
  <c r="DB88" i="10"/>
  <c r="DB88" i="2" s="1"/>
  <c r="DB88" i="7" s="1"/>
  <c r="DA88" i="2"/>
  <c r="DB100" i="10"/>
  <c r="DB100" i="2" s="1"/>
  <c r="DB100" i="7" s="1"/>
  <c r="DA100" i="2"/>
  <c r="DB37" i="10"/>
  <c r="DB37" i="2" s="1"/>
  <c r="DB37" i="7" s="1"/>
  <c r="DA37" i="2"/>
  <c r="DB77" i="10"/>
  <c r="DB77" i="2" s="1"/>
  <c r="DB77" i="7" s="1"/>
  <c r="DA77" i="2"/>
  <c r="DB58" i="10"/>
  <c r="DB58" i="2" s="1"/>
  <c r="DB58" i="7" s="1"/>
  <c r="DA58" i="2"/>
  <c r="DB54" i="10"/>
  <c r="DB54" i="2" s="1"/>
  <c r="DB54" i="7" s="1"/>
  <c r="DA54" i="2"/>
  <c r="DB31" i="10"/>
  <c r="DB31" i="2" s="1"/>
  <c r="DB31" i="7" s="1"/>
  <c r="DA31" i="2"/>
  <c r="DB103" i="10"/>
  <c r="DB103" i="2" s="1"/>
  <c r="DB103" i="7" s="1"/>
  <c r="DA103" i="2"/>
  <c r="DB74" i="10"/>
  <c r="DB74" i="2" s="1"/>
  <c r="DB74" i="7" s="1"/>
  <c r="DA74" i="2"/>
  <c r="DB67" i="10"/>
  <c r="DB67" i="2" s="1"/>
  <c r="DB67" i="7" s="1"/>
  <c r="DA67" i="2"/>
  <c r="DB83" i="10"/>
  <c r="DB83" i="2" s="1"/>
  <c r="DB83" i="7" s="1"/>
  <c r="DA83" i="2"/>
  <c r="DB102" i="10"/>
  <c r="DB102" i="2" s="1"/>
  <c r="DB102" i="7" s="1"/>
  <c r="DA102" i="2"/>
  <c r="DB105" i="10"/>
  <c r="DB105" i="2" s="1"/>
  <c r="DB105" i="7" s="1"/>
  <c r="DB104" i="10"/>
  <c r="DB104" i="2" s="1"/>
  <c r="DB104" i="7" s="1"/>
  <c r="DA104" i="2"/>
  <c r="DB33" i="10"/>
  <c r="DB33" i="2" s="1"/>
  <c r="DB33" i="7" s="1"/>
  <c r="DA33" i="2"/>
  <c r="DB89" i="10"/>
  <c r="DB89" i="2" s="1"/>
  <c r="DB89" i="7" s="1"/>
  <c r="DA89" i="2"/>
  <c r="DB48" i="10"/>
  <c r="DB48" i="2" s="1"/>
  <c r="DB48" i="7" s="1"/>
  <c r="DA48" i="2"/>
  <c r="DB43" i="10"/>
  <c r="DB43" i="2" s="1"/>
  <c r="DB43" i="7" s="1"/>
  <c r="DA43" i="2"/>
  <c r="DB45" i="10"/>
  <c r="DB45" i="2" s="1"/>
  <c r="DB45" i="7" s="1"/>
  <c r="DA45" i="2"/>
  <c r="DB79" i="10"/>
  <c r="DB79" i="2" s="1"/>
  <c r="DB79" i="7" s="1"/>
  <c r="DA79" i="2"/>
  <c r="DB51" i="10"/>
  <c r="DB51" i="2" s="1"/>
  <c r="DB51" i="7" s="1"/>
  <c r="DA51" i="2"/>
  <c r="DB44" i="10"/>
  <c r="DB44" i="2" s="1"/>
  <c r="DB44" i="7" s="1"/>
  <c r="DA44" i="2"/>
  <c r="DB53" i="10"/>
  <c r="DB53" i="2" s="1"/>
  <c r="DB53" i="7" s="1"/>
  <c r="DA53" i="2"/>
  <c r="DA43" i="7" l="1"/>
  <c r="DA79" i="7"/>
  <c r="DA100" i="7"/>
  <c r="DA70" i="7"/>
  <c r="DA31" i="7"/>
  <c r="DA61" i="7"/>
  <c r="DA67" i="7"/>
  <c r="DA74" i="7"/>
  <c r="DA87" i="7"/>
  <c r="DA50" i="7"/>
  <c r="DA65" i="7"/>
  <c r="DA34" i="7"/>
  <c r="DA72" i="7"/>
  <c r="DA58" i="7"/>
  <c r="DA55" i="7"/>
  <c r="DA63" i="7"/>
  <c r="DA84" i="7"/>
  <c r="DA62" i="7"/>
  <c r="CZ62" i="7" s="1"/>
  <c r="DA77" i="7"/>
  <c r="DA86" i="7"/>
  <c r="CY17" i="7"/>
  <c r="CX17" i="7" s="1"/>
  <c r="DA83" i="7"/>
  <c r="CW14" i="7"/>
  <c r="DA33" i="7"/>
  <c r="CZ33" i="7" s="1"/>
  <c r="DA94" i="7"/>
  <c r="DA40" i="7"/>
  <c r="DA96" i="7"/>
  <c r="CY13" i="7"/>
  <c r="CX13" i="7" s="1"/>
  <c r="CW13" i="7" s="1"/>
  <c r="DA104" i="7"/>
  <c r="DA78" i="7"/>
  <c r="DA69" i="7"/>
  <c r="CZ69" i="7" s="1"/>
  <c r="DA95" i="7"/>
  <c r="DA73" i="7"/>
  <c r="CZ73" i="7" s="1"/>
  <c r="DA102" i="7"/>
  <c r="DA48" i="7"/>
  <c r="DA54" i="7"/>
  <c r="CZ54" i="7" s="1"/>
  <c r="DA29" i="7"/>
  <c r="DA90" i="7"/>
  <c r="DA49" i="7"/>
  <c r="DA91" i="7"/>
  <c r="DA80" i="7"/>
  <c r="DA47" i="7"/>
  <c r="DA46" i="7"/>
  <c r="DA27" i="7"/>
  <c r="DA82" i="7"/>
  <c r="DA92" i="7"/>
  <c r="DA56" i="7"/>
  <c r="CZ56" i="7" s="1"/>
  <c r="DA38" i="7"/>
  <c r="CZ38" i="7" s="1"/>
  <c r="DA28" i="7"/>
  <c r="CZ28" i="7" s="1"/>
  <c r="DA97" i="7"/>
  <c r="DA60" i="7"/>
  <c r="DA30" i="7"/>
  <c r="CZ30" i="7" s="1"/>
  <c r="DA68" i="7"/>
  <c r="DA57" i="7"/>
  <c r="DA53" i="7"/>
  <c r="DA41" i="7"/>
  <c r="DA88" i="7"/>
  <c r="DA45" i="7"/>
  <c r="CZ45" i="7" s="1"/>
  <c r="DA26" i="7"/>
  <c r="CZ26" i="7" s="1"/>
  <c r="CX18" i="7"/>
  <c r="DA93" i="7"/>
  <c r="DA52" i="7"/>
  <c r="DA39" i="7"/>
  <c r="DA66" i="7"/>
  <c r="CZ66" i="7" s="1"/>
  <c r="DA71" i="7"/>
  <c r="DA101" i="7"/>
  <c r="DA44" i="7"/>
  <c r="DA103" i="7"/>
  <c r="CZ103" i="7" s="1"/>
  <c r="DA85" i="7"/>
  <c r="CZ85" i="7" s="1"/>
  <c r="DA42" i="7"/>
  <c r="CZ42" i="7" s="1"/>
  <c r="DA76" i="7"/>
  <c r="DA23" i="7"/>
  <c r="CZ22" i="7" s="1"/>
  <c r="DA35" i="7"/>
  <c r="DA98" i="7"/>
  <c r="DA25" i="7"/>
  <c r="CZ21" i="7"/>
  <c r="CZ20" i="7"/>
  <c r="CY19" i="7" s="1"/>
  <c r="DA89" i="7"/>
  <c r="DA37" i="7"/>
  <c r="DA64" i="7"/>
  <c r="DA24" i="7"/>
  <c r="DA59" i="7"/>
  <c r="DA75" i="7"/>
  <c r="CZ75" i="7" s="1"/>
  <c r="CX11" i="7"/>
  <c r="CX10" i="7"/>
  <c r="DA51" i="7"/>
  <c r="DA32" i="7"/>
  <c r="DA99" i="7"/>
  <c r="CZ99" i="7" s="1"/>
  <c r="DA81" i="7"/>
  <c r="DA36" i="7"/>
  <c r="CZ82" i="7" l="1"/>
  <c r="CX16" i="7"/>
  <c r="CW16" i="7" s="1"/>
  <c r="CZ86" i="7"/>
  <c r="CZ60" i="7"/>
  <c r="CZ58" i="7"/>
  <c r="CZ64" i="7"/>
  <c r="CZ44" i="7"/>
  <c r="CY44" i="7" s="1"/>
  <c r="CZ57" i="7"/>
  <c r="CY57" i="7" s="1"/>
  <c r="CZ71" i="7"/>
  <c r="CZ101" i="7"/>
  <c r="CZ32" i="7"/>
  <c r="CY32" i="7" s="1"/>
  <c r="CZ39" i="7"/>
  <c r="CY38" i="7" s="1"/>
  <c r="CZ81" i="7"/>
  <c r="CY81" i="7" s="1"/>
  <c r="CZ52" i="7"/>
  <c r="CZ97" i="7"/>
  <c r="CV13" i="7"/>
  <c r="CZ93" i="7"/>
  <c r="CZ76" i="7"/>
  <c r="CY75" i="7" s="1"/>
  <c r="CZ89" i="7"/>
  <c r="CX12" i="7"/>
  <c r="CW12" i="7" s="1"/>
  <c r="CV12" i="7" s="1"/>
  <c r="CZ53" i="7"/>
  <c r="CY53" i="7" s="1"/>
  <c r="CZ95" i="7"/>
  <c r="CZ61" i="7"/>
  <c r="CY61" i="7" s="1"/>
  <c r="CZ51" i="7"/>
  <c r="CZ47" i="7"/>
  <c r="CZ80" i="7"/>
  <c r="CZ83" i="7"/>
  <c r="CY82" i="7" s="1"/>
  <c r="CZ91" i="7"/>
  <c r="CY20" i="7"/>
  <c r="CY21" i="7"/>
  <c r="CZ88" i="7"/>
  <c r="CY88" i="7" s="1"/>
  <c r="CZ29" i="7"/>
  <c r="CY29" i="7" s="1"/>
  <c r="CZ77" i="7"/>
  <c r="CY76" i="7" s="1"/>
  <c r="CX75" i="7" s="1"/>
  <c r="CZ78" i="7"/>
  <c r="CZ100" i="7"/>
  <c r="CY100" i="7" s="1"/>
  <c r="CZ25" i="7"/>
  <c r="CY25" i="7" s="1"/>
  <c r="CW15" i="7"/>
  <c r="CZ63" i="7"/>
  <c r="CZ98" i="7"/>
  <c r="CY98" i="7" s="1"/>
  <c r="CZ41" i="7"/>
  <c r="CY41" i="7" s="1"/>
  <c r="CZ40" i="7"/>
  <c r="CW10" i="7"/>
  <c r="CW9" i="7"/>
  <c r="CZ35" i="7"/>
  <c r="CZ34" i="7"/>
  <c r="CZ92" i="7"/>
  <c r="CZ102" i="7"/>
  <c r="CY102" i="7" s="1"/>
  <c r="CZ72" i="7"/>
  <c r="CY72" i="7" s="1"/>
  <c r="CZ90" i="7"/>
  <c r="CZ74" i="7"/>
  <c r="CY74" i="7" s="1"/>
  <c r="CZ84" i="7"/>
  <c r="CZ55" i="7"/>
  <c r="CY55" i="7" s="1"/>
  <c r="CZ43" i="7"/>
  <c r="CY43" i="7" s="1"/>
  <c r="CX43" i="7" s="1"/>
  <c r="CZ48" i="7"/>
  <c r="CZ49" i="7"/>
  <c r="CZ27" i="7"/>
  <c r="CY27" i="7" s="1"/>
  <c r="CW17" i="7"/>
  <c r="CV16" i="7" s="1"/>
  <c r="CZ50" i="7"/>
  <c r="CZ87" i="7"/>
  <c r="CY86" i="7" s="1"/>
  <c r="CZ36" i="7"/>
  <c r="CZ37" i="7"/>
  <c r="CY37" i="7" s="1"/>
  <c r="CZ96" i="7"/>
  <c r="CZ59" i="7"/>
  <c r="CY59" i="7" s="1"/>
  <c r="CZ46" i="7"/>
  <c r="CY45" i="7" s="1"/>
  <c r="CZ65" i="7"/>
  <c r="CY65" i="7" s="1"/>
  <c r="CZ70" i="7"/>
  <c r="CZ79" i="7"/>
  <c r="CZ23" i="7"/>
  <c r="CY22" i="7" s="1"/>
  <c r="CZ24" i="7"/>
  <c r="CY85" i="7"/>
  <c r="CZ67" i="7"/>
  <c r="CY66" i="7" s="1"/>
  <c r="CZ68" i="7"/>
  <c r="CZ94" i="7"/>
  <c r="CZ31" i="7"/>
  <c r="CY71" i="7" l="1"/>
  <c r="CX71" i="7" s="1"/>
  <c r="CY56" i="7"/>
  <c r="CY90" i="7"/>
  <c r="CY70" i="7"/>
  <c r="CY31" i="7"/>
  <c r="CX31" i="7" s="1"/>
  <c r="CY94" i="7"/>
  <c r="CY97" i="7"/>
  <c r="CX97" i="7" s="1"/>
  <c r="CY80" i="7"/>
  <c r="CX80" i="7" s="1"/>
  <c r="CX81" i="7"/>
  <c r="CY79" i="7"/>
  <c r="CX79" i="7" s="1"/>
  <c r="CW79" i="7" s="1"/>
  <c r="CY42" i="7"/>
  <c r="CX42" i="7" s="1"/>
  <c r="CW42" i="7" s="1"/>
  <c r="CY28" i="7"/>
  <c r="CX28" i="7" s="1"/>
  <c r="CY51" i="7"/>
  <c r="CU12" i="7"/>
  <c r="CY92" i="7"/>
  <c r="CY96" i="7"/>
  <c r="CY24" i="7"/>
  <c r="CX24" i="7" s="1"/>
  <c r="CX37" i="7"/>
  <c r="CY40" i="7"/>
  <c r="CX40" i="7" s="1"/>
  <c r="CY64" i="7"/>
  <c r="CX64" i="7" s="1"/>
  <c r="CY46" i="7"/>
  <c r="CX45" i="7" s="1"/>
  <c r="CY99" i="7"/>
  <c r="CX99" i="7" s="1"/>
  <c r="CY73" i="7"/>
  <c r="CX73" i="7" s="1"/>
  <c r="CY39" i="7"/>
  <c r="CY49" i="7"/>
  <c r="CY60" i="7"/>
  <c r="CX60" i="7" s="1"/>
  <c r="CY52" i="7"/>
  <c r="CX52" i="7" s="1"/>
  <c r="CX74" i="7"/>
  <c r="CW74" i="7" s="1"/>
  <c r="CY50" i="7"/>
  <c r="CY48" i="7"/>
  <c r="CW11" i="7"/>
  <c r="CV11" i="7" s="1"/>
  <c r="CU11" i="7" s="1"/>
  <c r="CX56" i="7"/>
  <c r="CY69" i="7"/>
  <c r="CX69" i="7" s="1"/>
  <c r="CY35" i="7"/>
  <c r="CY84" i="7"/>
  <c r="CX84" i="7" s="1"/>
  <c r="CY83" i="7"/>
  <c r="CV15" i="7"/>
  <c r="CU15" i="7" s="1"/>
  <c r="CV14" i="7"/>
  <c r="CX85" i="7"/>
  <c r="CV9" i="7"/>
  <c r="CV8" i="7"/>
  <c r="CY101" i="7"/>
  <c r="CX100" i="7" s="1"/>
  <c r="CX20" i="7"/>
  <c r="CY26" i="7"/>
  <c r="CX26" i="7" s="1"/>
  <c r="CY95" i="7"/>
  <c r="CY91" i="7"/>
  <c r="CY30" i="7"/>
  <c r="CX30" i="7" s="1"/>
  <c r="CW30" i="7" s="1"/>
  <c r="CX19" i="7"/>
  <c r="CY78" i="7"/>
  <c r="CY93" i="7"/>
  <c r="CX21" i="7"/>
  <c r="CY23" i="7"/>
  <c r="CX70" i="7"/>
  <c r="CW70" i="7" s="1"/>
  <c r="CY47" i="7"/>
  <c r="CX65" i="7"/>
  <c r="CY87" i="7"/>
  <c r="CX87" i="7" s="1"/>
  <c r="CY77" i="7"/>
  <c r="CY89" i="7"/>
  <c r="CX89" i="7" s="1"/>
  <c r="CX44" i="7"/>
  <c r="CY36" i="7"/>
  <c r="CY34" i="7"/>
  <c r="CY33" i="7"/>
  <c r="CY63" i="7"/>
  <c r="CY62" i="7"/>
  <c r="CY58" i="7"/>
  <c r="CX58" i="7" s="1"/>
  <c r="CY67" i="7"/>
  <c r="CX66" i="7" s="1"/>
  <c r="CY68" i="7"/>
  <c r="CX55" i="7"/>
  <c r="CY54" i="7"/>
  <c r="CW80" i="7" l="1"/>
  <c r="CX41" i="7"/>
  <c r="CW41" i="7" s="1"/>
  <c r="CV41" i="7" s="1"/>
  <c r="CX93" i="7"/>
  <c r="CX91" i="7"/>
  <c r="CX77" i="7"/>
  <c r="CX98" i="7"/>
  <c r="CW98" i="7" s="1"/>
  <c r="CX90" i="7"/>
  <c r="CW90" i="7" s="1"/>
  <c r="CV79" i="7"/>
  <c r="CX50" i="7"/>
  <c r="CX78" i="7"/>
  <c r="CW78" i="7" s="1"/>
  <c r="CV78" i="7" s="1"/>
  <c r="CU78" i="7" s="1"/>
  <c r="CX96" i="7"/>
  <c r="CW96" i="7" s="1"/>
  <c r="CW99" i="7"/>
  <c r="CV98" i="7" s="1"/>
  <c r="CX23" i="7"/>
  <c r="CW23" i="7" s="1"/>
  <c r="CW20" i="7"/>
  <c r="CT11" i="7"/>
  <c r="CX51" i="7"/>
  <c r="CW51" i="7" s="1"/>
  <c r="CX95" i="7"/>
  <c r="CX27" i="7"/>
  <c r="CW27" i="7" s="1"/>
  <c r="CX101" i="7"/>
  <c r="CW100" i="7" s="1"/>
  <c r="CX47" i="7"/>
  <c r="CX46" i="7"/>
  <c r="CW46" i="7" s="1"/>
  <c r="CW26" i="7"/>
  <c r="CV26" i="7" s="1"/>
  <c r="CX49" i="7"/>
  <c r="CW49" i="7" s="1"/>
  <c r="CX39" i="7"/>
  <c r="CW39" i="7" s="1"/>
  <c r="CW69" i="7"/>
  <c r="CV69" i="7" s="1"/>
  <c r="CW73" i="7"/>
  <c r="CV73" i="7" s="1"/>
  <c r="CW55" i="7"/>
  <c r="CX63" i="7"/>
  <c r="CW63" i="7" s="1"/>
  <c r="CW97" i="7"/>
  <c r="CV97" i="7" s="1"/>
  <c r="CX59" i="7"/>
  <c r="CW59" i="7" s="1"/>
  <c r="CV10" i="7"/>
  <c r="CU10" i="7" s="1"/>
  <c r="CT10" i="7" s="1"/>
  <c r="CX48" i="7"/>
  <c r="CX72" i="7"/>
  <c r="CW72" i="7" s="1"/>
  <c r="CX29" i="7"/>
  <c r="CW29" i="7" s="1"/>
  <c r="CV29" i="7" s="1"/>
  <c r="CW44" i="7"/>
  <c r="CX34" i="7"/>
  <c r="CX88" i="7"/>
  <c r="CW88" i="7" s="1"/>
  <c r="CX38" i="7"/>
  <c r="CW43" i="7"/>
  <c r="CX54" i="7"/>
  <c r="CW54" i="7" s="1"/>
  <c r="CX53" i="7"/>
  <c r="CX62" i="7"/>
  <c r="CX61" i="7"/>
  <c r="CX92" i="7"/>
  <c r="CW92" i="7" s="1"/>
  <c r="CU14" i="7"/>
  <c r="CT14" i="7" s="1"/>
  <c r="CU13" i="7"/>
  <c r="CX57" i="7"/>
  <c r="CW65" i="7"/>
  <c r="CX33" i="7"/>
  <c r="CX32" i="7"/>
  <c r="CW64" i="7"/>
  <c r="CV42" i="7"/>
  <c r="CX83" i="7"/>
  <c r="CW83" i="7" s="1"/>
  <c r="CX82" i="7"/>
  <c r="CW84" i="7"/>
  <c r="CX35" i="7"/>
  <c r="CX36" i="7"/>
  <c r="CW36" i="7" s="1"/>
  <c r="CX94" i="7"/>
  <c r="CW94" i="7" s="1"/>
  <c r="CX86" i="7"/>
  <c r="CW86" i="7" s="1"/>
  <c r="CU8" i="7"/>
  <c r="CU7" i="7"/>
  <c r="CW19" i="7"/>
  <c r="CW18" i="7"/>
  <c r="CX67" i="7"/>
  <c r="CX68" i="7"/>
  <c r="CW68" i="7" s="1"/>
  <c r="CX25" i="7"/>
  <c r="CW25" i="7" s="1"/>
  <c r="CX76" i="7"/>
  <c r="CW40" i="7"/>
  <c r="CX22" i="7"/>
  <c r="CW22" i="7" s="1"/>
  <c r="CV63" i="7" l="1"/>
  <c r="CW95" i="7"/>
  <c r="CV95" i="7" s="1"/>
  <c r="CW89" i="7"/>
  <c r="CV89" i="7" s="1"/>
  <c r="CV94" i="7"/>
  <c r="CU94" i="7" s="1"/>
  <c r="CV25" i="7"/>
  <c r="CU25" i="7" s="1"/>
  <c r="CU9" i="7"/>
  <c r="CT9" i="7" s="1"/>
  <c r="CS9" i="7" s="1"/>
  <c r="CV99" i="7"/>
  <c r="CW48" i="7"/>
  <c r="CV48" i="7" s="1"/>
  <c r="CW50" i="7"/>
  <c r="CV50" i="7" s="1"/>
  <c r="CV72" i="7"/>
  <c r="CU72" i="7" s="1"/>
  <c r="CS10" i="7"/>
  <c r="CR9" i="7" s="1"/>
  <c r="CV68" i="7"/>
  <c r="CU68" i="7" s="1"/>
  <c r="CW77" i="7"/>
  <c r="CV77" i="7" s="1"/>
  <c r="CU77" i="7" s="1"/>
  <c r="CT77" i="7" s="1"/>
  <c r="CV19" i="7"/>
  <c r="CW38" i="7"/>
  <c r="CV38" i="7" s="1"/>
  <c r="CV88" i="7"/>
  <c r="CU88" i="7" s="1"/>
  <c r="CW45" i="7"/>
  <c r="CV45" i="7" s="1"/>
  <c r="CW87" i="7"/>
  <c r="CV87" i="7" s="1"/>
  <c r="CW62" i="7"/>
  <c r="CV62" i="7" s="1"/>
  <c r="CU62" i="7" s="1"/>
  <c r="CV96" i="7"/>
  <c r="CU96" i="7" s="1"/>
  <c r="CW91" i="7"/>
  <c r="CV91" i="7" s="1"/>
  <c r="CV54" i="7"/>
  <c r="CW37" i="7"/>
  <c r="CW33" i="7"/>
  <c r="CW67" i="7"/>
  <c r="CV67" i="7" s="1"/>
  <c r="CU41" i="7"/>
  <c r="CV43" i="7"/>
  <c r="CU42" i="7" s="1"/>
  <c r="CW47" i="7"/>
  <c r="CW28" i="7"/>
  <c r="CV28" i="7" s="1"/>
  <c r="CU28" i="7" s="1"/>
  <c r="CW58" i="7"/>
  <c r="CV58" i="7" s="1"/>
  <c r="CV22" i="7"/>
  <c r="CW71" i="7"/>
  <c r="CW32" i="7"/>
  <c r="CW31" i="7"/>
  <c r="CW85" i="7"/>
  <c r="CV85" i="7" s="1"/>
  <c r="CV18" i="7"/>
  <c r="CV17" i="7"/>
  <c r="CW66" i="7"/>
  <c r="CW76" i="7"/>
  <c r="CW75" i="7"/>
  <c r="CW21" i="7"/>
  <c r="CW24" i="7"/>
  <c r="CW82" i="7"/>
  <c r="CV82" i="7" s="1"/>
  <c r="CW81" i="7"/>
  <c r="CV83" i="7"/>
  <c r="CW57" i="7"/>
  <c r="CW56" i="7"/>
  <c r="CW53" i="7"/>
  <c r="CV53" i="7" s="1"/>
  <c r="CW52" i="7"/>
  <c r="CT7" i="7"/>
  <c r="CT6" i="7"/>
  <c r="CT13" i="7"/>
  <c r="CS13" i="7" s="1"/>
  <c r="CT12" i="7"/>
  <c r="CW35" i="7"/>
  <c r="CV35" i="7" s="1"/>
  <c r="CV64" i="7"/>
  <c r="CW93" i="7"/>
  <c r="CV93" i="7" s="1"/>
  <c r="CU93" i="7" s="1"/>
  <c r="CT93" i="7" s="1"/>
  <c r="CV40" i="7"/>
  <c r="CU40" i="7" s="1"/>
  <c r="CV39" i="7"/>
  <c r="CU98" i="7"/>
  <c r="CU97" i="7"/>
  <c r="CT97" i="7" s="1"/>
  <c r="CW61" i="7"/>
  <c r="CV61" i="7" s="1"/>
  <c r="CU61" i="7" s="1"/>
  <c r="CW60" i="7"/>
  <c r="CW34" i="7"/>
  <c r="CU67" i="7" l="1"/>
  <c r="CT67" i="7" s="1"/>
  <c r="CU18" i="7"/>
  <c r="CV37" i="7"/>
  <c r="CU37" i="7" s="1"/>
  <c r="CV49" i="7"/>
  <c r="CV66" i="7"/>
  <c r="CU66" i="7" s="1"/>
  <c r="CT66" i="7" s="1"/>
  <c r="CS66" i="7" s="1"/>
  <c r="CT8" i="7"/>
  <c r="CS8" i="7" s="1"/>
  <c r="CR8" i="7" s="1"/>
  <c r="CQ8" i="7" s="1"/>
  <c r="CU87" i="7"/>
  <c r="CT87" i="7" s="1"/>
  <c r="CV44" i="7"/>
  <c r="CU44" i="7" s="1"/>
  <c r="CV76" i="7"/>
  <c r="CU76" i="7" s="1"/>
  <c r="CT76" i="7" s="1"/>
  <c r="CS76" i="7" s="1"/>
  <c r="CV86" i="7"/>
  <c r="CU86" i="7" s="1"/>
  <c r="CT86" i="7" s="1"/>
  <c r="CS86" i="7" s="1"/>
  <c r="CV36" i="7"/>
  <c r="CU36" i="7" s="1"/>
  <c r="CT36" i="7" s="1"/>
  <c r="CV90" i="7"/>
  <c r="CU90" i="7" s="1"/>
  <c r="CT61" i="7"/>
  <c r="CU53" i="7"/>
  <c r="CV57" i="7"/>
  <c r="CU57" i="7" s="1"/>
  <c r="CU95" i="7"/>
  <c r="CV65" i="7"/>
  <c r="CT41" i="7"/>
  <c r="CU82" i="7"/>
  <c r="CV47" i="7"/>
  <c r="CU47" i="7" s="1"/>
  <c r="CV46" i="7"/>
  <c r="CU63" i="7"/>
  <c r="CV27" i="7"/>
  <c r="CU27" i="7" s="1"/>
  <c r="CT27" i="7" s="1"/>
  <c r="CV32" i="7"/>
  <c r="CV71" i="7"/>
  <c r="CU71" i="7" s="1"/>
  <c r="CT71" i="7" s="1"/>
  <c r="CV70" i="7"/>
  <c r="CT40" i="7"/>
  <c r="CS6" i="7"/>
  <c r="CS5" i="7"/>
  <c r="CT96" i="7"/>
  <c r="CV51" i="7"/>
  <c r="CV52" i="7"/>
  <c r="CU52" i="7" s="1"/>
  <c r="CV24" i="7"/>
  <c r="CU24" i="7" s="1"/>
  <c r="CT24" i="7" s="1"/>
  <c r="CV23" i="7"/>
  <c r="CV84" i="7"/>
  <c r="CU84" i="7" s="1"/>
  <c r="CU17" i="7"/>
  <c r="CT17" i="7" s="1"/>
  <c r="CU16" i="7"/>
  <c r="CV92" i="7"/>
  <c r="CV56" i="7"/>
  <c r="CV55" i="7"/>
  <c r="CV21" i="7"/>
  <c r="CU21" i="7" s="1"/>
  <c r="CV20" i="7"/>
  <c r="CV31" i="7"/>
  <c r="CV30" i="7"/>
  <c r="CS12" i="7"/>
  <c r="CR12" i="7" s="1"/>
  <c r="CS11" i="7"/>
  <c r="CV81" i="7"/>
  <c r="CU81" i="7" s="1"/>
  <c r="CV80" i="7"/>
  <c r="CV33" i="7"/>
  <c r="CV34" i="7"/>
  <c r="CU34" i="7" s="1"/>
  <c r="CV60" i="7"/>
  <c r="CU60" i="7" s="1"/>
  <c r="CT60" i="7" s="1"/>
  <c r="CV59" i="7"/>
  <c r="CU39" i="7"/>
  <c r="CT39" i="7" s="1"/>
  <c r="CU38" i="7"/>
  <c r="CV75" i="7"/>
  <c r="CV74" i="7"/>
  <c r="CU65" i="7" l="1"/>
  <c r="CT65" i="7" s="1"/>
  <c r="CS65" i="7" s="1"/>
  <c r="CR65" i="7" s="1"/>
  <c r="CU75" i="7"/>
  <c r="CT75" i="7" s="1"/>
  <c r="CS75" i="7" s="1"/>
  <c r="CR75" i="7" s="1"/>
  <c r="CU35" i="7"/>
  <c r="CT35" i="7" s="1"/>
  <c r="CS35" i="7" s="1"/>
  <c r="CS7" i="7"/>
  <c r="CR7" i="7" s="1"/>
  <c r="CQ7" i="7" s="1"/>
  <c r="CP7" i="7" s="1"/>
  <c r="CR6" i="7"/>
  <c r="CQ6" i="7" s="1"/>
  <c r="CP6" i="7" s="1"/>
  <c r="CO6" i="7" s="1"/>
  <c r="CU48" i="7"/>
  <c r="CU49" i="7"/>
  <c r="CU43" i="7"/>
  <c r="CT43" i="7" s="1"/>
  <c r="CT52" i="7"/>
  <c r="CU31" i="7"/>
  <c r="CU89" i="7"/>
  <c r="CT88" i="7" s="1"/>
  <c r="CS87" i="7" s="1"/>
  <c r="CU56" i="7"/>
  <c r="CT56" i="7" s="1"/>
  <c r="CS60" i="7"/>
  <c r="CT34" i="7"/>
  <c r="CS34" i="7" s="1"/>
  <c r="CR34" i="7" s="1"/>
  <c r="CU26" i="7"/>
  <c r="CT26" i="7" s="1"/>
  <c r="CS26" i="7" s="1"/>
  <c r="CU85" i="7"/>
  <c r="CT85" i="7" s="1"/>
  <c r="CS85" i="7" s="1"/>
  <c r="CR85" i="7" s="1"/>
  <c r="CT81" i="7"/>
  <c r="CT95" i="7"/>
  <c r="CS95" i="7" s="1"/>
  <c r="CT94" i="7"/>
  <c r="CS40" i="7"/>
  <c r="CS39" i="7"/>
  <c r="CT62" i="7"/>
  <c r="CU46" i="7"/>
  <c r="CT46" i="7" s="1"/>
  <c r="CU45" i="7"/>
  <c r="CU64" i="7"/>
  <c r="CT64" i="7" s="1"/>
  <c r="CS64" i="7" s="1"/>
  <c r="CR64" i="7" s="1"/>
  <c r="CQ64" i="7" s="1"/>
  <c r="CU70" i="7"/>
  <c r="CT70" i="7" s="1"/>
  <c r="CS70" i="7" s="1"/>
  <c r="CU69" i="7"/>
  <c r="CU30" i="7"/>
  <c r="CU29" i="7"/>
  <c r="CT84" i="7"/>
  <c r="CS84" i="7" s="1"/>
  <c r="CR84" i="7" s="1"/>
  <c r="CQ84" i="7" s="1"/>
  <c r="CU51" i="7"/>
  <c r="CT51" i="7" s="1"/>
  <c r="CU50" i="7"/>
  <c r="CU59" i="7"/>
  <c r="CT59" i="7" s="1"/>
  <c r="CS59" i="7" s="1"/>
  <c r="CU58" i="7"/>
  <c r="CS96" i="7"/>
  <c r="CU20" i="7"/>
  <c r="CT20" i="7" s="1"/>
  <c r="CU19" i="7"/>
  <c r="CU92" i="7"/>
  <c r="CT92" i="7" s="1"/>
  <c r="CS92" i="7" s="1"/>
  <c r="CU91" i="7"/>
  <c r="CU23" i="7"/>
  <c r="CT23" i="7" s="1"/>
  <c r="CS23" i="7" s="1"/>
  <c r="CU22" i="7"/>
  <c r="CR11" i="7"/>
  <c r="CQ11" i="7" s="1"/>
  <c r="CR10" i="7"/>
  <c r="CT25" i="7"/>
  <c r="CR5" i="7"/>
  <c r="CQ5" i="7" s="1"/>
  <c r="CP5" i="7" s="1"/>
  <c r="CO5" i="7" s="1"/>
  <c r="CN5" i="7" s="1"/>
  <c r="CR4" i="7"/>
  <c r="CQ4" i="7" s="1"/>
  <c r="CP4" i="7" s="1"/>
  <c r="CO4" i="7" s="1"/>
  <c r="CN4" i="7" s="1"/>
  <c r="CM4" i="7" s="1"/>
  <c r="CT38" i="7"/>
  <c r="CS38" i="7" s="1"/>
  <c r="CR38" i="7" s="1"/>
  <c r="CT37" i="7"/>
  <c r="CU55" i="7"/>
  <c r="CU54" i="7"/>
  <c r="CU80" i="7"/>
  <c r="CT80" i="7" s="1"/>
  <c r="CS80" i="7" s="1"/>
  <c r="CU79" i="7"/>
  <c r="CT16" i="7"/>
  <c r="CS16" i="7" s="1"/>
  <c r="CT15" i="7"/>
  <c r="CU32" i="7"/>
  <c r="CU33" i="7"/>
  <c r="CT33" i="7" s="1"/>
  <c r="CU74" i="7"/>
  <c r="CT74" i="7" s="1"/>
  <c r="CS74" i="7" s="1"/>
  <c r="CR74" i="7" s="1"/>
  <c r="CQ74" i="7" s="1"/>
  <c r="CU73" i="7"/>
  <c r="CU83" i="7"/>
  <c r="CT82" i="7" s="1"/>
  <c r="CS81" i="7" s="1"/>
  <c r="CS51" i="7" l="1"/>
  <c r="CT55" i="7"/>
  <c r="CS55" i="7" s="1"/>
  <c r="CT42" i="7"/>
  <c r="CS42" i="7" s="1"/>
  <c r="CT31" i="7"/>
  <c r="CT48" i="7"/>
  <c r="CR59" i="7"/>
  <c r="CT30" i="7"/>
  <c r="CS30" i="7" s="1"/>
  <c r="CS33" i="7"/>
  <c r="CR33" i="7" s="1"/>
  <c r="CQ33" i="7" s="1"/>
  <c r="CT47" i="7"/>
  <c r="CS47" i="7" s="1"/>
  <c r="CT22" i="7"/>
  <c r="CS22" i="7" s="1"/>
  <c r="CR22" i="7" s="1"/>
  <c r="CS25" i="7"/>
  <c r="CR25" i="7" s="1"/>
  <c r="CR39" i="7"/>
  <c r="CQ38" i="7" s="1"/>
  <c r="CT89" i="7"/>
  <c r="CS88" i="7" s="1"/>
  <c r="CR87" i="7" s="1"/>
  <c r="CS94" i="7"/>
  <c r="CR94" i="7" s="1"/>
  <c r="CS93" i="7"/>
  <c r="CS41" i="7"/>
  <c r="CR40" i="7" s="1"/>
  <c r="CT45" i="7"/>
  <c r="CS45" i="7" s="1"/>
  <c r="CT44" i="7"/>
  <c r="CT69" i="7"/>
  <c r="CS69" i="7" s="1"/>
  <c r="CR69" i="7" s="1"/>
  <c r="CT68" i="7"/>
  <c r="CS61" i="7"/>
  <c r="CT63" i="7"/>
  <c r="CS63" i="7" s="1"/>
  <c r="CR63" i="7" s="1"/>
  <c r="CQ63" i="7" s="1"/>
  <c r="CP63" i="7" s="1"/>
  <c r="CT54" i="7"/>
  <c r="CS54" i="7" s="1"/>
  <c r="CR54" i="7" s="1"/>
  <c r="CT53" i="7"/>
  <c r="CS15" i="7"/>
  <c r="CR15" i="7" s="1"/>
  <c r="CS14" i="7"/>
  <c r="CT91" i="7"/>
  <c r="CS91" i="7" s="1"/>
  <c r="CR91" i="7" s="1"/>
  <c r="CT90" i="7"/>
  <c r="CT73" i="7"/>
  <c r="CS73" i="7" s="1"/>
  <c r="CR73" i="7" s="1"/>
  <c r="CQ73" i="7" s="1"/>
  <c r="CP73" i="7" s="1"/>
  <c r="CT72" i="7"/>
  <c r="CT19" i="7"/>
  <c r="CS19" i="7" s="1"/>
  <c r="CT18" i="7"/>
  <c r="CS37" i="7"/>
  <c r="CR37" i="7" s="1"/>
  <c r="CQ37" i="7" s="1"/>
  <c r="CS36" i="7"/>
  <c r="CT83" i="7"/>
  <c r="CS83" i="7" s="1"/>
  <c r="CR83" i="7" s="1"/>
  <c r="CQ83" i="7" s="1"/>
  <c r="CP83" i="7" s="1"/>
  <c r="CR80" i="7"/>
  <c r="CT29" i="7"/>
  <c r="CT28" i="7"/>
  <c r="CT50" i="7"/>
  <c r="CS50" i="7" s="1"/>
  <c r="CR50" i="7" s="1"/>
  <c r="CT49" i="7"/>
  <c r="CT79" i="7"/>
  <c r="CS79" i="7" s="1"/>
  <c r="CR79" i="7" s="1"/>
  <c r="CT78" i="7"/>
  <c r="CT32" i="7"/>
  <c r="CS32" i="7" s="1"/>
  <c r="CR32" i="7" s="1"/>
  <c r="CQ32" i="7" s="1"/>
  <c r="CP32" i="7" s="1"/>
  <c r="CS24" i="7"/>
  <c r="CT21" i="7"/>
  <c r="CQ10" i="7"/>
  <c r="CP10" i="7" s="1"/>
  <c r="CQ9" i="7"/>
  <c r="CR95" i="7"/>
  <c r="CT58" i="7"/>
  <c r="CS58" i="7" s="1"/>
  <c r="CR58" i="7" s="1"/>
  <c r="CT57" i="7"/>
  <c r="CR86" i="7"/>
  <c r="CQ58" i="7" l="1"/>
  <c r="CS29" i="7"/>
  <c r="CR24" i="7"/>
  <c r="CQ24" i="7" s="1"/>
  <c r="CS21" i="7"/>
  <c r="CR21" i="7" s="1"/>
  <c r="CQ21" i="7" s="1"/>
  <c r="CR93" i="7"/>
  <c r="CS46" i="7"/>
  <c r="CR46" i="7" s="1"/>
  <c r="CR41" i="7"/>
  <c r="CP37" i="7"/>
  <c r="CS82" i="7"/>
  <c r="CR82" i="7" s="1"/>
  <c r="CQ82" i="7" s="1"/>
  <c r="CP82" i="7" s="1"/>
  <c r="CO82" i="7" s="1"/>
  <c r="CR23" i="7"/>
  <c r="CQ23" i="7" s="1"/>
  <c r="CP23" i="7" s="1"/>
  <c r="CR29" i="7"/>
  <c r="CR92" i="7"/>
  <c r="CQ92" i="7" s="1"/>
  <c r="CR60" i="7"/>
  <c r="CS68" i="7"/>
  <c r="CR68" i="7" s="1"/>
  <c r="CQ68" i="7" s="1"/>
  <c r="CS67" i="7"/>
  <c r="CS44" i="7"/>
  <c r="CR44" i="7" s="1"/>
  <c r="CS43" i="7"/>
  <c r="CS62" i="7"/>
  <c r="CR62" i="7" s="1"/>
  <c r="CQ62" i="7" s="1"/>
  <c r="CP62" i="7" s="1"/>
  <c r="CO62" i="7" s="1"/>
  <c r="CQ86" i="7"/>
  <c r="CQ85" i="7"/>
  <c r="CS20" i="7"/>
  <c r="CR20" i="7" s="1"/>
  <c r="CQ20" i="7" s="1"/>
  <c r="CP20" i="7" s="1"/>
  <c r="CS72" i="7"/>
  <c r="CR72" i="7" s="1"/>
  <c r="CQ72" i="7" s="1"/>
  <c r="CP72" i="7" s="1"/>
  <c r="CO72" i="7" s="1"/>
  <c r="CS71" i="7"/>
  <c r="CQ40" i="7"/>
  <c r="CQ39" i="7"/>
  <c r="CS53" i="7"/>
  <c r="CR53" i="7" s="1"/>
  <c r="CQ53" i="7" s="1"/>
  <c r="CS52" i="7"/>
  <c r="CR36" i="7"/>
  <c r="CQ36" i="7" s="1"/>
  <c r="CP36" i="7" s="1"/>
  <c r="CR35" i="7"/>
  <c r="CP9" i="7"/>
  <c r="CO9" i="7" s="1"/>
  <c r="CP8" i="7"/>
  <c r="CS48" i="7"/>
  <c r="CS49" i="7"/>
  <c r="CR49" i="7" s="1"/>
  <c r="CQ49" i="7" s="1"/>
  <c r="CQ22" i="7"/>
  <c r="CP22" i="7" s="1"/>
  <c r="CO22" i="7" s="1"/>
  <c r="CR81" i="7"/>
  <c r="CQ81" i="7" s="1"/>
  <c r="CP81" i="7" s="1"/>
  <c r="CR14" i="7"/>
  <c r="CQ14" i="7" s="1"/>
  <c r="CR13" i="7"/>
  <c r="CQ79" i="7"/>
  <c r="CS90" i="7"/>
  <c r="CR90" i="7" s="1"/>
  <c r="CQ90" i="7" s="1"/>
  <c r="CS89" i="7"/>
  <c r="CS31" i="7"/>
  <c r="CR31" i="7" s="1"/>
  <c r="CQ31" i="7" s="1"/>
  <c r="CP31" i="7" s="1"/>
  <c r="CO31" i="7" s="1"/>
  <c r="CS78" i="7"/>
  <c r="CR78" i="7" s="1"/>
  <c r="CQ78" i="7" s="1"/>
  <c r="CS77" i="7"/>
  <c r="CS57" i="7"/>
  <c r="CR57" i="7" s="1"/>
  <c r="CQ57" i="7" s="1"/>
  <c r="CP57" i="7" s="1"/>
  <c r="CS56" i="7"/>
  <c r="CQ94" i="7"/>
  <c r="CQ93" i="7"/>
  <c r="CS28" i="7"/>
  <c r="CR28" i="7" s="1"/>
  <c r="CQ28" i="7" s="1"/>
  <c r="CS27" i="7"/>
  <c r="CS18" i="7"/>
  <c r="CR18" i="7" s="1"/>
  <c r="CS17" i="7"/>
  <c r="CO36" i="7" l="1"/>
  <c r="CO81" i="7"/>
  <c r="CN81" i="7" s="1"/>
  <c r="CP21" i="7"/>
  <c r="CO21" i="7" s="1"/>
  <c r="CN21" i="7" s="1"/>
  <c r="CR45" i="7"/>
  <c r="CQ45" i="7" s="1"/>
  <c r="CQ91" i="7"/>
  <c r="CP91" i="7" s="1"/>
  <c r="CR43" i="7"/>
  <c r="CQ43" i="7" s="1"/>
  <c r="CR42" i="7"/>
  <c r="CR67" i="7"/>
  <c r="CQ67" i="7" s="1"/>
  <c r="CP67" i="7" s="1"/>
  <c r="CR66" i="7"/>
  <c r="CQ59" i="7"/>
  <c r="CO20" i="7"/>
  <c r="CN20" i="7" s="1"/>
  <c r="CM20" i="7" s="1"/>
  <c r="CR61" i="7"/>
  <c r="CQ61" i="7" s="1"/>
  <c r="CP61" i="7" s="1"/>
  <c r="CO61" i="7" s="1"/>
  <c r="CN61" i="7" s="1"/>
  <c r="CP93" i="7"/>
  <c r="CP92" i="7"/>
  <c r="CR56" i="7"/>
  <c r="CQ56" i="7" s="1"/>
  <c r="CP56" i="7" s="1"/>
  <c r="CO56" i="7" s="1"/>
  <c r="CR55" i="7"/>
  <c r="CR77" i="7"/>
  <c r="CQ77" i="7" s="1"/>
  <c r="CP77" i="7" s="1"/>
  <c r="CR76" i="7"/>
  <c r="CR47" i="7"/>
  <c r="CR48" i="7"/>
  <c r="CQ48" i="7" s="1"/>
  <c r="CP48" i="7" s="1"/>
  <c r="CR17" i="7"/>
  <c r="CQ17" i="7" s="1"/>
  <c r="CR16" i="7"/>
  <c r="CR89" i="7"/>
  <c r="CQ89" i="7" s="1"/>
  <c r="CP89" i="7" s="1"/>
  <c r="CR88" i="7"/>
  <c r="CO8" i="7"/>
  <c r="CN8" i="7" s="1"/>
  <c r="CO7" i="7"/>
  <c r="CP39" i="7"/>
  <c r="CP38" i="7"/>
  <c r="CR19" i="7"/>
  <c r="CQ19" i="7" s="1"/>
  <c r="CP19" i="7" s="1"/>
  <c r="CO19" i="7" s="1"/>
  <c r="CQ35" i="7"/>
  <c r="CP35" i="7" s="1"/>
  <c r="CO35" i="7" s="1"/>
  <c r="CN35" i="7" s="1"/>
  <c r="CQ34" i="7"/>
  <c r="CP78" i="7"/>
  <c r="CQ13" i="7"/>
  <c r="CP13" i="7" s="1"/>
  <c r="CQ12" i="7"/>
  <c r="CR52" i="7"/>
  <c r="CQ52" i="7" s="1"/>
  <c r="CP52" i="7" s="1"/>
  <c r="CR51" i="7"/>
  <c r="CR27" i="7"/>
  <c r="CQ27" i="7" s="1"/>
  <c r="CP27" i="7" s="1"/>
  <c r="CR26" i="7"/>
  <c r="CR71" i="7"/>
  <c r="CQ71" i="7" s="1"/>
  <c r="CP71" i="7" s="1"/>
  <c r="CO71" i="7" s="1"/>
  <c r="CN71" i="7" s="1"/>
  <c r="CR70" i="7"/>
  <c r="CQ80" i="7"/>
  <c r="CP80" i="7" s="1"/>
  <c r="CO80" i="7" s="1"/>
  <c r="CN80" i="7" s="1"/>
  <c r="CM80" i="7" s="1"/>
  <c r="CP85" i="7"/>
  <c r="CP84" i="7"/>
  <c r="CR30" i="7"/>
  <c r="CQ44" i="7" l="1"/>
  <c r="CP44" i="7" s="1"/>
  <c r="CQ18" i="7"/>
  <c r="CP18" i="7" s="1"/>
  <c r="CO18" i="7" s="1"/>
  <c r="CN18" i="7" s="1"/>
  <c r="CP90" i="7"/>
  <c r="CO90" i="7" s="1"/>
  <c r="CQ60" i="7"/>
  <c r="CP60" i="7" s="1"/>
  <c r="CO60" i="7" s="1"/>
  <c r="CN60" i="7" s="1"/>
  <c r="CM60" i="7" s="1"/>
  <c r="CP58" i="7"/>
  <c r="CQ66" i="7"/>
  <c r="CP66" i="7" s="1"/>
  <c r="CO66" i="7" s="1"/>
  <c r="CQ65" i="7"/>
  <c r="CN19" i="7"/>
  <c r="CM19" i="7" s="1"/>
  <c r="CL19" i="7" s="1"/>
  <c r="CQ42" i="7"/>
  <c r="CP42" i="7" s="1"/>
  <c r="CQ41" i="7"/>
  <c r="CO84" i="7"/>
  <c r="CO83" i="7"/>
  <c r="CP12" i="7"/>
  <c r="CO12" i="7" s="1"/>
  <c r="CP11" i="7"/>
  <c r="CQ88" i="7"/>
  <c r="CP88" i="7" s="1"/>
  <c r="CO88" i="7" s="1"/>
  <c r="CQ87" i="7"/>
  <c r="CQ16" i="7"/>
  <c r="CP16" i="7" s="1"/>
  <c r="CQ15" i="7"/>
  <c r="CQ70" i="7"/>
  <c r="CP70" i="7" s="1"/>
  <c r="CO70" i="7" s="1"/>
  <c r="CN70" i="7" s="1"/>
  <c r="CM70" i="7" s="1"/>
  <c r="CQ69" i="7"/>
  <c r="CP34" i="7"/>
  <c r="CO34" i="7" s="1"/>
  <c r="CN34" i="7" s="1"/>
  <c r="CM34" i="7" s="1"/>
  <c r="CP33" i="7"/>
  <c r="CQ46" i="7"/>
  <c r="CQ47" i="7"/>
  <c r="CP47" i="7" s="1"/>
  <c r="CO47" i="7" s="1"/>
  <c r="CP79" i="7"/>
  <c r="CO79" i="7" s="1"/>
  <c r="CN79" i="7" s="1"/>
  <c r="CM79" i="7" s="1"/>
  <c r="CL79" i="7" s="1"/>
  <c r="CQ26" i="7"/>
  <c r="CP26" i="7" s="1"/>
  <c r="CO26" i="7" s="1"/>
  <c r="CQ25" i="7"/>
  <c r="CO92" i="7"/>
  <c r="CO91" i="7"/>
  <c r="CQ76" i="7"/>
  <c r="CP76" i="7" s="1"/>
  <c r="CO76" i="7" s="1"/>
  <c r="CQ75" i="7"/>
  <c r="CO38" i="7"/>
  <c r="CO37" i="7"/>
  <c r="CO77" i="7"/>
  <c r="CQ51" i="7"/>
  <c r="CP51" i="7" s="1"/>
  <c r="CO51" i="7" s="1"/>
  <c r="CQ50" i="7"/>
  <c r="CQ55" i="7"/>
  <c r="CP55" i="7" s="1"/>
  <c r="CO55" i="7" s="1"/>
  <c r="CN55" i="7" s="1"/>
  <c r="CQ54" i="7"/>
  <c r="CQ30" i="7"/>
  <c r="CP30" i="7" s="1"/>
  <c r="CO30" i="7" s="1"/>
  <c r="CN30" i="7" s="1"/>
  <c r="CQ29" i="7"/>
  <c r="CN7" i="7"/>
  <c r="CM7" i="7" s="1"/>
  <c r="CN6" i="7"/>
  <c r="CP43" i="7" l="1"/>
  <c r="CO43" i="7" s="1"/>
  <c r="CP17" i="7"/>
  <c r="CO17" i="7" s="1"/>
  <c r="CN17" i="7" s="1"/>
  <c r="CM17" i="7" s="1"/>
  <c r="CP59" i="7"/>
  <c r="CO59" i="7" s="1"/>
  <c r="CN59" i="7" s="1"/>
  <c r="CM59" i="7" s="1"/>
  <c r="CL59" i="7" s="1"/>
  <c r="CO89" i="7"/>
  <c r="CN89" i="7" s="1"/>
  <c r="CP65" i="7"/>
  <c r="CO65" i="7" s="1"/>
  <c r="CN65" i="7" s="1"/>
  <c r="CP64" i="7"/>
  <c r="CO58" i="7"/>
  <c r="CN58" i="7" s="1"/>
  <c r="CM58" i="7" s="1"/>
  <c r="CL58" i="7" s="1"/>
  <c r="CK58" i="7" s="1"/>
  <c r="CO57" i="7"/>
  <c r="CP41" i="7"/>
  <c r="CO41" i="7" s="1"/>
  <c r="CP40" i="7"/>
  <c r="CM18" i="7"/>
  <c r="CM6" i="7"/>
  <c r="CL6" i="7" s="1"/>
  <c r="CM5" i="7"/>
  <c r="CN37" i="7"/>
  <c r="CN36" i="7"/>
  <c r="CO33" i="7"/>
  <c r="CN33" i="7" s="1"/>
  <c r="CM33" i="7" s="1"/>
  <c r="CL33" i="7" s="1"/>
  <c r="CO32" i="7"/>
  <c r="CP29" i="7"/>
  <c r="CO29" i="7" s="1"/>
  <c r="CN29" i="7" s="1"/>
  <c r="CM29" i="7" s="1"/>
  <c r="CP28" i="7"/>
  <c r="CN76" i="7"/>
  <c r="CP54" i="7"/>
  <c r="CO54" i="7" s="1"/>
  <c r="CN54" i="7" s="1"/>
  <c r="CM54" i="7" s="1"/>
  <c r="CP53" i="7"/>
  <c r="CN83" i="7"/>
  <c r="CN82" i="7"/>
  <c r="CP75" i="7"/>
  <c r="CO75" i="7" s="1"/>
  <c r="CN75" i="7" s="1"/>
  <c r="CP74" i="7"/>
  <c r="CN91" i="7"/>
  <c r="CN90" i="7"/>
  <c r="CP46" i="7"/>
  <c r="CO46" i="7" s="1"/>
  <c r="CN46" i="7" s="1"/>
  <c r="CP45" i="7"/>
  <c r="CO11" i="7"/>
  <c r="CN11" i="7" s="1"/>
  <c r="CO10" i="7"/>
  <c r="CO78" i="7"/>
  <c r="CN78" i="7" s="1"/>
  <c r="CM78" i="7" s="1"/>
  <c r="CL78" i="7" s="1"/>
  <c r="CK78" i="7" s="1"/>
  <c r="CP87" i="7"/>
  <c r="CO87" i="7" s="1"/>
  <c r="CN87" i="7" s="1"/>
  <c r="CP86" i="7"/>
  <c r="CP50" i="7"/>
  <c r="CO50" i="7" s="1"/>
  <c r="CN50" i="7" s="1"/>
  <c r="CP49" i="7"/>
  <c r="CP69" i="7"/>
  <c r="CO69" i="7" s="1"/>
  <c r="CN69" i="7" s="1"/>
  <c r="CM69" i="7" s="1"/>
  <c r="CL69" i="7" s="1"/>
  <c r="CP68" i="7"/>
  <c r="CP25" i="7"/>
  <c r="CO25" i="7" s="1"/>
  <c r="CN25" i="7" s="1"/>
  <c r="CP24" i="7"/>
  <c r="CP15" i="7"/>
  <c r="CO15" i="7" s="1"/>
  <c r="CP14" i="7"/>
  <c r="CO42" i="7" l="1"/>
  <c r="CN42" i="7" s="1"/>
  <c r="CO16" i="7"/>
  <c r="CN16" i="7" s="1"/>
  <c r="CM16" i="7" s="1"/>
  <c r="CL16" i="7" s="1"/>
  <c r="CN88" i="7"/>
  <c r="CM88" i="7" s="1"/>
  <c r="CL18" i="7"/>
  <c r="CK18" i="7" s="1"/>
  <c r="CL17" i="7"/>
  <c r="CN57" i="7"/>
  <c r="CM57" i="7" s="1"/>
  <c r="CL57" i="7" s="1"/>
  <c r="CK57" i="7" s="1"/>
  <c r="CJ57" i="7" s="1"/>
  <c r="CN56" i="7"/>
  <c r="CO40" i="7"/>
  <c r="CN40" i="7" s="1"/>
  <c r="CO39" i="7"/>
  <c r="CM75" i="7"/>
  <c r="CO64" i="7"/>
  <c r="CN64" i="7" s="1"/>
  <c r="CM64" i="7" s="1"/>
  <c r="CO63" i="7"/>
  <c r="CM82" i="7"/>
  <c r="CM81" i="7"/>
  <c r="CN77" i="7"/>
  <c r="CM77" i="7" s="1"/>
  <c r="CL77" i="7" s="1"/>
  <c r="CK77" i="7" s="1"/>
  <c r="CJ77" i="7" s="1"/>
  <c r="CM90" i="7"/>
  <c r="CM89" i="7"/>
  <c r="CO24" i="7"/>
  <c r="CN24" i="7" s="1"/>
  <c r="CM24" i="7" s="1"/>
  <c r="CO23" i="7"/>
  <c r="CM36" i="7"/>
  <c r="CM35" i="7"/>
  <c r="CN10" i="7"/>
  <c r="CM10" i="7" s="1"/>
  <c r="CN9" i="7"/>
  <c r="CO53" i="7"/>
  <c r="CN53" i="7" s="1"/>
  <c r="CM53" i="7" s="1"/>
  <c r="CL53" i="7" s="1"/>
  <c r="CO52" i="7"/>
  <c r="CL5" i="7"/>
  <c r="CK5" i="7" s="1"/>
  <c r="CL4" i="7"/>
  <c r="CO49" i="7"/>
  <c r="CN49" i="7" s="1"/>
  <c r="CM49" i="7" s="1"/>
  <c r="CO48" i="7"/>
  <c r="CO74" i="7"/>
  <c r="CN74" i="7" s="1"/>
  <c r="CM74" i="7" s="1"/>
  <c r="CO73" i="7"/>
  <c r="CO86" i="7"/>
  <c r="CN86" i="7" s="1"/>
  <c r="CM86" i="7" s="1"/>
  <c r="CO85" i="7"/>
  <c r="CO45" i="7"/>
  <c r="CN45" i="7" s="1"/>
  <c r="CM45" i="7" s="1"/>
  <c r="CO44" i="7"/>
  <c r="CO14" i="7"/>
  <c r="CN14" i="7" s="1"/>
  <c r="CO13" i="7"/>
  <c r="CO68" i="7"/>
  <c r="CN68" i="7" s="1"/>
  <c r="CM68" i="7" s="1"/>
  <c r="CL68" i="7" s="1"/>
  <c r="CK68" i="7" s="1"/>
  <c r="CO67" i="7"/>
  <c r="CO28" i="7"/>
  <c r="CN28" i="7" s="1"/>
  <c r="CM28" i="7" s="1"/>
  <c r="CL28" i="7" s="1"/>
  <c r="CO27" i="7"/>
  <c r="CN32" i="7"/>
  <c r="CM32" i="7" s="1"/>
  <c r="CL32" i="7" s="1"/>
  <c r="CK32" i="7" s="1"/>
  <c r="CN31" i="7"/>
  <c r="CN41" i="7" l="1"/>
  <c r="CM41" i="7" s="1"/>
  <c r="CN15" i="7"/>
  <c r="CM15" i="7" s="1"/>
  <c r="CL15" i="7" s="1"/>
  <c r="CK15" i="7" s="1"/>
  <c r="CM87" i="7"/>
  <c r="CL87" i="7" s="1"/>
  <c r="CL74" i="7"/>
  <c r="CM56" i="7"/>
  <c r="CL56" i="7" s="1"/>
  <c r="CK56" i="7" s="1"/>
  <c r="CJ56" i="7" s="1"/>
  <c r="CI56" i="7" s="1"/>
  <c r="CM55" i="7"/>
  <c r="CK17" i="7"/>
  <c r="CJ17" i="7" s="1"/>
  <c r="CK16" i="7"/>
  <c r="CN39" i="7"/>
  <c r="CM39" i="7" s="1"/>
  <c r="CN38" i="7"/>
  <c r="CM76" i="7"/>
  <c r="CL76" i="7" s="1"/>
  <c r="CK76" i="7" s="1"/>
  <c r="CJ76" i="7" s="1"/>
  <c r="CI76" i="7" s="1"/>
  <c r="CN63" i="7"/>
  <c r="CM63" i="7" s="1"/>
  <c r="CL63" i="7" s="1"/>
  <c r="CN62" i="7"/>
  <c r="CK4" i="7"/>
  <c r="CJ4" i="7" s="1"/>
  <c r="CN23" i="7"/>
  <c r="CM23" i="7" s="1"/>
  <c r="CL23" i="7" s="1"/>
  <c r="CN22" i="7"/>
  <c r="CN13" i="7"/>
  <c r="CM13" i="7" s="1"/>
  <c r="CN12" i="7"/>
  <c r="CN44" i="7"/>
  <c r="CM44" i="7" s="1"/>
  <c r="CL44" i="7" s="1"/>
  <c r="CN43" i="7"/>
  <c r="CM9" i="7"/>
  <c r="CL9" i="7" s="1"/>
  <c r="CM8" i="7"/>
  <c r="CL81" i="7"/>
  <c r="CL80" i="7"/>
  <c r="CL89" i="7"/>
  <c r="CL88" i="7"/>
  <c r="CN85" i="7"/>
  <c r="CM85" i="7" s="1"/>
  <c r="CL85" i="7" s="1"/>
  <c r="CN84" i="7"/>
  <c r="CN67" i="7"/>
  <c r="CM67" i="7" s="1"/>
  <c r="CL67" i="7" s="1"/>
  <c r="CK67" i="7" s="1"/>
  <c r="CJ67" i="7" s="1"/>
  <c r="CN66" i="7"/>
  <c r="CN73" i="7"/>
  <c r="CM73" i="7" s="1"/>
  <c r="CL73" i="7" s="1"/>
  <c r="CK73" i="7" s="1"/>
  <c r="CN72" i="7"/>
  <c r="CN27" i="7"/>
  <c r="CM27" i="7" s="1"/>
  <c r="CL27" i="7" s="1"/>
  <c r="CK27" i="7" s="1"/>
  <c r="CN26" i="7"/>
  <c r="CL35" i="7"/>
  <c r="CL34" i="7"/>
  <c r="CM31" i="7"/>
  <c r="CL31" i="7" s="1"/>
  <c r="CK31" i="7" s="1"/>
  <c r="CJ31" i="7" s="1"/>
  <c r="CM30" i="7"/>
  <c r="CN52" i="7"/>
  <c r="CM52" i="7" s="1"/>
  <c r="CL52" i="7" s="1"/>
  <c r="CK52" i="7" s="1"/>
  <c r="CN51" i="7"/>
  <c r="CN48" i="7"/>
  <c r="CM48" i="7" s="1"/>
  <c r="CL48" i="7" s="1"/>
  <c r="CN47" i="7"/>
  <c r="CM40" i="7" l="1"/>
  <c r="CL40" i="7" s="1"/>
  <c r="CM14" i="7"/>
  <c r="CL14" i="7" s="1"/>
  <c r="CK14" i="7" s="1"/>
  <c r="CJ14" i="7" s="1"/>
  <c r="CL86" i="7"/>
  <c r="CK86" i="7" s="1"/>
  <c r="CJ16" i="7"/>
  <c r="CI16" i="7" s="1"/>
  <c r="CJ15" i="7"/>
  <c r="CM38" i="7"/>
  <c r="CL38" i="7" s="1"/>
  <c r="CM37" i="7"/>
  <c r="CL55" i="7"/>
  <c r="CK55" i="7" s="1"/>
  <c r="CJ55" i="7" s="1"/>
  <c r="CI55" i="7" s="1"/>
  <c r="CH55" i="7" s="1"/>
  <c r="CL54" i="7"/>
  <c r="CL75" i="7"/>
  <c r="CM62" i="7"/>
  <c r="CL62" i="7" s="1"/>
  <c r="CK62" i="7" s="1"/>
  <c r="CM61" i="7"/>
  <c r="CK34" i="7"/>
  <c r="CK33" i="7"/>
  <c r="CK88" i="7"/>
  <c r="CK87" i="7"/>
  <c r="CM12" i="7"/>
  <c r="CL12" i="7" s="1"/>
  <c r="CM11" i="7"/>
  <c r="CM51" i="7"/>
  <c r="CL51" i="7" s="1"/>
  <c r="CK51" i="7" s="1"/>
  <c r="CJ51" i="7" s="1"/>
  <c r="CM50" i="7"/>
  <c r="CL8" i="7"/>
  <c r="CK8" i="7" s="1"/>
  <c r="CL7" i="7"/>
  <c r="CM43" i="7"/>
  <c r="CL43" i="7" s="1"/>
  <c r="CK43" i="7" s="1"/>
  <c r="CM42" i="7"/>
  <c r="CM72" i="7"/>
  <c r="CL72" i="7" s="1"/>
  <c r="CK72" i="7" s="1"/>
  <c r="CJ72" i="7" s="1"/>
  <c r="CM71" i="7"/>
  <c r="CK80" i="7"/>
  <c r="CK79" i="7"/>
  <c r="CM22" i="7"/>
  <c r="CL22" i="7" s="1"/>
  <c r="CK22" i="7" s="1"/>
  <c r="CM21" i="7"/>
  <c r="CM26" i="7"/>
  <c r="CL26" i="7" s="1"/>
  <c r="CK26" i="7" s="1"/>
  <c r="CJ26" i="7" s="1"/>
  <c r="CM25" i="7"/>
  <c r="CM66" i="7"/>
  <c r="CL66" i="7" s="1"/>
  <c r="CK66" i="7" s="1"/>
  <c r="CJ66" i="7" s="1"/>
  <c r="CI66" i="7" s="1"/>
  <c r="CM65" i="7"/>
  <c r="CM47" i="7"/>
  <c r="CL47" i="7" s="1"/>
  <c r="CK47" i="7" s="1"/>
  <c r="CM46" i="7"/>
  <c r="CL30" i="7"/>
  <c r="CK30" i="7" s="1"/>
  <c r="CJ30" i="7" s="1"/>
  <c r="CI30" i="7" s="1"/>
  <c r="CL29" i="7"/>
  <c r="CM84" i="7"/>
  <c r="CL84" i="7" s="1"/>
  <c r="CK84" i="7" s="1"/>
  <c r="CM83" i="7"/>
  <c r="CL39" i="7" l="1"/>
  <c r="CK39" i="7" s="1"/>
  <c r="CL13" i="7"/>
  <c r="CK13" i="7" s="1"/>
  <c r="CJ13" i="7" s="1"/>
  <c r="CI13" i="7" s="1"/>
  <c r="CK85" i="7"/>
  <c r="CJ85" i="7" s="1"/>
  <c r="CL37" i="7"/>
  <c r="CK37" i="7" s="1"/>
  <c r="CL36" i="7"/>
  <c r="CK75" i="7"/>
  <c r="CJ75" i="7" s="1"/>
  <c r="CI75" i="7" s="1"/>
  <c r="CH75" i="7" s="1"/>
  <c r="CK74" i="7"/>
  <c r="CI15" i="7"/>
  <c r="CH15" i="7" s="1"/>
  <c r="CI14" i="7"/>
  <c r="CK54" i="7"/>
  <c r="CJ54" i="7" s="1"/>
  <c r="CI54" i="7" s="1"/>
  <c r="CH54" i="7" s="1"/>
  <c r="CG54" i="7" s="1"/>
  <c r="CK53" i="7"/>
  <c r="CL61" i="7"/>
  <c r="CK61" i="7" s="1"/>
  <c r="CJ61" i="7" s="1"/>
  <c r="CL60" i="7"/>
  <c r="CL21" i="7"/>
  <c r="CK21" i="7" s="1"/>
  <c r="CJ21" i="7" s="1"/>
  <c r="CL20" i="7"/>
  <c r="CL71" i="7"/>
  <c r="CK71" i="7" s="1"/>
  <c r="CJ71" i="7" s="1"/>
  <c r="CI71" i="7" s="1"/>
  <c r="CL70" i="7"/>
  <c r="CJ87" i="7"/>
  <c r="CJ86" i="7"/>
  <c r="CL11" i="7"/>
  <c r="CK11" i="7" s="1"/>
  <c r="CL10" i="7"/>
  <c r="CL42" i="7"/>
  <c r="CK42" i="7" s="1"/>
  <c r="CJ42" i="7" s="1"/>
  <c r="CL41" i="7"/>
  <c r="CL83" i="7"/>
  <c r="CK83" i="7" s="1"/>
  <c r="CJ83" i="7" s="1"/>
  <c r="CL82" i="7"/>
  <c r="CK7" i="7"/>
  <c r="CJ7" i="7" s="1"/>
  <c r="CK6" i="7"/>
  <c r="CJ33" i="7"/>
  <c r="CJ32" i="7"/>
  <c r="CL65" i="7"/>
  <c r="CK65" i="7" s="1"/>
  <c r="CJ65" i="7" s="1"/>
  <c r="CI65" i="7" s="1"/>
  <c r="CH65" i="7" s="1"/>
  <c r="CL64" i="7"/>
  <c r="CL25" i="7"/>
  <c r="CK25" i="7" s="1"/>
  <c r="CJ25" i="7" s="1"/>
  <c r="CI25" i="7" s="1"/>
  <c r="CL24" i="7"/>
  <c r="CK29" i="7"/>
  <c r="CJ29" i="7" s="1"/>
  <c r="CI29" i="7" s="1"/>
  <c r="CH29" i="7" s="1"/>
  <c r="CK28" i="7"/>
  <c r="CL50" i="7"/>
  <c r="CK50" i="7" s="1"/>
  <c r="CJ50" i="7" s="1"/>
  <c r="CI50" i="7" s="1"/>
  <c r="CL49" i="7"/>
  <c r="CJ79" i="7"/>
  <c r="CJ78" i="7"/>
  <c r="CL46" i="7"/>
  <c r="CK46" i="7" s="1"/>
  <c r="CJ46" i="7" s="1"/>
  <c r="CL45" i="7"/>
  <c r="CK38" i="7" l="1"/>
  <c r="CJ38" i="7" s="1"/>
  <c r="CK12" i="7"/>
  <c r="CJ12" i="7" s="1"/>
  <c r="CI12" i="7" s="1"/>
  <c r="CH12" i="7" s="1"/>
  <c r="CJ84" i="7"/>
  <c r="CI84" i="7" s="1"/>
  <c r="CJ74" i="7"/>
  <c r="CI74" i="7" s="1"/>
  <c r="CH74" i="7" s="1"/>
  <c r="CG74" i="7" s="1"/>
  <c r="CJ73" i="7"/>
  <c r="CH14" i="7"/>
  <c r="CG14" i="7" s="1"/>
  <c r="CH13" i="7"/>
  <c r="CK36" i="7"/>
  <c r="CJ36" i="7" s="1"/>
  <c r="CK35" i="7"/>
  <c r="CK60" i="7"/>
  <c r="CJ60" i="7" s="1"/>
  <c r="CI60" i="7" s="1"/>
  <c r="CK59" i="7"/>
  <c r="CJ53" i="7"/>
  <c r="CI53" i="7" s="1"/>
  <c r="CH53" i="7" s="1"/>
  <c r="CG53" i="7" s="1"/>
  <c r="CF53" i="7" s="1"/>
  <c r="CJ52" i="7"/>
  <c r="CK41" i="7"/>
  <c r="CJ41" i="7" s="1"/>
  <c r="CI41" i="7" s="1"/>
  <c r="CK40" i="7"/>
  <c r="CK49" i="7"/>
  <c r="CJ49" i="7" s="1"/>
  <c r="CI49" i="7" s="1"/>
  <c r="CH49" i="7" s="1"/>
  <c r="CK48" i="7"/>
  <c r="CJ28" i="7"/>
  <c r="CI28" i="7" s="1"/>
  <c r="CH28" i="7" s="1"/>
  <c r="CG28" i="7" s="1"/>
  <c r="CJ27" i="7"/>
  <c r="CI86" i="7"/>
  <c r="CI85" i="7"/>
  <c r="CI32" i="7"/>
  <c r="CI31" i="7"/>
  <c r="CK82" i="7"/>
  <c r="CJ82" i="7" s="1"/>
  <c r="CI82" i="7" s="1"/>
  <c r="CK81" i="7"/>
  <c r="CK70" i="7"/>
  <c r="CJ70" i="7" s="1"/>
  <c r="CI70" i="7" s="1"/>
  <c r="CH70" i="7" s="1"/>
  <c r="CK69" i="7"/>
  <c r="CJ6" i="7"/>
  <c r="CI6" i="7" s="1"/>
  <c r="CJ5" i="7"/>
  <c r="CK45" i="7"/>
  <c r="CJ45" i="7" s="1"/>
  <c r="CI45" i="7" s="1"/>
  <c r="CK44" i="7"/>
  <c r="CK24" i="7"/>
  <c r="CJ24" i="7" s="1"/>
  <c r="CI24" i="7" s="1"/>
  <c r="CH24" i="7" s="1"/>
  <c r="CK23" i="7"/>
  <c r="CK20" i="7"/>
  <c r="CJ20" i="7" s="1"/>
  <c r="CI20" i="7" s="1"/>
  <c r="CK19" i="7"/>
  <c r="CK10" i="7"/>
  <c r="CJ10" i="7" s="1"/>
  <c r="CK9" i="7"/>
  <c r="CI78" i="7"/>
  <c r="CI77" i="7"/>
  <c r="CK64" i="7"/>
  <c r="CJ64" i="7" s="1"/>
  <c r="CI64" i="7" s="1"/>
  <c r="CH64" i="7" s="1"/>
  <c r="CG64" i="7" s="1"/>
  <c r="CK63" i="7"/>
  <c r="CJ37" i="7" l="1"/>
  <c r="CI37" i="7" s="1"/>
  <c r="CJ11" i="7"/>
  <c r="CI11" i="7" s="1"/>
  <c r="CH11" i="7" s="1"/>
  <c r="CG11" i="7" s="1"/>
  <c r="CI83" i="7"/>
  <c r="CH83" i="7" s="1"/>
  <c r="CG13" i="7"/>
  <c r="CF13" i="7" s="1"/>
  <c r="CG12" i="7"/>
  <c r="CI73" i="7"/>
  <c r="CH73" i="7" s="1"/>
  <c r="CG73" i="7" s="1"/>
  <c r="CF73" i="7" s="1"/>
  <c r="CI72" i="7"/>
  <c r="CI52" i="7"/>
  <c r="CH52" i="7" s="1"/>
  <c r="CG52" i="7" s="1"/>
  <c r="CF52" i="7" s="1"/>
  <c r="CE52" i="7" s="1"/>
  <c r="CI51" i="7"/>
  <c r="CJ35" i="7"/>
  <c r="CI35" i="7" s="1"/>
  <c r="CJ34" i="7"/>
  <c r="CJ59" i="7"/>
  <c r="CI59" i="7" s="1"/>
  <c r="CH59" i="7" s="1"/>
  <c r="CJ58" i="7"/>
  <c r="CH77" i="7"/>
  <c r="CH76" i="7"/>
  <c r="CI27" i="7"/>
  <c r="CH27" i="7" s="1"/>
  <c r="CG27" i="7" s="1"/>
  <c r="CF27" i="7" s="1"/>
  <c r="CI26" i="7"/>
  <c r="CJ19" i="7"/>
  <c r="CI19" i="7" s="1"/>
  <c r="CH19" i="7" s="1"/>
  <c r="CJ18" i="7"/>
  <c r="CJ69" i="7"/>
  <c r="CI69" i="7" s="1"/>
  <c r="CH69" i="7" s="1"/>
  <c r="CG69" i="7" s="1"/>
  <c r="CJ68" i="7"/>
  <c r="CJ81" i="7"/>
  <c r="CI81" i="7" s="1"/>
  <c r="CH81" i="7" s="1"/>
  <c r="CJ80" i="7"/>
  <c r="CJ48" i="7"/>
  <c r="CI48" i="7" s="1"/>
  <c r="CH48" i="7" s="1"/>
  <c r="CG48" i="7" s="1"/>
  <c r="CJ47" i="7"/>
  <c r="CJ9" i="7"/>
  <c r="CI9" i="7" s="1"/>
  <c r="CJ8" i="7"/>
  <c r="CJ23" i="7"/>
  <c r="CI23" i="7" s="1"/>
  <c r="CH23" i="7" s="1"/>
  <c r="CG23" i="7" s="1"/>
  <c r="CJ22" i="7"/>
  <c r="CJ44" i="7"/>
  <c r="CI44" i="7" s="1"/>
  <c r="CH44" i="7" s="1"/>
  <c r="CJ43" i="7"/>
  <c r="CH31" i="7"/>
  <c r="CH30" i="7"/>
  <c r="CJ40" i="7"/>
  <c r="CI40" i="7" s="1"/>
  <c r="CH40" i="7" s="1"/>
  <c r="CJ39" i="7"/>
  <c r="CJ63" i="7"/>
  <c r="CI63" i="7" s="1"/>
  <c r="CH63" i="7" s="1"/>
  <c r="CG63" i="7" s="1"/>
  <c r="CF63" i="7" s="1"/>
  <c r="CJ62" i="7"/>
  <c r="CI5" i="7"/>
  <c r="CH5" i="7" s="1"/>
  <c r="CI4" i="7"/>
  <c r="CH85" i="7"/>
  <c r="CH84" i="7"/>
  <c r="CI36" i="7" l="1"/>
  <c r="CH36" i="7" s="1"/>
  <c r="CI10" i="7"/>
  <c r="CH10" i="7" s="1"/>
  <c r="CG10" i="7" s="1"/>
  <c r="CF10" i="7" s="1"/>
  <c r="CH82" i="7"/>
  <c r="CG82" i="7" s="1"/>
  <c r="CI34" i="7"/>
  <c r="CH34" i="7" s="1"/>
  <c r="CI33" i="7"/>
  <c r="CH51" i="7"/>
  <c r="CG51" i="7" s="1"/>
  <c r="CF51" i="7" s="1"/>
  <c r="CE51" i="7" s="1"/>
  <c r="CD51" i="7" s="1"/>
  <c r="CH50" i="7"/>
  <c r="CH72" i="7"/>
  <c r="CG72" i="7" s="1"/>
  <c r="CF72" i="7" s="1"/>
  <c r="CE72" i="7" s="1"/>
  <c r="CH71" i="7"/>
  <c r="CI58" i="7"/>
  <c r="CH58" i="7" s="1"/>
  <c r="CG58" i="7" s="1"/>
  <c r="CI57" i="7"/>
  <c r="CF12" i="7"/>
  <c r="CE12" i="7" s="1"/>
  <c r="CF11" i="7"/>
  <c r="CI68" i="7"/>
  <c r="CH68" i="7" s="1"/>
  <c r="CG68" i="7" s="1"/>
  <c r="CF68" i="7" s="1"/>
  <c r="CI67" i="7"/>
  <c r="CI8" i="7"/>
  <c r="CH8" i="7" s="1"/>
  <c r="CI7" i="7"/>
  <c r="CI18" i="7"/>
  <c r="CH18" i="7" s="1"/>
  <c r="CG18" i="7" s="1"/>
  <c r="CI17" i="7"/>
  <c r="CH26" i="7"/>
  <c r="CG26" i="7" s="1"/>
  <c r="CF26" i="7" s="1"/>
  <c r="CE26" i="7" s="1"/>
  <c r="CH25" i="7"/>
  <c r="CG30" i="7"/>
  <c r="CG29" i="7"/>
  <c r="CI22" i="7"/>
  <c r="CH22" i="7" s="1"/>
  <c r="CG22" i="7" s="1"/>
  <c r="CF22" i="7" s="1"/>
  <c r="CI21" i="7"/>
  <c r="CI39" i="7"/>
  <c r="CH39" i="7" s="1"/>
  <c r="CG39" i="7" s="1"/>
  <c r="CI38" i="7"/>
  <c r="CG84" i="7"/>
  <c r="CG83" i="7"/>
  <c r="CI47" i="7"/>
  <c r="CH47" i="7" s="1"/>
  <c r="CG47" i="7" s="1"/>
  <c r="CF47" i="7" s="1"/>
  <c r="CI46" i="7"/>
  <c r="CI43" i="7"/>
  <c r="CH43" i="7" s="1"/>
  <c r="CG43" i="7" s="1"/>
  <c r="CI42" i="7"/>
  <c r="CG75" i="7"/>
  <c r="CG76" i="7"/>
  <c r="CI62" i="7"/>
  <c r="CH62" i="7" s="1"/>
  <c r="CG62" i="7" s="1"/>
  <c r="CF62" i="7" s="1"/>
  <c r="CE62" i="7" s="1"/>
  <c r="CI61" i="7"/>
  <c r="CH4" i="7"/>
  <c r="CG4" i="7" s="1"/>
  <c r="CI80" i="7"/>
  <c r="CH80" i="7" s="1"/>
  <c r="CG80" i="7" s="1"/>
  <c r="CI79" i="7"/>
  <c r="CH35" i="7" l="1"/>
  <c r="CG35" i="7" s="1"/>
  <c r="CG81" i="7"/>
  <c r="CF81" i="7" s="1"/>
  <c r="CH9" i="7"/>
  <c r="CG9" i="7" s="1"/>
  <c r="CF9" i="7" s="1"/>
  <c r="CE9" i="7" s="1"/>
  <c r="CG71" i="7"/>
  <c r="CF71" i="7" s="1"/>
  <c r="CE71" i="7" s="1"/>
  <c r="CD71" i="7" s="1"/>
  <c r="CG70" i="7"/>
  <c r="CG50" i="7"/>
  <c r="CF50" i="7" s="1"/>
  <c r="CE50" i="7" s="1"/>
  <c r="CD50" i="7" s="1"/>
  <c r="CC50" i="7" s="1"/>
  <c r="CG49" i="7"/>
  <c r="CH57" i="7"/>
  <c r="CG57" i="7" s="1"/>
  <c r="CF57" i="7" s="1"/>
  <c r="CH56" i="7"/>
  <c r="CH33" i="7"/>
  <c r="CG33" i="7" s="1"/>
  <c r="CH32" i="7"/>
  <c r="CE11" i="7"/>
  <c r="CD11" i="7" s="1"/>
  <c r="CE10" i="7"/>
  <c r="CH61" i="7"/>
  <c r="CG61" i="7" s="1"/>
  <c r="CF61" i="7" s="1"/>
  <c r="CE61" i="7" s="1"/>
  <c r="CD61" i="7" s="1"/>
  <c r="CH60" i="7"/>
  <c r="CH21" i="7"/>
  <c r="CG21" i="7" s="1"/>
  <c r="CF21" i="7" s="1"/>
  <c r="CE21" i="7" s="1"/>
  <c r="CH20" i="7"/>
  <c r="CH7" i="7"/>
  <c r="CG7" i="7" s="1"/>
  <c r="CH6" i="7"/>
  <c r="CF75" i="7"/>
  <c r="CF74" i="7"/>
  <c r="CF29" i="7"/>
  <c r="CF28" i="7"/>
  <c r="CF83" i="7"/>
  <c r="CF82" i="7"/>
  <c r="CH38" i="7"/>
  <c r="CG38" i="7" s="1"/>
  <c r="CF38" i="7" s="1"/>
  <c r="CH37" i="7"/>
  <c r="CH42" i="7"/>
  <c r="CG42" i="7" s="1"/>
  <c r="CF42" i="7" s="1"/>
  <c r="CH41" i="7"/>
  <c r="CH67" i="7"/>
  <c r="CG67" i="7" s="1"/>
  <c r="CF67" i="7" s="1"/>
  <c r="CE67" i="7" s="1"/>
  <c r="CH66" i="7"/>
  <c r="CH46" i="7"/>
  <c r="CG46" i="7" s="1"/>
  <c r="CF46" i="7" s="1"/>
  <c r="CE46" i="7" s="1"/>
  <c r="CH45" i="7"/>
  <c r="CG25" i="7"/>
  <c r="CF25" i="7" s="1"/>
  <c r="CE25" i="7" s="1"/>
  <c r="CD25" i="7" s="1"/>
  <c r="CG24" i="7"/>
  <c r="CH17" i="7"/>
  <c r="CG17" i="7" s="1"/>
  <c r="CF17" i="7" s="1"/>
  <c r="CH16" i="7"/>
  <c r="CH79" i="7"/>
  <c r="CG79" i="7" s="1"/>
  <c r="CF79" i="7" s="1"/>
  <c r="CH78" i="7"/>
  <c r="CG34" i="7" l="1"/>
  <c r="CF34" i="7" s="1"/>
  <c r="CF80" i="7"/>
  <c r="CE80" i="7" s="1"/>
  <c r="CG8" i="7"/>
  <c r="CF8" i="7" s="1"/>
  <c r="CE8" i="7" s="1"/>
  <c r="CD8" i="7" s="1"/>
  <c r="CF49" i="7"/>
  <c r="CE49" i="7" s="1"/>
  <c r="CD49" i="7" s="1"/>
  <c r="CC49" i="7" s="1"/>
  <c r="CB49" i="7" s="1"/>
  <c r="CF48" i="7"/>
  <c r="CG32" i="7"/>
  <c r="CF32" i="7" s="1"/>
  <c r="CG31" i="7"/>
  <c r="CF70" i="7"/>
  <c r="CE70" i="7" s="1"/>
  <c r="CD70" i="7" s="1"/>
  <c r="CC70" i="7" s="1"/>
  <c r="CF69" i="7"/>
  <c r="CG56" i="7"/>
  <c r="CF56" i="7" s="1"/>
  <c r="CE56" i="7" s="1"/>
  <c r="CG55" i="7"/>
  <c r="CD10" i="7"/>
  <c r="CC10" i="7" s="1"/>
  <c r="CD9" i="7"/>
  <c r="CG78" i="7"/>
  <c r="CF78" i="7" s="1"/>
  <c r="CE78" i="7" s="1"/>
  <c r="CG77" i="7"/>
  <c r="CG41" i="7"/>
  <c r="CF41" i="7" s="1"/>
  <c r="CE41" i="7" s="1"/>
  <c r="CG40" i="7"/>
  <c r="CG6" i="7"/>
  <c r="CF6" i="7" s="1"/>
  <c r="CG5" i="7"/>
  <c r="CE82" i="7"/>
  <c r="CE81" i="7"/>
  <c r="CF24" i="7"/>
  <c r="CE24" i="7" s="1"/>
  <c r="CD24" i="7" s="1"/>
  <c r="CC24" i="7" s="1"/>
  <c r="CF23" i="7"/>
  <c r="CG45" i="7"/>
  <c r="CF45" i="7" s="1"/>
  <c r="CE45" i="7" s="1"/>
  <c r="CD45" i="7" s="1"/>
  <c r="CG44" i="7"/>
  <c r="CG20" i="7"/>
  <c r="CF20" i="7" s="1"/>
  <c r="CE20" i="7" s="1"/>
  <c r="CD20" i="7" s="1"/>
  <c r="CG19" i="7"/>
  <c r="CG60" i="7"/>
  <c r="CF60" i="7" s="1"/>
  <c r="CE60" i="7" s="1"/>
  <c r="CD60" i="7" s="1"/>
  <c r="CC60" i="7" s="1"/>
  <c r="CG59" i="7"/>
  <c r="CE28" i="7"/>
  <c r="CE27" i="7"/>
  <c r="CG66" i="7"/>
  <c r="CF66" i="7" s="1"/>
  <c r="CE66" i="7" s="1"/>
  <c r="CD66" i="7" s="1"/>
  <c r="CG65" i="7"/>
  <c r="CG16" i="7"/>
  <c r="CF16" i="7" s="1"/>
  <c r="CE16" i="7" s="1"/>
  <c r="CG15" i="7"/>
  <c r="CG37" i="7"/>
  <c r="CF37" i="7" s="1"/>
  <c r="CE37" i="7" s="1"/>
  <c r="CG36" i="7"/>
  <c r="CE73" i="7"/>
  <c r="CE74" i="7"/>
  <c r="CF33" i="7" l="1"/>
  <c r="CE33" i="7" s="1"/>
  <c r="CE79" i="7"/>
  <c r="CD79" i="7" s="1"/>
  <c r="CF7" i="7"/>
  <c r="CE7" i="7" s="1"/>
  <c r="CD7" i="7" s="1"/>
  <c r="CC7" i="7" s="1"/>
  <c r="CF31" i="7"/>
  <c r="CE31" i="7" s="1"/>
  <c r="CF30" i="7"/>
  <c r="CE69" i="7"/>
  <c r="CD69" i="7" s="1"/>
  <c r="CC69" i="7" s="1"/>
  <c r="CB69" i="7" s="1"/>
  <c r="CE68" i="7"/>
  <c r="CC9" i="7"/>
  <c r="CB9" i="7" s="1"/>
  <c r="CC8" i="7"/>
  <c r="CE48" i="7"/>
  <c r="CD48" i="7" s="1"/>
  <c r="CC48" i="7" s="1"/>
  <c r="CB48" i="7" s="1"/>
  <c r="CA48" i="7" s="1"/>
  <c r="CE47" i="7"/>
  <c r="CF55" i="7"/>
  <c r="CE55" i="7" s="1"/>
  <c r="CD55" i="7" s="1"/>
  <c r="CF54" i="7"/>
  <c r="CF59" i="7"/>
  <c r="CE59" i="7" s="1"/>
  <c r="CD59" i="7" s="1"/>
  <c r="CC59" i="7" s="1"/>
  <c r="CB59" i="7" s="1"/>
  <c r="CF58" i="7"/>
  <c r="CF5" i="7"/>
  <c r="CE5" i="7" s="1"/>
  <c r="CF4" i="7"/>
  <c r="CD72" i="7"/>
  <c r="CD73" i="7"/>
  <c r="CF36" i="7"/>
  <c r="CE36" i="7" s="1"/>
  <c r="CD36" i="7" s="1"/>
  <c r="CF35" i="7"/>
  <c r="CD27" i="7"/>
  <c r="CD26" i="7"/>
  <c r="CF40" i="7"/>
  <c r="CE40" i="7" s="1"/>
  <c r="CD40" i="7" s="1"/>
  <c r="CF39" i="7"/>
  <c r="CE23" i="7"/>
  <c r="CD23" i="7" s="1"/>
  <c r="CC23" i="7" s="1"/>
  <c r="CB23" i="7" s="1"/>
  <c r="CE22" i="7"/>
  <c r="CF15" i="7"/>
  <c r="CE15" i="7" s="1"/>
  <c r="CD15" i="7" s="1"/>
  <c r="CF14" i="7"/>
  <c r="CF19" i="7"/>
  <c r="CE19" i="7" s="1"/>
  <c r="CD19" i="7" s="1"/>
  <c r="CC19" i="7" s="1"/>
  <c r="CF18" i="7"/>
  <c r="CF77" i="7"/>
  <c r="CE77" i="7" s="1"/>
  <c r="CD77" i="7" s="1"/>
  <c r="CF76" i="7"/>
  <c r="CD81" i="7"/>
  <c r="CD80" i="7"/>
  <c r="CF44" i="7"/>
  <c r="CE44" i="7" s="1"/>
  <c r="CD44" i="7" s="1"/>
  <c r="CC44" i="7" s="1"/>
  <c r="CF43" i="7"/>
  <c r="CF65" i="7"/>
  <c r="CE65" i="7" s="1"/>
  <c r="CD65" i="7" s="1"/>
  <c r="CC65" i="7" s="1"/>
  <c r="CF64" i="7"/>
  <c r="CE32" i="7" l="1"/>
  <c r="CD32" i="7" s="1"/>
  <c r="CE6" i="7"/>
  <c r="CD6" i="7" s="1"/>
  <c r="CC6" i="7" s="1"/>
  <c r="CB6" i="7" s="1"/>
  <c r="CD78" i="7"/>
  <c r="CC78" i="7" s="1"/>
  <c r="CE4" i="7"/>
  <c r="CD4" i="7" s="1"/>
  <c r="CD68" i="7"/>
  <c r="CC68" i="7" s="1"/>
  <c r="CB68" i="7" s="1"/>
  <c r="CA68" i="7" s="1"/>
  <c r="CD67" i="7"/>
  <c r="CE54" i="7"/>
  <c r="CD54" i="7" s="1"/>
  <c r="CC54" i="7" s="1"/>
  <c r="CE53" i="7"/>
  <c r="CE30" i="7"/>
  <c r="CD30" i="7" s="1"/>
  <c r="CE29" i="7"/>
  <c r="CD47" i="7"/>
  <c r="CC47" i="7" s="1"/>
  <c r="CB47" i="7" s="1"/>
  <c r="CA47" i="7" s="1"/>
  <c r="BZ47" i="7" s="1"/>
  <c r="CD46" i="7"/>
  <c r="CB8" i="7"/>
  <c r="CA8" i="7" s="1"/>
  <c r="CB7" i="7"/>
  <c r="CC26" i="7"/>
  <c r="CC25" i="7"/>
  <c r="CE14" i="7"/>
  <c r="CD14" i="7" s="1"/>
  <c r="CC14" i="7" s="1"/>
  <c r="CE13" i="7"/>
  <c r="CC80" i="7"/>
  <c r="CC79" i="7"/>
  <c r="CC71" i="7"/>
  <c r="CC72" i="7"/>
  <c r="CE35" i="7"/>
  <c r="CD35" i="7" s="1"/>
  <c r="CC35" i="7" s="1"/>
  <c r="CE34" i="7"/>
  <c r="CE18" i="7"/>
  <c r="CD18" i="7" s="1"/>
  <c r="CC18" i="7" s="1"/>
  <c r="CB18" i="7" s="1"/>
  <c r="CE17" i="7"/>
  <c r="CD22" i="7"/>
  <c r="CC22" i="7" s="1"/>
  <c r="CB22" i="7" s="1"/>
  <c r="CA22" i="7" s="1"/>
  <c r="CD21" i="7"/>
  <c r="CE64" i="7"/>
  <c r="CD64" i="7" s="1"/>
  <c r="CC64" i="7" s="1"/>
  <c r="CB64" i="7" s="1"/>
  <c r="CE63" i="7"/>
  <c r="CE43" i="7"/>
  <c r="CD43" i="7" s="1"/>
  <c r="CC43" i="7" s="1"/>
  <c r="CB43" i="7" s="1"/>
  <c r="CE42" i="7"/>
  <c r="CE76" i="7"/>
  <c r="CD76" i="7" s="1"/>
  <c r="CC76" i="7" s="1"/>
  <c r="CE75" i="7"/>
  <c r="CE39" i="7"/>
  <c r="CD39" i="7" s="1"/>
  <c r="CC39" i="7" s="1"/>
  <c r="CE38" i="7"/>
  <c r="CE58" i="7"/>
  <c r="CD58" i="7" s="1"/>
  <c r="CC58" i="7" s="1"/>
  <c r="CB58" i="7" s="1"/>
  <c r="CA58" i="7" s="1"/>
  <c r="CE57" i="7"/>
  <c r="CD31" i="7" l="1"/>
  <c r="CC31" i="7" s="1"/>
  <c r="CC77" i="7"/>
  <c r="CB77" i="7" s="1"/>
  <c r="CD5" i="7"/>
  <c r="CC5" i="7" s="1"/>
  <c r="CB5" i="7" s="1"/>
  <c r="CA5" i="7" s="1"/>
  <c r="CC46" i="7"/>
  <c r="CB46" i="7" s="1"/>
  <c r="CA46" i="7" s="1"/>
  <c r="BZ46" i="7" s="1"/>
  <c r="BY46" i="7" s="1"/>
  <c r="CC45" i="7"/>
  <c r="CD53" i="7"/>
  <c r="CC53" i="7" s="1"/>
  <c r="CB53" i="7" s="1"/>
  <c r="CD52" i="7"/>
  <c r="CA7" i="7"/>
  <c r="BZ7" i="7" s="1"/>
  <c r="CA6" i="7"/>
  <c r="CC67" i="7"/>
  <c r="CB67" i="7" s="1"/>
  <c r="CA67" i="7" s="1"/>
  <c r="BZ67" i="7" s="1"/>
  <c r="CC66" i="7"/>
  <c r="CD29" i="7"/>
  <c r="CC29" i="7" s="1"/>
  <c r="CD28" i="7"/>
  <c r="CD42" i="7"/>
  <c r="CC42" i="7" s="1"/>
  <c r="CB42" i="7" s="1"/>
  <c r="CA42" i="7" s="1"/>
  <c r="CD41" i="7"/>
  <c r="CB79" i="7"/>
  <c r="CB78" i="7"/>
  <c r="CD57" i="7"/>
  <c r="CC57" i="7" s="1"/>
  <c r="CB57" i="7" s="1"/>
  <c r="CA57" i="7" s="1"/>
  <c r="BZ57" i="7" s="1"/>
  <c r="CD56" i="7"/>
  <c r="CD63" i="7"/>
  <c r="CC63" i="7" s="1"/>
  <c r="CB63" i="7" s="1"/>
  <c r="CA63" i="7" s="1"/>
  <c r="CD62" i="7"/>
  <c r="CC21" i="7"/>
  <c r="CB21" i="7" s="1"/>
  <c r="CA21" i="7" s="1"/>
  <c r="BZ21" i="7" s="1"/>
  <c r="CC20" i="7"/>
  <c r="CD38" i="7"/>
  <c r="CC38" i="7" s="1"/>
  <c r="CB38" i="7" s="1"/>
  <c r="CD37" i="7"/>
  <c r="CD13" i="7"/>
  <c r="CC13" i="7" s="1"/>
  <c r="CB13" i="7" s="1"/>
  <c r="CD12" i="7"/>
  <c r="CB71" i="7"/>
  <c r="CB70" i="7"/>
  <c r="CD17" i="7"/>
  <c r="CC17" i="7" s="1"/>
  <c r="CB17" i="7" s="1"/>
  <c r="CA17" i="7" s="1"/>
  <c r="CD16" i="7"/>
  <c r="CD75" i="7"/>
  <c r="CC75" i="7" s="1"/>
  <c r="CB75" i="7" s="1"/>
  <c r="CD74" i="7"/>
  <c r="CB25" i="7"/>
  <c r="CB24" i="7"/>
  <c r="CD34" i="7"/>
  <c r="CC34" i="7" s="1"/>
  <c r="CB34" i="7" s="1"/>
  <c r="CD33" i="7"/>
  <c r="CC30" i="7" l="1"/>
  <c r="CB30" i="7" s="1"/>
  <c r="CB76" i="7"/>
  <c r="CA76" i="7" s="1"/>
  <c r="CA75" i="7"/>
  <c r="BZ75" i="7" s="1"/>
  <c r="CC4" i="7"/>
  <c r="CB4" i="7" s="1"/>
  <c r="CA4" i="7" s="1"/>
  <c r="BZ4" i="7" s="1"/>
  <c r="CB66" i="7"/>
  <c r="CA66" i="7" s="1"/>
  <c r="BZ66" i="7" s="1"/>
  <c r="BY66" i="7" s="1"/>
  <c r="CB65" i="7"/>
  <c r="CC52" i="7"/>
  <c r="CB52" i="7" s="1"/>
  <c r="CA52" i="7" s="1"/>
  <c r="CC51" i="7"/>
  <c r="BZ6" i="7"/>
  <c r="BY6" i="7" s="1"/>
  <c r="BZ5" i="7"/>
  <c r="CC28" i="7"/>
  <c r="CB28" i="7" s="1"/>
  <c r="CC27" i="7"/>
  <c r="CB45" i="7"/>
  <c r="CA45" i="7" s="1"/>
  <c r="BZ45" i="7" s="1"/>
  <c r="BY45" i="7" s="1"/>
  <c r="BX45" i="7" s="1"/>
  <c r="CB44" i="7"/>
  <c r="CC12" i="7"/>
  <c r="CB12" i="7" s="1"/>
  <c r="CA12" i="7" s="1"/>
  <c r="CC11" i="7"/>
  <c r="CC62" i="7"/>
  <c r="CB62" i="7" s="1"/>
  <c r="CA62" i="7" s="1"/>
  <c r="BZ62" i="7" s="1"/>
  <c r="CC61" i="7"/>
  <c r="CA70" i="7"/>
  <c r="CA69" i="7"/>
  <c r="CA78" i="7"/>
  <c r="CA77" i="7"/>
  <c r="CA24" i="7"/>
  <c r="CA23" i="7"/>
  <c r="CC74" i="7"/>
  <c r="CB74" i="7" s="1"/>
  <c r="CA74" i="7" s="1"/>
  <c r="BZ74" i="7" s="1"/>
  <c r="BY74" i="7" s="1"/>
  <c r="CC73" i="7"/>
  <c r="CC37" i="7"/>
  <c r="CB37" i="7" s="1"/>
  <c r="CA37" i="7" s="1"/>
  <c r="CC36" i="7"/>
  <c r="CC56" i="7"/>
  <c r="CB56" i="7" s="1"/>
  <c r="CA56" i="7" s="1"/>
  <c r="BZ56" i="7" s="1"/>
  <c r="BY56" i="7" s="1"/>
  <c r="CC55" i="7"/>
  <c r="CC41" i="7"/>
  <c r="CB41" i="7" s="1"/>
  <c r="CA41" i="7" s="1"/>
  <c r="BZ41" i="7" s="1"/>
  <c r="CC40" i="7"/>
  <c r="CC33" i="7"/>
  <c r="CB33" i="7" s="1"/>
  <c r="CA33" i="7" s="1"/>
  <c r="CC32" i="7"/>
  <c r="CC16" i="7"/>
  <c r="CB16" i="7" s="1"/>
  <c r="CA16" i="7" s="1"/>
  <c r="BZ16" i="7" s="1"/>
  <c r="CC15" i="7"/>
  <c r="CB20" i="7"/>
  <c r="CA20" i="7" s="1"/>
  <c r="BZ20" i="7" s="1"/>
  <c r="BY20" i="7" s="1"/>
  <c r="CB19" i="7"/>
  <c r="CB29" i="7" l="1"/>
  <c r="CA29" i="7" s="1"/>
  <c r="BY4" i="7"/>
  <c r="BY5" i="7"/>
  <c r="BX5" i="7" s="1"/>
  <c r="CB51" i="7"/>
  <c r="CA51" i="7" s="1"/>
  <c r="BZ51" i="7" s="1"/>
  <c r="CB50" i="7"/>
  <c r="CB27" i="7"/>
  <c r="CA27" i="7" s="1"/>
  <c r="CB26" i="7"/>
  <c r="CA65" i="7"/>
  <c r="BZ65" i="7" s="1"/>
  <c r="BY65" i="7" s="1"/>
  <c r="BX65" i="7" s="1"/>
  <c r="CA64" i="7"/>
  <c r="CA44" i="7"/>
  <c r="BZ44" i="7" s="1"/>
  <c r="BY44" i="7" s="1"/>
  <c r="BX44" i="7" s="1"/>
  <c r="BW44" i="7" s="1"/>
  <c r="CA43" i="7"/>
  <c r="CB36" i="7"/>
  <c r="CA36" i="7" s="1"/>
  <c r="BZ36" i="7" s="1"/>
  <c r="CB35" i="7"/>
  <c r="CB32" i="7"/>
  <c r="CA32" i="7" s="1"/>
  <c r="BZ32" i="7" s="1"/>
  <c r="CB31" i="7"/>
  <c r="CB61" i="7"/>
  <c r="CA61" i="7" s="1"/>
  <c r="BZ61" i="7" s="1"/>
  <c r="BY61" i="7" s="1"/>
  <c r="CB60" i="7"/>
  <c r="CA19" i="7"/>
  <c r="BZ19" i="7" s="1"/>
  <c r="BY19" i="7" s="1"/>
  <c r="BX19" i="7" s="1"/>
  <c r="CA18" i="7"/>
  <c r="BZ69" i="7"/>
  <c r="BZ68" i="7"/>
  <c r="CB40" i="7"/>
  <c r="CA40" i="7" s="1"/>
  <c r="BZ40" i="7" s="1"/>
  <c r="BY40" i="7" s="1"/>
  <c r="CB39" i="7"/>
  <c r="BZ23" i="7"/>
  <c r="BZ22" i="7"/>
  <c r="BZ77" i="7"/>
  <c r="BZ76" i="7"/>
  <c r="CB11" i="7"/>
  <c r="CA11" i="7" s="1"/>
  <c r="BZ11" i="7" s="1"/>
  <c r="CB10" i="7"/>
  <c r="CB15" i="7"/>
  <c r="CA15" i="7" s="1"/>
  <c r="BZ15" i="7" s="1"/>
  <c r="BY15" i="7" s="1"/>
  <c r="CB14" i="7"/>
  <c r="CB73" i="7"/>
  <c r="CA73" i="7" s="1"/>
  <c r="BZ73" i="7" s="1"/>
  <c r="BY73" i="7" s="1"/>
  <c r="BX73" i="7" s="1"/>
  <c r="CB72" i="7"/>
  <c r="CB55" i="7"/>
  <c r="CA55" i="7" s="1"/>
  <c r="BZ55" i="7" s="1"/>
  <c r="BY55" i="7" s="1"/>
  <c r="BX55" i="7" s="1"/>
  <c r="CB54" i="7"/>
  <c r="CA28" i="7" l="1"/>
  <c r="BZ28" i="7" s="1"/>
  <c r="CA26" i="7"/>
  <c r="BZ26" i="7" s="1"/>
  <c r="CA25" i="7"/>
  <c r="CA50" i="7"/>
  <c r="BZ50" i="7" s="1"/>
  <c r="BY50" i="7" s="1"/>
  <c r="CA49" i="7"/>
  <c r="BZ64" i="7"/>
  <c r="BY64" i="7" s="1"/>
  <c r="BX64" i="7" s="1"/>
  <c r="BW64" i="7" s="1"/>
  <c r="BZ63" i="7"/>
  <c r="BZ43" i="7"/>
  <c r="BY43" i="7" s="1"/>
  <c r="BX43" i="7" s="1"/>
  <c r="BW43" i="7" s="1"/>
  <c r="BV43" i="7" s="1"/>
  <c r="BZ42" i="7"/>
  <c r="BX4" i="7"/>
  <c r="BW4" i="7" s="1"/>
  <c r="CA39" i="7"/>
  <c r="BZ39" i="7" s="1"/>
  <c r="BY39" i="7" s="1"/>
  <c r="BX39" i="7" s="1"/>
  <c r="CA38" i="7"/>
  <c r="CA31" i="7"/>
  <c r="BZ31" i="7" s="1"/>
  <c r="BY31" i="7" s="1"/>
  <c r="CA30" i="7"/>
  <c r="BY22" i="7"/>
  <c r="BY21" i="7"/>
  <c r="CA60" i="7"/>
  <c r="BZ60" i="7" s="1"/>
  <c r="BY60" i="7" s="1"/>
  <c r="BX60" i="7" s="1"/>
  <c r="CA59" i="7"/>
  <c r="CA54" i="7"/>
  <c r="BZ54" i="7" s="1"/>
  <c r="BY54" i="7" s="1"/>
  <c r="BX54" i="7" s="1"/>
  <c r="BW54" i="7" s="1"/>
  <c r="CA53" i="7"/>
  <c r="CA14" i="7"/>
  <c r="BZ14" i="7" s="1"/>
  <c r="BY14" i="7" s="1"/>
  <c r="BX14" i="7" s="1"/>
  <c r="CA13" i="7"/>
  <c r="BY68" i="7"/>
  <c r="BY67" i="7"/>
  <c r="CA72" i="7"/>
  <c r="BZ72" i="7" s="1"/>
  <c r="BY72" i="7" s="1"/>
  <c r="BX72" i="7" s="1"/>
  <c r="BW72" i="7" s="1"/>
  <c r="CA71" i="7"/>
  <c r="BY76" i="7"/>
  <c r="BY75" i="7"/>
  <c r="BZ18" i="7"/>
  <c r="BY18" i="7" s="1"/>
  <c r="BX18" i="7" s="1"/>
  <c r="BW18" i="7" s="1"/>
  <c r="BZ17" i="7"/>
  <c r="CA35" i="7"/>
  <c r="BZ35" i="7" s="1"/>
  <c r="BY35" i="7" s="1"/>
  <c r="CA34" i="7"/>
  <c r="CA10" i="7"/>
  <c r="BZ10" i="7" s="1"/>
  <c r="BY10" i="7" s="1"/>
  <c r="CA9" i="7"/>
  <c r="BZ27" i="7" l="1"/>
  <c r="BY27" i="7" s="1"/>
  <c r="BY63" i="7"/>
  <c r="BX63" i="7" s="1"/>
  <c r="BW63" i="7" s="1"/>
  <c r="BV63" i="7" s="1"/>
  <c r="BY62" i="7"/>
  <c r="BY42" i="7"/>
  <c r="BX42" i="7" s="1"/>
  <c r="BW42" i="7" s="1"/>
  <c r="BV42" i="7" s="1"/>
  <c r="BU42" i="7" s="1"/>
  <c r="BY41" i="7"/>
  <c r="BZ49" i="7"/>
  <c r="BY49" i="7" s="1"/>
  <c r="BX49" i="7" s="1"/>
  <c r="BZ48" i="7"/>
  <c r="BZ25" i="7"/>
  <c r="BY25" i="7" s="1"/>
  <c r="BZ24" i="7"/>
  <c r="BZ71" i="7"/>
  <c r="BY71" i="7" s="1"/>
  <c r="BX71" i="7" s="1"/>
  <c r="BW71" i="7" s="1"/>
  <c r="BV71" i="7" s="1"/>
  <c r="BZ70" i="7"/>
  <c r="BZ9" i="7"/>
  <c r="BY9" i="7" s="1"/>
  <c r="BX9" i="7" s="1"/>
  <c r="BZ8" i="7"/>
  <c r="BX75" i="7"/>
  <c r="BX74" i="7"/>
  <c r="BZ34" i="7"/>
  <c r="BY34" i="7" s="1"/>
  <c r="BX34" i="7" s="1"/>
  <c r="BZ33" i="7"/>
  <c r="BX67" i="7"/>
  <c r="BX66" i="7"/>
  <c r="BZ30" i="7"/>
  <c r="BY30" i="7" s="1"/>
  <c r="BX30" i="7" s="1"/>
  <c r="BZ29" i="7"/>
  <c r="BZ59" i="7"/>
  <c r="BY59" i="7" s="1"/>
  <c r="BX59" i="7" s="1"/>
  <c r="BW59" i="7" s="1"/>
  <c r="BZ58" i="7"/>
  <c r="BY17" i="7"/>
  <c r="BX17" i="7" s="1"/>
  <c r="BW17" i="7" s="1"/>
  <c r="BV17" i="7" s="1"/>
  <c r="BY16" i="7"/>
  <c r="BZ13" i="7"/>
  <c r="BY13" i="7" s="1"/>
  <c r="BX13" i="7" s="1"/>
  <c r="BW13" i="7" s="1"/>
  <c r="BZ12" i="7"/>
  <c r="BZ38" i="7"/>
  <c r="BY38" i="7" s="1"/>
  <c r="BX38" i="7" s="1"/>
  <c r="BW38" i="7" s="1"/>
  <c r="BZ37" i="7"/>
  <c r="BX21" i="7"/>
  <c r="BX20" i="7"/>
  <c r="BZ53" i="7"/>
  <c r="BY53" i="7" s="1"/>
  <c r="BX53" i="7" s="1"/>
  <c r="BW53" i="7" s="1"/>
  <c r="BV53" i="7" s="1"/>
  <c r="BZ52" i="7"/>
  <c r="BY26" i="7" l="1"/>
  <c r="BX26" i="7" s="1"/>
  <c r="BY24" i="7"/>
  <c r="BX24" i="7" s="1"/>
  <c r="BY23" i="7"/>
  <c r="BX41" i="7"/>
  <c r="BW41" i="7" s="1"/>
  <c r="BV41" i="7" s="1"/>
  <c r="BU41" i="7" s="1"/>
  <c r="BT41" i="7" s="1"/>
  <c r="BX40" i="7"/>
  <c r="BY48" i="7"/>
  <c r="BX48" i="7" s="1"/>
  <c r="BW48" i="7" s="1"/>
  <c r="BY47" i="7"/>
  <c r="BX62" i="7"/>
  <c r="BW62" i="7" s="1"/>
  <c r="BV62" i="7" s="1"/>
  <c r="BU62" i="7" s="1"/>
  <c r="BX61" i="7"/>
  <c r="BY52" i="7"/>
  <c r="BX52" i="7" s="1"/>
  <c r="BW52" i="7" s="1"/>
  <c r="BV52" i="7" s="1"/>
  <c r="BU52" i="7" s="1"/>
  <c r="BY51" i="7"/>
  <c r="BY12" i="7"/>
  <c r="BX12" i="7" s="1"/>
  <c r="BW12" i="7" s="1"/>
  <c r="BV12" i="7" s="1"/>
  <c r="BY11" i="7"/>
  <c r="BW74" i="7"/>
  <c r="BW73" i="7"/>
  <c r="BY58" i="7"/>
  <c r="BX58" i="7" s="1"/>
  <c r="BW58" i="7" s="1"/>
  <c r="BV58" i="7" s="1"/>
  <c r="BY57" i="7"/>
  <c r="BY8" i="7"/>
  <c r="BX8" i="7" s="1"/>
  <c r="BW8" i="7" s="1"/>
  <c r="BY7" i="7"/>
  <c r="BY33" i="7"/>
  <c r="BX33" i="7" s="1"/>
  <c r="BW33" i="7" s="1"/>
  <c r="BY32" i="7"/>
  <c r="BX16" i="7"/>
  <c r="BW16" i="7" s="1"/>
  <c r="BV16" i="7" s="1"/>
  <c r="BU16" i="7" s="1"/>
  <c r="BX15" i="7"/>
  <c r="BW20" i="7"/>
  <c r="BW19" i="7"/>
  <c r="BY29" i="7"/>
  <c r="BX29" i="7" s="1"/>
  <c r="BW29" i="7" s="1"/>
  <c r="BY28" i="7"/>
  <c r="BY37" i="7"/>
  <c r="BX37" i="7" s="1"/>
  <c r="BW37" i="7" s="1"/>
  <c r="BV37" i="7" s="1"/>
  <c r="BY36" i="7"/>
  <c r="BY70" i="7"/>
  <c r="BX70" i="7" s="1"/>
  <c r="BW70" i="7" s="1"/>
  <c r="BV70" i="7" s="1"/>
  <c r="BU70" i="7" s="1"/>
  <c r="BY69" i="7"/>
  <c r="BW66" i="7"/>
  <c r="BW65" i="7"/>
  <c r="BX25" i="7" l="1"/>
  <c r="BW25" i="7" s="1"/>
  <c r="BW40" i="7"/>
  <c r="BV40" i="7" s="1"/>
  <c r="BU40" i="7" s="1"/>
  <c r="BT40" i="7" s="1"/>
  <c r="BS40" i="7" s="1"/>
  <c r="BW39" i="7"/>
  <c r="BW61" i="7"/>
  <c r="BV61" i="7" s="1"/>
  <c r="BU61" i="7" s="1"/>
  <c r="BT61" i="7" s="1"/>
  <c r="BW60" i="7"/>
  <c r="BX47" i="7"/>
  <c r="BW47" i="7" s="1"/>
  <c r="BV47" i="7" s="1"/>
  <c r="BX46" i="7"/>
  <c r="BX23" i="7"/>
  <c r="BW23" i="7" s="1"/>
  <c r="BX22" i="7"/>
  <c r="BV19" i="7"/>
  <c r="BV18" i="7"/>
  <c r="BV65" i="7"/>
  <c r="BV64" i="7"/>
  <c r="BW15" i="7"/>
  <c r="BV15" i="7" s="1"/>
  <c r="BU15" i="7" s="1"/>
  <c r="BT15" i="7" s="1"/>
  <c r="BW14" i="7"/>
  <c r="BV73" i="7"/>
  <c r="BV72" i="7"/>
  <c r="BX69" i="7"/>
  <c r="BW69" i="7" s="1"/>
  <c r="BV69" i="7" s="1"/>
  <c r="BU69" i="7" s="1"/>
  <c r="BT69" i="7" s="1"/>
  <c r="BX68" i="7"/>
  <c r="BX32" i="7"/>
  <c r="BW32" i="7" s="1"/>
  <c r="BV32" i="7" s="1"/>
  <c r="BX31" i="7"/>
  <c r="BX11" i="7"/>
  <c r="BW11" i="7" s="1"/>
  <c r="BV11" i="7" s="1"/>
  <c r="BU11" i="7" s="1"/>
  <c r="BX10" i="7"/>
  <c r="BX28" i="7"/>
  <c r="BW28" i="7" s="1"/>
  <c r="BV28" i="7" s="1"/>
  <c r="BX27" i="7"/>
  <c r="BX36" i="7"/>
  <c r="BW36" i="7" s="1"/>
  <c r="BV36" i="7" s="1"/>
  <c r="BU36" i="7" s="1"/>
  <c r="BX35" i="7"/>
  <c r="BX51" i="7"/>
  <c r="BW51" i="7" s="1"/>
  <c r="BV51" i="7" s="1"/>
  <c r="BU51" i="7" s="1"/>
  <c r="BT51" i="7" s="1"/>
  <c r="BX50" i="7"/>
  <c r="BX57" i="7"/>
  <c r="BW57" i="7" s="1"/>
  <c r="BV57" i="7" s="1"/>
  <c r="BU57" i="7" s="1"/>
  <c r="BX56" i="7"/>
  <c r="BX7" i="7"/>
  <c r="BW7" i="7" s="1"/>
  <c r="BV7" i="7" s="1"/>
  <c r="BX6" i="7"/>
  <c r="BW24" i="7" l="1"/>
  <c r="BV24" i="7" s="1"/>
  <c r="BV60" i="7"/>
  <c r="BU60" i="7" s="1"/>
  <c r="BT60" i="7" s="1"/>
  <c r="BS60" i="7" s="1"/>
  <c r="BV59" i="7"/>
  <c r="BV39" i="7"/>
  <c r="BU39" i="7" s="1"/>
  <c r="BT39" i="7" s="1"/>
  <c r="BS39" i="7" s="1"/>
  <c r="BR39" i="7" s="1"/>
  <c r="BV38" i="7"/>
  <c r="BW22" i="7"/>
  <c r="BV22" i="7" s="1"/>
  <c r="BW21" i="7"/>
  <c r="BW46" i="7"/>
  <c r="BV46" i="7" s="1"/>
  <c r="BU46" i="7" s="1"/>
  <c r="BW45" i="7"/>
  <c r="BU72" i="7"/>
  <c r="BU71" i="7"/>
  <c r="BW6" i="7"/>
  <c r="BV6" i="7" s="1"/>
  <c r="BU6" i="7" s="1"/>
  <c r="BW5" i="7"/>
  <c r="BW10" i="7"/>
  <c r="BV10" i="7" s="1"/>
  <c r="BU10" i="7" s="1"/>
  <c r="BT10" i="7" s="1"/>
  <c r="BW9" i="7"/>
  <c r="BV14" i="7"/>
  <c r="BU14" i="7" s="1"/>
  <c r="BT14" i="7" s="1"/>
  <c r="BS14" i="7" s="1"/>
  <c r="BV13" i="7"/>
  <c r="BW56" i="7"/>
  <c r="BV56" i="7" s="1"/>
  <c r="BU56" i="7" s="1"/>
  <c r="BT56" i="7" s="1"/>
  <c r="BW55" i="7"/>
  <c r="BU64" i="7"/>
  <c r="BU63" i="7"/>
  <c r="BW27" i="7"/>
  <c r="BV27" i="7" s="1"/>
  <c r="BU27" i="7" s="1"/>
  <c r="BW26" i="7"/>
  <c r="BW50" i="7"/>
  <c r="BV50" i="7" s="1"/>
  <c r="BU50" i="7" s="1"/>
  <c r="BT50" i="7" s="1"/>
  <c r="BS50" i="7" s="1"/>
  <c r="BW49" i="7"/>
  <c r="BW31" i="7"/>
  <c r="BV31" i="7" s="1"/>
  <c r="BU31" i="7" s="1"/>
  <c r="BW30" i="7"/>
  <c r="BU18" i="7"/>
  <c r="BU17" i="7"/>
  <c r="BW35" i="7"/>
  <c r="BV35" i="7" s="1"/>
  <c r="BU35" i="7" s="1"/>
  <c r="BT35" i="7" s="1"/>
  <c r="BW34" i="7"/>
  <c r="BW68" i="7"/>
  <c r="BV68" i="7" s="1"/>
  <c r="BU68" i="7" s="1"/>
  <c r="BT68" i="7" s="1"/>
  <c r="BS68" i="7" s="1"/>
  <c r="BW67" i="7"/>
  <c r="BV23" i="7" l="1"/>
  <c r="BU23" i="7" s="1"/>
  <c r="BV45" i="7"/>
  <c r="BU45" i="7" s="1"/>
  <c r="BT45" i="7" s="1"/>
  <c r="BV44" i="7"/>
  <c r="BU38" i="7"/>
  <c r="BT38" i="7" s="1"/>
  <c r="BS38" i="7" s="1"/>
  <c r="BR38" i="7" s="1"/>
  <c r="BQ38" i="7" s="1"/>
  <c r="BU37" i="7"/>
  <c r="BU59" i="7"/>
  <c r="BT59" i="7" s="1"/>
  <c r="BS59" i="7" s="1"/>
  <c r="BR59" i="7" s="1"/>
  <c r="BU58" i="7"/>
  <c r="BV21" i="7"/>
  <c r="BU21" i="7" s="1"/>
  <c r="BV20" i="7"/>
  <c r="BV49" i="7"/>
  <c r="BU49" i="7" s="1"/>
  <c r="BT49" i="7" s="1"/>
  <c r="BS49" i="7" s="1"/>
  <c r="BR49" i="7" s="1"/>
  <c r="BV48" i="7"/>
  <c r="BU13" i="7"/>
  <c r="BT13" i="7" s="1"/>
  <c r="BS13" i="7" s="1"/>
  <c r="BR13" i="7" s="1"/>
  <c r="BU12" i="7"/>
  <c r="BV26" i="7"/>
  <c r="BU26" i="7" s="1"/>
  <c r="BT26" i="7" s="1"/>
  <c r="BV25" i="7"/>
  <c r="BV5" i="7"/>
  <c r="BU5" i="7" s="1"/>
  <c r="BT5" i="7" s="1"/>
  <c r="BV4" i="7"/>
  <c r="BU4" i="7" s="1"/>
  <c r="BT4" i="7" s="1"/>
  <c r="BS4" i="7" s="1"/>
  <c r="BV67" i="7"/>
  <c r="BU67" i="7" s="1"/>
  <c r="BT67" i="7" s="1"/>
  <c r="BS67" i="7" s="1"/>
  <c r="BR67" i="7" s="1"/>
  <c r="BV66" i="7"/>
  <c r="BV9" i="7"/>
  <c r="BU9" i="7" s="1"/>
  <c r="BT9" i="7" s="1"/>
  <c r="BS9" i="7" s="1"/>
  <c r="BV8" i="7"/>
  <c r="BT71" i="7"/>
  <c r="BT70" i="7"/>
  <c r="BV34" i="7"/>
  <c r="BU34" i="7" s="1"/>
  <c r="BT34" i="7" s="1"/>
  <c r="BS34" i="7" s="1"/>
  <c r="BV33" i="7"/>
  <c r="BT63" i="7"/>
  <c r="BT62" i="7"/>
  <c r="BT17" i="7"/>
  <c r="BT16" i="7"/>
  <c r="BV55" i="7"/>
  <c r="BU55" i="7" s="1"/>
  <c r="BT55" i="7" s="1"/>
  <c r="BS55" i="7" s="1"/>
  <c r="BV54" i="7"/>
  <c r="BV30" i="7"/>
  <c r="BU30" i="7" s="1"/>
  <c r="BT30" i="7" s="1"/>
  <c r="BV29" i="7"/>
  <c r="BU22" i="7" l="1"/>
  <c r="BT22" i="7" s="1"/>
  <c r="BU20" i="7"/>
  <c r="BT20" i="7" s="1"/>
  <c r="BU19" i="7"/>
  <c r="BT37" i="7"/>
  <c r="BS37" i="7" s="1"/>
  <c r="BR37" i="7" s="1"/>
  <c r="BQ37" i="7" s="1"/>
  <c r="BP37" i="7" s="1"/>
  <c r="BT36" i="7"/>
  <c r="BU44" i="7"/>
  <c r="BT44" i="7" s="1"/>
  <c r="BS44" i="7" s="1"/>
  <c r="BU43" i="7"/>
  <c r="BT58" i="7"/>
  <c r="BS58" i="7" s="1"/>
  <c r="BR58" i="7" s="1"/>
  <c r="BQ58" i="7" s="1"/>
  <c r="BT57" i="7"/>
  <c r="BS70" i="7"/>
  <c r="BS69" i="7"/>
  <c r="BU25" i="7"/>
  <c r="BT25" i="7" s="1"/>
  <c r="BS25" i="7" s="1"/>
  <c r="BU24" i="7"/>
  <c r="BU33" i="7"/>
  <c r="BT33" i="7" s="1"/>
  <c r="BS33" i="7" s="1"/>
  <c r="BR33" i="7" s="1"/>
  <c r="BU32" i="7"/>
  <c r="BU29" i="7"/>
  <c r="BT29" i="7" s="1"/>
  <c r="BS29" i="7" s="1"/>
  <c r="BU28" i="7"/>
  <c r="BU54" i="7"/>
  <c r="BT54" i="7" s="1"/>
  <c r="BS54" i="7" s="1"/>
  <c r="BR54" i="7" s="1"/>
  <c r="BU53" i="7"/>
  <c r="BU8" i="7"/>
  <c r="BT8" i="7" s="1"/>
  <c r="BS8" i="7" s="1"/>
  <c r="BR8" i="7" s="1"/>
  <c r="BU7" i="7"/>
  <c r="BT12" i="7"/>
  <c r="BS12" i="7" s="1"/>
  <c r="BR12" i="7" s="1"/>
  <c r="BQ12" i="7" s="1"/>
  <c r="BT11" i="7"/>
  <c r="BS16" i="7"/>
  <c r="BS15" i="7"/>
  <c r="BU66" i="7"/>
  <c r="BT66" i="7" s="1"/>
  <c r="BS66" i="7" s="1"/>
  <c r="BR66" i="7" s="1"/>
  <c r="BQ66" i="7" s="1"/>
  <c r="BU65" i="7"/>
  <c r="BU48" i="7"/>
  <c r="BT48" i="7" s="1"/>
  <c r="BS48" i="7" s="1"/>
  <c r="BR48" i="7" s="1"/>
  <c r="BQ48" i="7" s="1"/>
  <c r="BU47" i="7"/>
  <c r="BS62" i="7"/>
  <c r="BS61" i="7"/>
  <c r="BT21" i="7" l="1"/>
  <c r="BS21" i="7" s="1"/>
  <c r="BS36" i="7"/>
  <c r="BR36" i="7" s="1"/>
  <c r="BQ36" i="7" s="1"/>
  <c r="BP36" i="7" s="1"/>
  <c r="BO36" i="7" s="1"/>
  <c r="BS35" i="7"/>
  <c r="BT43" i="7"/>
  <c r="BS43" i="7" s="1"/>
  <c r="BR43" i="7" s="1"/>
  <c r="BT42" i="7"/>
  <c r="BT19" i="7"/>
  <c r="BS19" i="7" s="1"/>
  <c r="BT18" i="7"/>
  <c r="BS57" i="7"/>
  <c r="BR57" i="7" s="1"/>
  <c r="BQ57" i="7" s="1"/>
  <c r="BP57" i="7" s="1"/>
  <c r="BS56" i="7"/>
  <c r="BR15" i="7"/>
  <c r="BR14" i="7"/>
  <c r="BT32" i="7"/>
  <c r="BS32" i="7" s="1"/>
  <c r="BR32" i="7" s="1"/>
  <c r="BQ32" i="7" s="1"/>
  <c r="BT31" i="7"/>
  <c r="BS11" i="7"/>
  <c r="BR11" i="7" s="1"/>
  <c r="BQ11" i="7" s="1"/>
  <c r="BP11" i="7" s="1"/>
  <c r="BS10" i="7"/>
  <c r="BT24" i="7"/>
  <c r="BS24" i="7" s="1"/>
  <c r="BR24" i="7" s="1"/>
  <c r="BT23" i="7"/>
  <c r="BT28" i="7"/>
  <c r="BS28" i="7" s="1"/>
  <c r="BR28" i="7" s="1"/>
  <c r="BT27" i="7"/>
  <c r="BT7" i="7"/>
  <c r="BS7" i="7" s="1"/>
  <c r="BR7" i="7" s="1"/>
  <c r="BQ7" i="7" s="1"/>
  <c r="BT6" i="7"/>
  <c r="BR61" i="7"/>
  <c r="BR60" i="7"/>
  <c r="BT47" i="7"/>
  <c r="BS47" i="7" s="1"/>
  <c r="BR47" i="7" s="1"/>
  <c r="BQ47" i="7" s="1"/>
  <c r="BP47" i="7" s="1"/>
  <c r="BT46" i="7"/>
  <c r="BR69" i="7"/>
  <c r="BR68" i="7"/>
  <c r="BT53" i="7"/>
  <c r="BS53" i="7" s="1"/>
  <c r="BR53" i="7" s="1"/>
  <c r="BQ53" i="7" s="1"/>
  <c r="BT52" i="7"/>
  <c r="BT65" i="7"/>
  <c r="BS65" i="7" s="1"/>
  <c r="BR65" i="7" s="1"/>
  <c r="BQ65" i="7" s="1"/>
  <c r="BP65" i="7" s="1"/>
  <c r="BT64" i="7"/>
  <c r="BS20" i="7" l="1"/>
  <c r="BR20" i="7" s="1"/>
  <c r="BR56" i="7"/>
  <c r="BQ56" i="7" s="1"/>
  <c r="BP56" i="7" s="1"/>
  <c r="BO56" i="7" s="1"/>
  <c r="BR55" i="7"/>
  <c r="BS18" i="7"/>
  <c r="BR18" i="7" s="1"/>
  <c r="BS17" i="7"/>
  <c r="BS42" i="7"/>
  <c r="BR42" i="7" s="1"/>
  <c r="BQ42" i="7" s="1"/>
  <c r="BS41" i="7"/>
  <c r="BR35" i="7"/>
  <c r="BQ35" i="7" s="1"/>
  <c r="BP35" i="7" s="1"/>
  <c r="BO35" i="7" s="1"/>
  <c r="BN35" i="7" s="1"/>
  <c r="BR34" i="7"/>
  <c r="BS46" i="7"/>
  <c r="BR46" i="7" s="1"/>
  <c r="BQ46" i="7" s="1"/>
  <c r="BP46" i="7" s="1"/>
  <c r="BO46" i="7" s="1"/>
  <c r="BS45" i="7"/>
  <c r="BR10" i="7"/>
  <c r="BQ10" i="7" s="1"/>
  <c r="BP10" i="7" s="1"/>
  <c r="BO10" i="7" s="1"/>
  <c r="BR9" i="7"/>
  <c r="BS27" i="7"/>
  <c r="BR27" i="7" s="1"/>
  <c r="BQ27" i="7" s="1"/>
  <c r="BS26" i="7"/>
  <c r="BS31" i="7"/>
  <c r="BR31" i="7" s="1"/>
  <c r="BQ31" i="7" s="1"/>
  <c r="BP31" i="7" s="1"/>
  <c r="BS30" i="7"/>
  <c r="BS52" i="7"/>
  <c r="BR52" i="7" s="1"/>
  <c r="BQ52" i="7" s="1"/>
  <c r="BP52" i="7" s="1"/>
  <c r="BS51" i="7"/>
  <c r="BS6" i="7"/>
  <c r="BR6" i="7" s="1"/>
  <c r="BQ6" i="7" s="1"/>
  <c r="BP6" i="7" s="1"/>
  <c r="BS5" i="7"/>
  <c r="BQ14" i="7"/>
  <c r="BQ13" i="7"/>
  <c r="BQ68" i="7"/>
  <c r="BQ67" i="7"/>
  <c r="BS23" i="7"/>
  <c r="BR23" i="7" s="1"/>
  <c r="BQ23" i="7" s="1"/>
  <c r="BS22" i="7"/>
  <c r="BS64" i="7"/>
  <c r="BR64" i="7" s="1"/>
  <c r="BQ64" i="7" s="1"/>
  <c r="BP64" i="7" s="1"/>
  <c r="BO64" i="7" s="1"/>
  <c r="BS63" i="7"/>
  <c r="BQ60" i="7"/>
  <c r="BQ59" i="7"/>
  <c r="BR19" i="7" l="1"/>
  <c r="BQ19" i="7" s="1"/>
  <c r="BQ34" i="7"/>
  <c r="BP34" i="7" s="1"/>
  <c r="BO34" i="7" s="1"/>
  <c r="BN34" i="7" s="1"/>
  <c r="BM34" i="7" s="1"/>
  <c r="BQ33" i="7"/>
  <c r="BR41" i="7"/>
  <c r="BQ41" i="7" s="1"/>
  <c r="BP41" i="7" s="1"/>
  <c r="BR40" i="7"/>
  <c r="BR17" i="7"/>
  <c r="BQ17" i="7" s="1"/>
  <c r="BR16" i="7"/>
  <c r="BQ55" i="7"/>
  <c r="BP55" i="7" s="1"/>
  <c r="BO55" i="7" s="1"/>
  <c r="BN55" i="7" s="1"/>
  <c r="BQ54" i="7"/>
  <c r="BP67" i="7"/>
  <c r="BP66" i="7"/>
  <c r="BP13" i="7"/>
  <c r="BP12" i="7"/>
  <c r="BR5" i="7"/>
  <c r="BQ5" i="7" s="1"/>
  <c r="BP5" i="7" s="1"/>
  <c r="BO5" i="7" s="1"/>
  <c r="BR4" i="7"/>
  <c r="BQ9" i="7"/>
  <c r="BP9" i="7" s="1"/>
  <c r="BO9" i="7" s="1"/>
  <c r="BN9" i="7" s="1"/>
  <c r="BQ8" i="7"/>
  <c r="BR26" i="7"/>
  <c r="BQ26" i="7" s="1"/>
  <c r="BP26" i="7" s="1"/>
  <c r="BR25" i="7"/>
  <c r="BP59" i="7"/>
  <c r="BP58" i="7"/>
  <c r="BR51" i="7"/>
  <c r="BQ51" i="7" s="1"/>
  <c r="BP51" i="7" s="1"/>
  <c r="BO51" i="7" s="1"/>
  <c r="BR50" i="7"/>
  <c r="BR45" i="7"/>
  <c r="BQ45" i="7" s="1"/>
  <c r="BP45" i="7" s="1"/>
  <c r="BO45" i="7" s="1"/>
  <c r="BN45" i="7" s="1"/>
  <c r="BR44" i="7"/>
  <c r="BR63" i="7"/>
  <c r="BQ63" i="7" s="1"/>
  <c r="BP63" i="7" s="1"/>
  <c r="BO63" i="7" s="1"/>
  <c r="BN63" i="7" s="1"/>
  <c r="BR62" i="7"/>
  <c r="BR22" i="7"/>
  <c r="BQ22" i="7" s="1"/>
  <c r="BP22" i="7" s="1"/>
  <c r="BR21" i="7"/>
  <c r="BR30" i="7"/>
  <c r="BQ30" i="7" s="1"/>
  <c r="BP30" i="7" s="1"/>
  <c r="BO30" i="7" s="1"/>
  <c r="BR29" i="7"/>
  <c r="BQ18" i="7" l="1"/>
  <c r="BP18" i="7" s="1"/>
  <c r="BQ4" i="7"/>
  <c r="BP4" i="7" s="1"/>
  <c r="BO4" i="7" s="1"/>
  <c r="BN4" i="7" s="1"/>
  <c r="BQ40" i="7"/>
  <c r="BP40" i="7" s="1"/>
  <c r="BO40" i="7" s="1"/>
  <c r="BQ39" i="7"/>
  <c r="BQ16" i="7"/>
  <c r="BP16" i="7" s="1"/>
  <c r="BQ15" i="7"/>
  <c r="BP33" i="7"/>
  <c r="BO33" i="7" s="1"/>
  <c r="BN33" i="7" s="1"/>
  <c r="BM33" i="7" s="1"/>
  <c r="BL33" i="7" s="1"/>
  <c r="BP32" i="7"/>
  <c r="BP54" i="7"/>
  <c r="BO54" i="7" s="1"/>
  <c r="BN54" i="7" s="1"/>
  <c r="BM54" i="7" s="1"/>
  <c r="BP53" i="7"/>
  <c r="BP8" i="7"/>
  <c r="BO8" i="7" s="1"/>
  <c r="BN8" i="7" s="1"/>
  <c r="BM8" i="7" s="1"/>
  <c r="BP7" i="7"/>
  <c r="BQ44" i="7"/>
  <c r="BP44" i="7" s="1"/>
  <c r="BO44" i="7" s="1"/>
  <c r="BN44" i="7" s="1"/>
  <c r="BM44" i="7" s="1"/>
  <c r="BQ43" i="7"/>
  <c r="BQ21" i="7"/>
  <c r="BP21" i="7" s="1"/>
  <c r="BO21" i="7" s="1"/>
  <c r="BQ20" i="7"/>
  <c r="BO12" i="7"/>
  <c r="BO11" i="7"/>
  <c r="BQ50" i="7"/>
  <c r="BP50" i="7" s="1"/>
  <c r="BO50" i="7" s="1"/>
  <c r="BN50" i="7" s="1"/>
  <c r="BQ49" i="7"/>
  <c r="BO57" i="7"/>
  <c r="BO58" i="7"/>
  <c r="BQ29" i="7"/>
  <c r="BP29" i="7" s="1"/>
  <c r="BO29" i="7" s="1"/>
  <c r="BN29" i="7" s="1"/>
  <c r="BQ28" i="7"/>
  <c r="BQ62" i="7"/>
  <c r="BP62" i="7" s="1"/>
  <c r="BO62" i="7" s="1"/>
  <c r="BN62" i="7" s="1"/>
  <c r="BM62" i="7" s="1"/>
  <c r="BQ61" i="7"/>
  <c r="BO66" i="7"/>
  <c r="BO65" i="7"/>
  <c r="BQ25" i="7"/>
  <c r="BP25" i="7" s="1"/>
  <c r="BO25" i="7" s="1"/>
  <c r="BQ24" i="7"/>
  <c r="BP17" i="7" l="1"/>
  <c r="BO17" i="7" s="1"/>
  <c r="BO32" i="7"/>
  <c r="BN32" i="7" s="1"/>
  <c r="BM32" i="7" s="1"/>
  <c r="BL32" i="7" s="1"/>
  <c r="BK32" i="7" s="1"/>
  <c r="BO31" i="7"/>
  <c r="BO53" i="7"/>
  <c r="BN53" i="7" s="1"/>
  <c r="BM53" i="7" s="1"/>
  <c r="BL53" i="7" s="1"/>
  <c r="BO52" i="7"/>
  <c r="BP15" i="7"/>
  <c r="BO15" i="7" s="1"/>
  <c r="BP14" i="7"/>
  <c r="BP39" i="7"/>
  <c r="BO39" i="7" s="1"/>
  <c r="BN39" i="7" s="1"/>
  <c r="BP38" i="7"/>
  <c r="BP28" i="7"/>
  <c r="BO28" i="7" s="1"/>
  <c r="BN28" i="7" s="1"/>
  <c r="BM28" i="7" s="1"/>
  <c r="BP27" i="7"/>
  <c r="BP43" i="7"/>
  <c r="BO43" i="7" s="1"/>
  <c r="BN43" i="7" s="1"/>
  <c r="BM43" i="7" s="1"/>
  <c r="BL43" i="7" s="1"/>
  <c r="BP42" i="7"/>
  <c r="BP24" i="7"/>
  <c r="BO24" i="7" s="1"/>
  <c r="BN24" i="7" s="1"/>
  <c r="BP23" i="7"/>
  <c r="BN56" i="7"/>
  <c r="BN57" i="7"/>
  <c r="BO7" i="7"/>
  <c r="BN7" i="7" s="1"/>
  <c r="BM7" i="7" s="1"/>
  <c r="BL7" i="7" s="1"/>
  <c r="BO6" i="7"/>
  <c r="BP61" i="7"/>
  <c r="BO61" i="7" s="1"/>
  <c r="BN61" i="7" s="1"/>
  <c r="BM61" i="7" s="1"/>
  <c r="BL61" i="7" s="1"/>
  <c r="BP60" i="7"/>
  <c r="BP49" i="7"/>
  <c r="BO49" i="7" s="1"/>
  <c r="BN49" i="7" s="1"/>
  <c r="BM49" i="7" s="1"/>
  <c r="BP48" i="7"/>
  <c r="BP20" i="7"/>
  <c r="BO20" i="7" s="1"/>
  <c r="BN20" i="7" s="1"/>
  <c r="BP19" i="7"/>
  <c r="BN65" i="7"/>
  <c r="BN64" i="7"/>
  <c r="BN11" i="7"/>
  <c r="BN10" i="7"/>
  <c r="BO16" i="7" l="1"/>
  <c r="BN16" i="7" s="1"/>
  <c r="BO14" i="7"/>
  <c r="BN14" i="7" s="1"/>
  <c r="BO13" i="7"/>
  <c r="BN52" i="7"/>
  <c r="BM52" i="7" s="1"/>
  <c r="BL52" i="7" s="1"/>
  <c r="BK52" i="7" s="1"/>
  <c r="BN51" i="7"/>
  <c r="BN31" i="7"/>
  <c r="BM31" i="7" s="1"/>
  <c r="BL31" i="7" s="1"/>
  <c r="BK31" i="7" s="1"/>
  <c r="BJ31" i="7" s="1"/>
  <c r="BN30" i="7"/>
  <c r="BO38" i="7"/>
  <c r="BN38" i="7" s="1"/>
  <c r="BM38" i="7" s="1"/>
  <c r="BO37" i="7"/>
  <c r="BO19" i="7"/>
  <c r="BN19" i="7" s="1"/>
  <c r="BM19" i="7" s="1"/>
  <c r="BO18" i="7"/>
  <c r="BM56" i="7"/>
  <c r="BM55" i="7"/>
  <c r="BO23" i="7"/>
  <c r="BN23" i="7" s="1"/>
  <c r="BM23" i="7" s="1"/>
  <c r="BO22" i="7"/>
  <c r="BO42" i="7"/>
  <c r="BN42" i="7" s="1"/>
  <c r="BM42" i="7" s="1"/>
  <c r="BL42" i="7" s="1"/>
  <c r="BK42" i="7" s="1"/>
  <c r="BO41" i="7"/>
  <c r="BO60" i="7"/>
  <c r="BN60" i="7" s="1"/>
  <c r="BM60" i="7" s="1"/>
  <c r="BL60" i="7" s="1"/>
  <c r="BK60" i="7" s="1"/>
  <c r="BO59" i="7"/>
  <c r="BO48" i="7"/>
  <c r="BN48" i="7" s="1"/>
  <c r="BM48" i="7" s="1"/>
  <c r="BL48" i="7" s="1"/>
  <c r="BO47" i="7"/>
  <c r="BM10" i="7"/>
  <c r="BM9" i="7"/>
  <c r="BO27" i="7"/>
  <c r="BN27" i="7" s="1"/>
  <c r="BM27" i="7" s="1"/>
  <c r="BL27" i="7" s="1"/>
  <c r="BO26" i="7"/>
  <c r="BN6" i="7"/>
  <c r="BM6" i="7" s="1"/>
  <c r="BL6" i="7" s="1"/>
  <c r="BK6" i="7" s="1"/>
  <c r="BN5" i="7"/>
  <c r="BM64" i="7"/>
  <c r="BM63" i="7"/>
  <c r="BN15" i="7" l="1"/>
  <c r="BM15" i="7" s="1"/>
  <c r="BN37" i="7"/>
  <c r="BM37" i="7" s="1"/>
  <c r="BL37" i="7" s="1"/>
  <c r="BN36" i="7"/>
  <c r="BM30" i="7"/>
  <c r="BL30" i="7" s="1"/>
  <c r="BK30" i="7" s="1"/>
  <c r="BJ30" i="7" s="1"/>
  <c r="BI30" i="7" s="1"/>
  <c r="BM29" i="7"/>
  <c r="BM51" i="7"/>
  <c r="BL51" i="7" s="1"/>
  <c r="BK51" i="7" s="1"/>
  <c r="BJ51" i="7" s="1"/>
  <c r="BM50" i="7"/>
  <c r="BN13" i="7"/>
  <c r="BM13" i="7" s="1"/>
  <c r="BN12" i="7"/>
  <c r="BN41" i="7"/>
  <c r="BM41" i="7" s="1"/>
  <c r="BL41" i="7" s="1"/>
  <c r="BK41" i="7" s="1"/>
  <c r="BJ41" i="7" s="1"/>
  <c r="BN40" i="7"/>
  <c r="BL9" i="7"/>
  <c r="BL8" i="7"/>
  <c r="BL55" i="7"/>
  <c r="BL54" i="7"/>
  <c r="BN18" i="7"/>
  <c r="BM18" i="7" s="1"/>
  <c r="BL18" i="7" s="1"/>
  <c r="BN17" i="7"/>
  <c r="BN47" i="7"/>
  <c r="BM47" i="7" s="1"/>
  <c r="BL47" i="7" s="1"/>
  <c r="BK47" i="7" s="1"/>
  <c r="BN46" i="7"/>
  <c r="BM5" i="7"/>
  <c r="BL5" i="7" s="1"/>
  <c r="BK5" i="7" s="1"/>
  <c r="BJ5" i="7" s="1"/>
  <c r="BM4" i="7"/>
  <c r="BN26" i="7"/>
  <c r="BM26" i="7" s="1"/>
  <c r="BL26" i="7" s="1"/>
  <c r="BK26" i="7" s="1"/>
  <c r="BN25" i="7"/>
  <c r="BN22" i="7"/>
  <c r="BM22" i="7" s="1"/>
  <c r="BL22" i="7" s="1"/>
  <c r="BN21" i="7"/>
  <c r="BL63" i="7"/>
  <c r="BL62" i="7"/>
  <c r="BN59" i="7"/>
  <c r="BM59" i="7" s="1"/>
  <c r="BL59" i="7" s="1"/>
  <c r="BK59" i="7" s="1"/>
  <c r="BJ59" i="7" s="1"/>
  <c r="BN58" i="7"/>
  <c r="BM14" i="7" l="1"/>
  <c r="BL14" i="7" s="1"/>
  <c r="BM12" i="7"/>
  <c r="BL12" i="7" s="1"/>
  <c r="BM11" i="7"/>
  <c r="BL50" i="7"/>
  <c r="BK50" i="7" s="1"/>
  <c r="BJ50" i="7" s="1"/>
  <c r="BI50" i="7" s="1"/>
  <c r="BL49" i="7"/>
  <c r="BL29" i="7"/>
  <c r="BK29" i="7" s="1"/>
  <c r="BJ29" i="7" s="1"/>
  <c r="BI29" i="7" s="1"/>
  <c r="BH29" i="7" s="1"/>
  <c r="BL28" i="7"/>
  <c r="BM36" i="7"/>
  <c r="BL36" i="7" s="1"/>
  <c r="BK36" i="7" s="1"/>
  <c r="BM35" i="7"/>
  <c r="BM25" i="7"/>
  <c r="BL25" i="7" s="1"/>
  <c r="BK25" i="7" s="1"/>
  <c r="BJ25" i="7" s="1"/>
  <c r="BM24" i="7"/>
  <c r="BL4" i="7"/>
  <c r="BK4" i="7" s="1"/>
  <c r="BJ4" i="7" s="1"/>
  <c r="BI4" i="7" s="1"/>
  <c r="BK8" i="7"/>
  <c r="BK7" i="7"/>
  <c r="BM21" i="7"/>
  <c r="BL21" i="7" s="1"/>
  <c r="BK21" i="7" s="1"/>
  <c r="BM20" i="7"/>
  <c r="BK54" i="7"/>
  <c r="BK53" i="7"/>
  <c r="BM58" i="7"/>
  <c r="BL58" i="7" s="1"/>
  <c r="BK58" i="7" s="1"/>
  <c r="BJ58" i="7" s="1"/>
  <c r="BI58" i="7" s="1"/>
  <c r="BM57" i="7"/>
  <c r="BM46" i="7"/>
  <c r="BL46" i="7" s="1"/>
  <c r="BK46" i="7" s="1"/>
  <c r="BJ46" i="7" s="1"/>
  <c r="BM45" i="7"/>
  <c r="BM40" i="7"/>
  <c r="BL40" i="7" s="1"/>
  <c r="BK40" i="7" s="1"/>
  <c r="BJ40" i="7" s="1"/>
  <c r="BI40" i="7" s="1"/>
  <c r="BM39" i="7"/>
  <c r="BK62" i="7"/>
  <c r="BK61" i="7"/>
  <c r="BM17" i="7"/>
  <c r="BL17" i="7" s="1"/>
  <c r="BK17" i="7" s="1"/>
  <c r="BM16" i="7"/>
  <c r="BL13" i="7" l="1"/>
  <c r="BK13" i="7" s="1"/>
  <c r="BK28" i="7"/>
  <c r="BJ28" i="7" s="1"/>
  <c r="BI28" i="7" s="1"/>
  <c r="BH28" i="7" s="1"/>
  <c r="BG28" i="7" s="1"/>
  <c r="BK27" i="7"/>
  <c r="BL35" i="7"/>
  <c r="BK35" i="7" s="1"/>
  <c r="BJ35" i="7" s="1"/>
  <c r="BL34" i="7"/>
  <c r="BK49" i="7"/>
  <c r="BJ49" i="7" s="1"/>
  <c r="BI49" i="7" s="1"/>
  <c r="BH49" i="7" s="1"/>
  <c r="BK48" i="7"/>
  <c r="BL11" i="7"/>
  <c r="BK11" i="7" s="1"/>
  <c r="BL10" i="7"/>
  <c r="BL20" i="7"/>
  <c r="BK20" i="7" s="1"/>
  <c r="BJ20" i="7" s="1"/>
  <c r="BL19" i="7"/>
  <c r="BL24" i="7"/>
  <c r="BK24" i="7" s="1"/>
  <c r="BJ24" i="7" s="1"/>
  <c r="BI24" i="7" s="1"/>
  <c r="BL23" i="7"/>
  <c r="BJ61" i="7"/>
  <c r="BJ60" i="7"/>
  <c r="BJ7" i="7"/>
  <c r="BJ6" i="7"/>
  <c r="BL45" i="7"/>
  <c r="BK45" i="7" s="1"/>
  <c r="BJ45" i="7" s="1"/>
  <c r="BI45" i="7" s="1"/>
  <c r="BL44" i="7"/>
  <c r="BL57" i="7"/>
  <c r="BK57" i="7" s="1"/>
  <c r="BJ57" i="7" s="1"/>
  <c r="BI57" i="7" s="1"/>
  <c r="BH57" i="7" s="1"/>
  <c r="BL56" i="7"/>
  <c r="BL16" i="7"/>
  <c r="BK16" i="7" s="1"/>
  <c r="BJ16" i="7" s="1"/>
  <c r="BL15" i="7"/>
  <c r="BL39" i="7"/>
  <c r="BK39" i="7" s="1"/>
  <c r="BJ39" i="7" s="1"/>
  <c r="BI39" i="7" s="1"/>
  <c r="BH39" i="7" s="1"/>
  <c r="BL38" i="7"/>
  <c r="BJ53" i="7"/>
  <c r="BJ52" i="7"/>
  <c r="BK12" i="7" l="1"/>
  <c r="BJ12" i="7" s="1"/>
  <c r="BJ48" i="7"/>
  <c r="BI48" i="7" s="1"/>
  <c r="BH48" i="7" s="1"/>
  <c r="BG48" i="7" s="1"/>
  <c r="BJ47" i="7"/>
  <c r="BK34" i="7"/>
  <c r="BJ34" i="7" s="1"/>
  <c r="BI34" i="7" s="1"/>
  <c r="BK33" i="7"/>
  <c r="BJ27" i="7"/>
  <c r="BI27" i="7" s="1"/>
  <c r="BH27" i="7" s="1"/>
  <c r="BG27" i="7" s="1"/>
  <c r="BF27" i="7" s="1"/>
  <c r="BJ26" i="7"/>
  <c r="BK10" i="7"/>
  <c r="BJ10" i="7" s="1"/>
  <c r="BK9" i="7"/>
  <c r="BI60" i="7"/>
  <c r="BI59" i="7"/>
  <c r="BK15" i="7"/>
  <c r="BJ15" i="7" s="1"/>
  <c r="BI15" i="7" s="1"/>
  <c r="BK14" i="7"/>
  <c r="BK23" i="7"/>
  <c r="BJ23" i="7" s="1"/>
  <c r="BI23" i="7" s="1"/>
  <c r="BH23" i="7" s="1"/>
  <c r="BK22" i="7"/>
  <c r="BK56" i="7"/>
  <c r="BJ56" i="7" s="1"/>
  <c r="BI56" i="7" s="1"/>
  <c r="BH56" i="7" s="1"/>
  <c r="BG56" i="7" s="1"/>
  <c r="BK55" i="7"/>
  <c r="BK38" i="7"/>
  <c r="BJ38" i="7" s="1"/>
  <c r="BI38" i="7" s="1"/>
  <c r="BH38" i="7" s="1"/>
  <c r="BG38" i="7" s="1"/>
  <c r="BK37" i="7"/>
  <c r="BK44" i="7"/>
  <c r="BJ44" i="7" s="1"/>
  <c r="BI44" i="7" s="1"/>
  <c r="BH44" i="7" s="1"/>
  <c r="BK43" i="7"/>
  <c r="BK19" i="7"/>
  <c r="BJ19" i="7" s="1"/>
  <c r="BI19" i="7" s="1"/>
  <c r="BK18" i="7"/>
  <c r="BI51" i="7"/>
  <c r="BI52" i="7"/>
  <c r="BI6" i="7"/>
  <c r="BI5" i="7"/>
  <c r="BJ11" i="7" l="1"/>
  <c r="BI11" i="7" s="1"/>
  <c r="BJ33" i="7"/>
  <c r="BI33" i="7" s="1"/>
  <c r="BH33" i="7" s="1"/>
  <c r="BJ32" i="7"/>
  <c r="BJ9" i="7"/>
  <c r="BI9" i="7" s="1"/>
  <c r="BJ8" i="7"/>
  <c r="BI47" i="7"/>
  <c r="BH47" i="7" s="1"/>
  <c r="BG47" i="7" s="1"/>
  <c r="BF47" i="7" s="1"/>
  <c r="BI46" i="7"/>
  <c r="BI26" i="7"/>
  <c r="BH26" i="7" s="1"/>
  <c r="BG26" i="7" s="1"/>
  <c r="BF26" i="7" s="1"/>
  <c r="BE26" i="7" s="1"/>
  <c r="BI25" i="7"/>
  <c r="BJ37" i="7"/>
  <c r="BI37" i="7" s="1"/>
  <c r="BH37" i="7" s="1"/>
  <c r="BG37" i="7" s="1"/>
  <c r="BF37" i="7" s="1"/>
  <c r="BJ36" i="7"/>
  <c r="BJ55" i="7"/>
  <c r="BI55" i="7" s="1"/>
  <c r="BH55" i="7" s="1"/>
  <c r="BG55" i="7" s="1"/>
  <c r="BF55" i="7" s="1"/>
  <c r="BJ54" i="7"/>
  <c r="BJ18" i="7"/>
  <c r="BI18" i="7" s="1"/>
  <c r="BH18" i="7" s="1"/>
  <c r="BJ17" i="7"/>
  <c r="BJ22" i="7"/>
  <c r="BI22" i="7" s="1"/>
  <c r="BH22" i="7" s="1"/>
  <c r="BG22" i="7" s="1"/>
  <c r="BJ21" i="7"/>
  <c r="BH5" i="7"/>
  <c r="BH4" i="7"/>
  <c r="BH50" i="7"/>
  <c r="BH51" i="7"/>
  <c r="BJ43" i="7"/>
  <c r="BI43" i="7" s="1"/>
  <c r="BH43" i="7" s="1"/>
  <c r="BG43" i="7" s="1"/>
  <c r="BJ42" i="7"/>
  <c r="BJ14" i="7"/>
  <c r="BI14" i="7" s="1"/>
  <c r="BH14" i="7" s="1"/>
  <c r="BJ13" i="7"/>
  <c r="BH59" i="7"/>
  <c r="BH58" i="7"/>
  <c r="BI10" i="7" l="1"/>
  <c r="BH10" i="7" s="1"/>
  <c r="BI8" i="7"/>
  <c r="BH8" i="7" s="1"/>
  <c r="BI7" i="7"/>
  <c r="BH46" i="7"/>
  <c r="BG46" i="7" s="1"/>
  <c r="BF46" i="7" s="1"/>
  <c r="BE46" i="7" s="1"/>
  <c r="BH45" i="7"/>
  <c r="BI32" i="7"/>
  <c r="BH32" i="7" s="1"/>
  <c r="BG32" i="7" s="1"/>
  <c r="BI31" i="7"/>
  <c r="BH25" i="7"/>
  <c r="BG25" i="7" s="1"/>
  <c r="BF25" i="7" s="1"/>
  <c r="BE25" i="7" s="1"/>
  <c r="BD25" i="7" s="1"/>
  <c r="BH24" i="7"/>
  <c r="BI13" i="7"/>
  <c r="BH13" i="7" s="1"/>
  <c r="BG13" i="7" s="1"/>
  <c r="BI12" i="7"/>
  <c r="BI17" i="7"/>
  <c r="BH17" i="7" s="1"/>
  <c r="BG17" i="7" s="1"/>
  <c r="BI16" i="7"/>
  <c r="BG58" i="7"/>
  <c r="BG57" i="7"/>
  <c r="BI42" i="7"/>
  <c r="BH42" i="7" s="1"/>
  <c r="BG42" i="7" s="1"/>
  <c r="BF42" i="7" s="1"/>
  <c r="BI41" i="7"/>
  <c r="BI54" i="7"/>
  <c r="BH54" i="7" s="1"/>
  <c r="BG54" i="7" s="1"/>
  <c r="BF54" i="7" s="1"/>
  <c r="BE54" i="7" s="1"/>
  <c r="BI53" i="7"/>
  <c r="BG50" i="7"/>
  <c r="BG49" i="7"/>
  <c r="BI36" i="7"/>
  <c r="BH36" i="7" s="1"/>
  <c r="BG36" i="7" s="1"/>
  <c r="BF36" i="7" s="1"/>
  <c r="BE36" i="7" s="1"/>
  <c r="BI35" i="7"/>
  <c r="BI21" i="7"/>
  <c r="BH21" i="7" s="1"/>
  <c r="BG21" i="7" s="1"/>
  <c r="BF21" i="7" s="1"/>
  <c r="BI20" i="7"/>
  <c r="BG4" i="7"/>
  <c r="BH9" i="7" l="1"/>
  <c r="BG9" i="7" s="1"/>
  <c r="BH31" i="7"/>
  <c r="BG31" i="7" s="1"/>
  <c r="BF31" i="7" s="1"/>
  <c r="BH30" i="7"/>
  <c r="BG45" i="7"/>
  <c r="BF45" i="7" s="1"/>
  <c r="BE45" i="7" s="1"/>
  <c r="BD45" i="7" s="1"/>
  <c r="BG44" i="7"/>
  <c r="BH7" i="7"/>
  <c r="BG7" i="7" s="1"/>
  <c r="BH6" i="7"/>
  <c r="BG24" i="7"/>
  <c r="BF24" i="7" s="1"/>
  <c r="BE24" i="7" s="1"/>
  <c r="BD24" i="7" s="1"/>
  <c r="BC24" i="7" s="1"/>
  <c r="BG23" i="7"/>
  <c r="BH20" i="7"/>
  <c r="BG20" i="7" s="1"/>
  <c r="BF20" i="7" s="1"/>
  <c r="BE20" i="7" s="1"/>
  <c r="BH19" i="7"/>
  <c r="BH35" i="7"/>
  <c r="BG35" i="7" s="1"/>
  <c r="BF35" i="7" s="1"/>
  <c r="BE35" i="7" s="1"/>
  <c r="BD35" i="7" s="1"/>
  <c r="BH34" i="7"/>
  <c r="BF57" i="7"/>
  <c r="BF56" i="7"/>
  <c r="BF48" i="7"/>
  <c r="BF49" i="7"/>
  <c r="BH16" i="7"/>
  <c r="BG16" i="7" s="1"/>
  <c r="BF16" i="7" s="1"/>
  <c r="BH15" i="7"/>
  <c r="BH53" i="7"/>
  <c r="BG53" i="7" s="1"/>
  <c r="BF53" i="7" s="1"/>
  <c r="BE53" i="7" s="1"/>
  <c r="BD53" i="7" s="1"/>
  <c r="BH52" i="7"/>
  <c r="BH41" i="7"/>
  <c r="BG41" i="7" s="1"/>
  <c r="BF41" i="7" s="1"/>
  <c r="BE41" i="7" s="1"/>
  <c r="BH40" i="7"/>
  <c r="BH12" i="7"/>
  <c r="BG12" i="7" s="1"/>
  <c r="BF12" i="7" s="1"/>
  <c r="BH11" i="7"/>
  <c r="BG8" i="7" l="1"/>
  <c r="BF8" i="7" s="1"/>
  <c r="BF23" i="7"/>
  <c r="BE23" i="7" s="1"/>
  <c r="BD23" i="7" s="1"/>
  <c r="BC23" i="7" s="1"/>
  <c r="BB23" i="7" s="1"/>
  <c r="BF22" i="7"/>
  <c r="BG6" i="7"/>
  <c r="BF6" i="7" s="1"/>
  <c r="BG5" i="7"/>
  <c r="BF44" i="7"/>
  <c r="BE44" i="7" s="1"/>
  <c r="BD44" i="7" s="1"/>
  <c r="BC44" i="7" s="1"/>
  <c r="BF43" i="7"/>
  <c r="BG30" i="7"/>
  <c r="BF30" i="7" s="1"/>
  <c r="BE30" i="7" s="1"/>
  <c r="BG29" i="7"/>
  <c r="BE56" i="7"/>
  <c r="BE55" i="7"/>
  <c r="BE47" i="7"/>
  <c r="BE48" i="7"/>
  <c r="BG40" i="7"/>
  <c r="BF40" i="7" s="1"/>
  <c r="BE40" i="7" s="1"/>
  <c r="BD40" i="7" s="1"/>
  <c r="BG39" i="7"/>
  <c r="BG52" i="7"/>
  <c r="BF52" i="7" s="1"/>
  <c r="BE52" i="7" s="1"/>
  <c r="BD52" i="7" s="1"/>
  <c r="BC52" i="7" s="1"/>
  <c r="BG51" i="7"/>
  <c r="BG34" i="7"/>
  <c r="BF34" i="7" s="1"/>
  <c r="BE34" i="7" s="1"/>
  <c r="BD34" i="7" s="1"/>
  <c r="BC34" i="7" s="1"/>
  <c r="BG33" i="7"/>
  <c r="BG11" i="7"/>
  <c r="BF11" i="7" s="1"/>
  <c r="BE11" i="7" s="1"/>
  <c r="BG10" i="7"/>
  <c r="BG19" i="7"/>
  <c r="BF19" i="7" s="1"/>
  <c r="BE19" i="7" s="1"/>
  <c r="BD19" i="7" s="1"/>
  <c r="BG18" i="7"/>
  <c r="BG15" i="7"/>
  <c r="BF15" i="7" s="1"/>
  <c r="BE15" i="7" s="1"/>
  <c r="BG14" i="7"/>
  <c r="BF7" i="7" l="1"/>
  <c r="BE7" i="7" s="1"/>
  <c r="BE43" i="7"/>
  <c r="BD43" i="7" s="1"/>
  <c r="BC43" i="7" s="1"/>
  <c r="BB43" i="7" s="1"/>
  <c r="BE42" i="7"/>
  <c r="BF5" i="7"/>
  <c r="BE5" i="7" s="1"/>
  <c r="BF4" i="7"/>
  <c r="BE4" i="7" s="1"/>
  <c r="BD4" i="7" s="1"/>
  <c r="BF29" i="7"/>
  <c r="BE29" i="7" s="1"/>
  <c r="BD29" i="7" s="1"/>
  <c r="BF28" i="7"/>
  <c r="BE22" i="7"/>
  <c r="BD22" i="7" s="1"/>
  <c r="BC22" i="7" s="1"/>
  <c r="BB22" i="7" s="1"/>
  <c r="BA22" i="7" s="1"/>
  <c r="BE21" i="7"/>
  <c r="BF51" i="7"/>
  <c r="BE51" i="7" s="1"/>
  <c r="BD51" i="7" s="1"/>
  <c r="BC51" i="7" s="1"/>
  <c r="BB51" i="7" s="1"/>
  <c r="BF50" i="7"/>
  <c r="BF14" i="7"/>
  <c r="BE14" i="7" s="1"/>
  <c r="BD14" i="7" s="1"/>
  <c r="BF13" i="7"/>
  <c r="BD47" i="7"/>
  <c r="BD46" i="7"/>
  <c r="BD55" i="7"/>
  <c r="BD54" i="7"/>
  <c r="BF39" i="7"/>
  <c r="BE39" i="7" s="1"/>
  <c r="BD39" i="7" s="1"/>
  <c r="BC39" i="7" s="1"/>
  <c r="BF38" i="7"/>
  <c r="BF18" i="7"/>
  <c r="BE18" i="7" s="1"/>
  <c r="BD18" i="7" s="1"/>
  <c r="BC18" i="7" s="1"/>
  <c r="BF17" i="7"/>
  <c r="BF10" i="7"/>
  <c r="BE10" i="7" s="1"/>
  <c r="BD10" i="7" s="1"/>
  <c r="BF9" i="7"/>
  <c r="BF33" i="7"/>
  <c r="BE33" i="7" s="1"/>
  <c r="BD33" i="7" s="1"/>
  <c r="BC33" i="7" s="1"/>
  <c r="BB33" i="7" s="1"/>
  <c r="BF32" i="7"/>
  <c r="BE6" i="7" l="1"/>
  <c r="BD6" i="7" s="1"/>
  <c r="BE28" i="7"/>
  <c r="BD28" i="7" s="1"/>
  <c r="BC28" i="7" s="1"/>
  <c r="BE27" i="7"/>
  <c r="BD21" i="7"/>
  <c r="BC21" i="7" s="1"/>
  <c r="BB21" i="7" s="1"/>
  <c r="BA21" i="7" s="1"/>
  <c r="AZ21" i="7" s="1"/>
  <c r="BD20" i="7"/>
  <c r="BD42" i="7"/>
  <c r="BC42" i="7" s="1"/>
  <c r="BB42" i="7" s="1"/>
  <c r="BA42" i="7" s="1"/>
  <c r="BD41" i="7"/>
  <c r="BE9" i="7"/>
  <c r="BD9" i="7" s="1"/>
  <c r="BC9" i="7" s="1"/>
  <c r="BE8" i="7"/>
  <c r="BE13" i="7"/>
  <c r="BD13" i="7" s="1"/>
  <c r="BC13" i="7" s="1"/>
  <c r="BE12" i="7"/>
  <c r="BE38" i="7"/>
  <c r="BD38" i="7" s="1"/>
  <c r="BC38" i="7" s="1"/>
  <c r="BB38" i="7" s="1"/>
  <c r="BE37" i="7"/>
  <c r="BC54" i="7"/>
  <c r="BC53" i="7"/>
  <c r="BE32" i="7"/>
  <c r="BD32" i="7" s="1"/>
  <c r="BC32" i="7" s="1"/>
  <c r="BB32" i="7" s="1"/>
  <c r="BA32" i="7" s="1"/>
  <c r="BE31" i="7"/>
  <c r="BC46" i="7"/>
  <c r="BC45" i="7"/>
  <c r="BE17" i="7"/>
  <c r="BD17" i="7" s="1"/>
  <c r="BC17" i="7" s="1"/>
  <c r="BB17" i="7" s="1"/>
  <c r="BE16" i="7"/>
  <c r="BE50" i="7"/>
  <c r="BD50" i="7" s="1"/>
  <c r="BC50" i="7" s="1"/>
  <c r="BB50" i="7" s="1"/>
  <c r="BA50" i="7" s="1"/>
  <c r="BE49" i="7"/>
  <c r="BD5" i="7" l="1"/>
  <c r="BC41" i="7"/>
  <c r="BB41" i="7" s="1"/>
  <c r="BA41" i="7" s="1"/>
  <c r="AZ41" i="7" s="1"/>
  <c r="BC40" i="7"/>
  <c r="BD27" i="7"/>
  <c r="BC27" i="7" s="1"/>
  <c r="BB27" i="7" s="1"/>
  <c r="BD26" i="7"/>
  <c r="BC20" i="7"/>
  <c r="BB20" i="7" s="1"/>
  <c r="BA20" i="7" s="1"/>
  <c r="AZ20" i="7" s="1"/>
  <c r="AY20" i="7" s="1"/>
  <c r="BC19" i="7"/>
  <c r="BB53" i="7"/>
  <c r="BB52" i="7"/>
  <c r="BD37" i="7"/>
  <c r="BC37" i="7" s="1"/>
  <c r="BB37" i="7" s="1"/>
  <c r="BA37" i="7" s="1"/>
  <c r="BD36" i="7"/>
  <c r="BD49" i="7"/>
  <c r="BC49" i="7" s="1"/>
  <c r="BB49" i="7" s="1"/>
  <c r="BA49" i="7" s="1"/>
  <c r="AZ49" i="7" s="1"/>
  <c r="BD48" i="7"/>
  <c r="BD12" i="7"/>
  <c r="BC12" i="7" s="1"/>
  <c r="BB12" i="7" s="1"/>
  <c r="BD11" i="7"/>
  <c r="BB45" i="7"/>
  <c r="BB44" i="7"/>
  <c r="BD8" i="7"/>
  <c r="BC8" i="7" s="1"/>
  <c r="BB8" i="7" s="1"/>
  <c r="BD7" i="7"/>
  <c r="BD16" i="7"/>
  <c r="BC16" i="7" s="1"/>
  <c r="BB16" i="7" s="1"/>
  <c r="BA16" i="7" s="1"/>
  <c r="BD15" i="7"/>
  <c r="BD31" i="7"/>
  <c r="BC31" i="7" s="1"/>
  <c r="BB31" i="7" s="1"/>
  <c r="BA31" i="7" s="1"/>
  <c r="AZ31" i="7" s="1"/>
  <c r="BD30" i="7"/>
  <c r="BC5" i="7" l="1"/>
  <c r="BC4" i="7"/>
  <c r="BB4" i="7" s="1"/>
  <c r="BB19" i="7"/>
  <c r="BA19" i="7" s="1"/>
  <c r="AZ19" i="7" s="1"/>
  <c r="AY19" i="7" s="1"/>
  <c r="AX19" i="7" s="1"/>
  <c r="BB18" i="7"/>
  <c r="BC26" i="7"/>
  <c r="BB26" i="7" s="1"/>
  <c r="BA26" i="7" s="1"/>
  <c r="BC25" i="7"/>
  <c r="BB40" i="7"/>
  <c r="BA40" i="7" s="1"/>
  <c r="AZ40" i="7" s="1"/>
  <c r="AY40" i="7" s="1"/>
  <c r="BB39" i="7"/>
  <c r="BC30" i="7"/>
  <c r="BB30" i="7" s="1"/>
  <c r="BA30" i="7" s="1"/>
  <c r="AZ30" i="7" s="1"/>
  <c r="AY30" i="7" s="1"/>
  <c r="BC29" i="7"/>
  <c r="BC48" i="7"/>
  <c r="BB48" i="7" s="1"/>
  <c r="BA48" i="7" s="1"/>
  <c r="AZ48" i="7" s="1"/>
  <c r="AY48" i="7" s="1"/>
  <c r="BC47" i="7"/>
  <c r="BC11" i="7"/>
  <c r="BB11" i="7" s="1"/>
  <c r="BA11" i="7" s="1"/>
  <c r="BC10" i="7"/>
  <c r="BC36" i="7"/>
  <c r="BB36" i="7" s="1"/>
  <c r="BA36" i="7" s="1"/>
  <c r="AZ36" i="7" s="1"/>
  <c r="BC35" i="7"/>
  <c r="BC15" i="7"/>
  <c r="BB15" i="7" s="1"/>
  <c r="BA15" i="7" s="1"/>
  <c r="AZ15" i="7" s="1"/>
  <c r="BC14" i="7"/>
  <c r="BC7" i="7"/>
  <c r="BB7" i="7" s="1"/>
  <c r="BA7" i="7" s="1"/>
  <c r="BC6" i="7"/>
  <c r="BA52" i="7"/>
  <c r="BA51" i="7"/>
  <c r="BA43" i="7"/>
  <c r="BA44" i="7"/>
  <c r="BB25" i="7" l="1"/>
  <c r="BA25" i="7" s="1"/>
  <c r="AZ25" i="7" s="1"/>
  <c r="BB24" i="7"/>
  <c r="BA18" i="7"/>
  <c r="AZ18" i="7" s="1"/>
  <c r="AY18" i="7" s="1"/>
  <c r="AX18" i="7" s="1"/>
  <c r="AW18" i="7" s="1"/>
  <c r="BA17" i="7"/>
  <c r="BA39" i="7"/>
  <c r="AZ39" i="7" s="1"/>
  <c r="AY39" i="7" s="1"/>
  <c r="AX39" i="7" s="1"/>
  <c r="BA38" i="7"/>
  <c r="AZ42" i="7"/>
  <c r="AZ43" i="7"/>
  <c r="AZ51" i="7"/>
  <c r="AZ50" i="7"/>
  <c r="BB47" i="7"/>
  <c r="BA47" i="7" s="1"/>
  <c r="AZ47" i="7" s="1"/>
  <c r="AY47" i="7" s="1"/>
  <c r="AX47" i="7" s="1"/>
  <c r="BB46" i="7"/>
  <c r="BB35" i="7"/>
  <c r="BA35" i="7" s="1"/>
  <c r="AZ35" i="7" s="1"/>
  <c r="AY35" i="7" s="1"/>
  <c r="BB34" i="7"/>
  <c r="BB10" i="7"/>
  <c r="BA10" i="7" s="1"/>
  <c r="AZ10" i="7" s="1"/>
  <c r="BB9" i="7"/>
  <c r="BB29" i="7"/>
  <c r="BA29" i="7" s="1"/>
  <c r="AZ29" i="7" s="1"/>
  <c r="AY29" i="7" s="1"/>
  <c r="AX29" i="7" s="1"/>
  <c r="BB28" i="7"/>
  <c r="BB6" i="7"/>
  <c r="BA6" i="7" s="1"/>
  <c r="AZ6" i="7" s="1"/>
  <c r="BB5" i="7"/>
  <c r="BB14" i="7"/>
  <c r="BA14" i="7" s="1"/>
  <c r="AZ14" i="7" s="1"/>
  <c r="AY14" i="7" s="1"/>
  <c r="BB13" i="7"/>
  <c r="AZ38" i="7" l="1"/>
  <c r="AY38" i="7" s="1"/>
  <c r="AX38" i="7" s="1"/>
  <c r="AW38" i="7" s="1"/>
  <c r="AZ37" i="7"/>
  <c r="AZ17" i="7"/>
  <c r="AY17" i="7" s="1"/>
  <c r="AX17" i="7" s="1"/>
  <c r="AW17" i="7" s="1"/>
  <c r="AV17" i="7" s="1"/>
  <c r="AZ16" i="7"/>
  <c r="BA24" i="7"/>
  <c r="AZ24" i="7" s="1"/>
  <c r="AY24" i="7" s="1"/>
  <c r="BA23" i="7"/>
  <c r="BA9" i="7"/>
  <c r="AZ9" i="7" s="1"/>
  <c r="AY9" i="7" s="1"/>
  <c r="BA8" i="7"/>
  <c r="BA34" i="7"/>
  <c r="AZ34" i="7" s="1"/>
  <c r="AY34" i="7" s="1"/>
  <c r="AX34" i="7" s="1"/>
  <c r="BA33" i="7"/>
  <c r="BA46" i="7"/>
  <c r="AZ46" i="7" s="1"/>
  <c r="AY46" i="7" s="1"/>
  <c r="AX46" i="7" s="1"/>
  <c r="AW46" i="7" s="1"/>
  <c r="BA45" i="7"/>
  <c r="AY50" i="7"/>
  <c r="AY49" i="7"/>
  <c r="BA13" i="7"/>
  <c r="AZ13" i="7" s="1"/>
  <c r="AY13" i="7" s="1"/>
  <c r="AX13" i="7" s="1"/>
  <c r="BA12" i="7"/>
  <c r="BA5" i="7"/>
  <c r="AZ5" i="7" s="1"/>
  <c r="AY5" i="7" s="1"/>
  <c r="BA4" i="7"/>
  <c r="BA28" i="7"/>
  <c r="AZ28" i="7" s="1"/>
  <c r="AY28" i="7" s="1"/>
  <c r="AX28" i="7" s="1"/>
  <c r="AW28" i="7" s="1"/>
  <c r="BA27" i="7"/>
  <c r="AY41" i="7"/>
  <c r="AY42" i="7"/>
  <c r="AY16" i="7" l="1"/>
  <c r="AX16" i="7" s="1"/>
  <c r="AW16" i="7" s="1"/>
  <c r="AV16" i="7" s="1"/>
  <c r="AU16" i="7" s="1"/>
  <c r="AY15" i="7"/>
  <c r="AZ23" i="7"/>
  <c r="AY23" i="7" s="1"/>
  <c r="AX23" i="7" s="1"/>
  <c r="AZ22" i="7"/>
  <c r="AY37" i="7"/>
  <c r="AX37" i="7" s="1"/>
  <c r="AW37" i="7" s="1"/>
  <c r="AV37" i="7" s="1"/>
  <c r="AY36" i="7"/>
  <c r="AX49" i="7"/>
  <c r="AX48" i="7"/>
  <c r="AZ33" i="7"/>
  <c r="AY33" i="7" s="1"/>
  <c r="AX33" i="7" s="1"/>
  <c r="AW33" i="7" s="1"/>
  <c r="AZ32" i="7"/>
  <c r="AZ12" i="7"/>
  <c r="AY12" i="7" s="1"/>
  <c r="AX12" i="7" s="1"/>
  <c r="AW12" i="7" s="1"/>
  <c r="AZ11" i="7"/>
  <c r="AZ45" i="7"/>
  <c r="AY45" i="7" s="1"/>
  <c r="AX45" i="7" s="1"/>
  <c r="AW45" i="7" s="1"/>
  <c r="AV45" i="7" s="1"/>
  <c r="AZ44" i="7"/>
  <c r="AZ8" i="7"/>
  <c r="AY8" i="7" s="1"/>
  <c r="AX8" i="7" s="1"/>
  <c r="AZ7" i="7"/>
  <c r="AX41" i="7"/>
  <c r="AX40" i="7"/>
  <c r="AZ27" i="7"/>
  <c r="AY27" i="7" s="1"/>
  <c r="AX27" i="7" s="1"/>
  <c r="AW27" i="7" s="1"/>
  <c r="AV27" i="7" s="1"/>
  <c r="AZ26" i="7"/>
  <c r="AZ4" i="7"/>
  <c r="AY4" i="7" s="1"/>
  <c r="AX4" i="7" s="1"/>
  <c r="AY22" i="7" l="1"/>
  <c r="AX22" i="7" s="1"/>
  <c r="AW22" i="7" s="1"/>
  <c r="AY21" i="7"/>
  <c r="AX36" i="7"/>
  <c r="AW36" i="7" s="1"/>
  <c r="AV36" i="7" s="1"/>
  <c r="AU36" i="7" s="1"/>
  <c r="AX35" i="7"/>
  <c r="AX15" i="7"/>
  <c r="AW15" i="7" s="1"/>
  <c r="AV15" i="7" s="1"/>
  <c r="AU15" i="7" s="1"/>
  <c r="AT15" i="7" s="1"/>
  <c r="AX14" i="7"/>
  <c r="AY11" i="7"/>
  <c r="AX11" i="7" s="1"/>
  <c r="AW11" i="7" s="1"/>
  <c r="AV11" i="7" s="1"/>
  <c r="AY10" i="7"/>
  <c r="AY32" i="7"/>
  <c r="AX32" i="7" s="1"/>
  <c r="AW32" i="7" s="1"/>
  <c r="AV32" i="7" s="1"/>
  <c r="AY31" i="7"/>
  <c r="AW48" i="7"/>
  <c r="AW47" i="7"/>
  <c r="AY7" i="7"/>
  <c r="AX7" i="7" s="1"/>
  <c r="AW7" i="7" s="1"/>
  <c r="AY6" i="7"/>
  <c r="AY44" i="7"/>
  <c r="AX44" i="7" s="1"/>
  <c r="AW44" i="7" s="1"/>
  <c r="AV44" i="7" s="1"/>
  <c r="AU44" i="7" s="1"/>
  <c r="AY43" i="7"/>
  <c r="AY26" i="7"/>
  <c r="AX26" i="7" s="1"/>
  <c r="AW26" i="7" s="1"/>
  <c r="AV26" i="7" s="1"/>
  <c r="AU26" i="7" s="1"/>
  <c r="AY25" i="7"/>
  <c r="AW39" i="7"/>
  <c r="AW40" i="7"/>
  <c r="AW35" i="7" l="1"/>
  <c r="AV35" i="7" s="1"/>
  <c r="AU35" i="7" s="1"/>
  <c r="AT35" i="7" s="1"/>
  <c r="AW34" i="7"/>
  <c r="AW14" i="7"/>
  <c r="AV14" i="7" s="1"/>
  <c r="AU14" i="7" s="1"/>
  <c r="AT14" i="7" s="1"/>
  <c r="AS14" i="7" s="1"/>
  <c r="AW13" i="7"/>
  <c r="AX21" i="7"/>
  <c r="AW21" i="7" s="1"/>
  <c r="AV21" i="7" s="1"/>
  <c r="AX20" i="7"/>
  <c r="AX6" i="7"/>
  <c r="AW6" i="7" s="1"/>
  <c r="AV6" i="7" s="1"/>
  <c r="AX5" i="7"/>
  <c r="AV47" i="7"/>
  <c r="AV46" i="7"/>
  <c r="AV39" i="7"/>
  <c r="AV38" i="7"/>
  <c r="AX25" i="7"/>
  <c r="AW25" i="7" s="1"/>
  <c r="AV25" i="7" s="1"/>
  <c r="AU25" i="7" s="1"/>
  <c r="AT25" i="7" s="1"/>
  <c r="AX24" i="7"/>
  <c r="AX31" i="7"/>
  <c r="AW31" i="7" s="1"/>
  <c r="AV31" i="7" s="1"/>
  <c r="AU31" i="7" s="1"/>
  <c r="AX30" i="7"/>
  <c r="AX10" i="7"/>
  <c r="AW10" i="7" s="1"/>
  <c r="AV10" i="7" s="1"/>
  <c r="AU10" i="7" s="1"/>
  <c r="AX9" i="7"/>
  <c r="AX43" i="7"/>
  <c r="AW43" i="7" s="1"/>
  <c r="AV43" i="7" s="1"/>
  <c r="AU43" i="7" s="1"/>
  <c r="AT43" i="7" s="1"/>
  <c r="AX42" i="7"/>
  <c r="AV34" i="7" l="1"/>
  <c r="AU34" i="7" s="1"/>
  <c r="AT34" i="7" s="1"/>
  <c r="AS34" i="7" s="1"/>
  <c r="AV33" i="7"/>
  <c r="AW20" i="7"/>
  <c r="AV20" i="7" s="1"/>
  <c r="AU20" i="7" s="1"/>
  <c r="AW19" i="7"/>
  <c r="AV13" i="7"/>
  <c r="AU13" i="7" s="1"/>
  <c r="AT13" i="7" s="1"/>
  <c r="AS13" i="7" s="1"/>
  <c r="AR13" i="7" s="1"/>
  <c r="AV12" i="7"/>
  <c r="AU38" i="7"/>
  <c r="AU37" i="7"/>
  <c r="AW24" i="7"/>
  <c r="AV24" i="7" s="1"/>
  <c r="AU24" i="7" s="1"/>
  <c r="AT24" i="7" s="1"/>
  <c r="AS24" i="7" s="1"/>
  <c r="AW23" i="7"/>
  <c r="AW42" i="7"/>
  <c r="AV42" i="7" s="1"/>
  <c r="AU42" i="7" s="1"/>
  <c r="AT42" i="7" s="1"/>
  <c r="AS42" i="7" s="1"/>
  <c r="AW41" i="7"/>
  <c r="AU46" i="7"/>
  <c r="AU45" i="7"/>
  <c r="AW9" i="7"/>
  <c r="AV9" i="7" s="1"/>
  <c r="AU9" i="7" s="1"/>
  <c r="AT9" i="7" s="1"/>
  <c r="AW8" i="7"/>
  <c r="AW5" i="7"/>
  <c r="AV5" i="7" s="1"/>
  <c r="AU5" i="7" s="1"/>
  <c r="AW4" i="7"/>
  <c r="AV4" i="7" s="1"/>
  <c r="AU4" i="7" s="1"/>
  <c r="AT4" i="7" s="1"/>
  <c r="AW30" i="7"/>
  <c r="AV30" i="7" s="1"/>
  <c r="AU30" i="7" s="1"/>
  <c r="AT30" i="7" s="1"/>
  <c r="AW29" i="7"/>
  <c r="AU12" i="7" l="1"/>
  <c r="AT12" i="7" s="1"/>
  <c r="AS12" i="7" s="1"/>
  <c r="AR12" i="7" s="1"/>
  <c r="AQ12" i="7" s="1"/>
  <c r="AU11" i="7"/>
  <c r="AV19" i="7"/>
  <c r="AU19" i="7" s="1"/>
  <c r="AT19" i="7" s="1"/>
  <c r="AV18" i="7"/>
  <c r="AU33" i="7"/>
  <c r="AT33" i="7" s="1"/>
  <c r="AS33" i="7" s="1"/>
  <c r="AR33" i="7" s="1"/>
  <c r="AU32" i="7"/>
  <c r="AV41" i="7"/>
  <c r="AU41" i="7" s="1"/>
  <c r="AT41" i="7" s="1"/>
  <c r="AS41" i="7" s="1"/>
  <c r="AR41" i="7" s="1"/>
  <c r="AV40" i="7"/>
  <c r="AT45" i="7"/>
  <c r="AT44" i="7"/>
  <c r="AV29" i="7"/>
  <c r="AU29" i="7" s="1"/>
  <c r="AT29" i="7" s="1"/>
  <c r="AS29" i="7" s="1"/>
  <c r="AV28" i="7"/>
  <c r="AV23" i="7"/>
  <c r="AU23" i="7" s="1"/>
  <c r="AT23" i="7" s="1"/>
  <c r="AS23" i="7" s="1"/>
  <c r="AR23" i="7" s="1"/>
  <c r="AV22" i="7"/>
  <c r="AT36" i="7"/>
  <c r="AT37" i="7"/>
  <c r="AV8" i="7"/>
  <c r="AU8" i="7" s="1"/>
  <c r="AT8" i="7" s="1"/>
  <c r="AS8" i="7" s="1"/>
  <c r="AV7" i="7"/>
  <c r="AT32" i="7" l="1"/>
  <c r="AS32" i="7" s="1"/>
  <c r="AR32" i="7" s="1"/>
  <c r="AQ32" i="7" s="1"/>
  <c r="AT31" i="7"/>
  <c r="AU18" i="7"/>
  <c r="AT18" i="7" s="1"/>
  <c r="AS18" i="7" s="1"/>
  <c r="AU17" i="7"/>
  <c r="AT11" i="7"/>
  <c r="AS11" i="7" s="1"/>
  <c r="AR11" i="7" s="1"/>
  <c r="AQ11" i="7" s="1"/>
  <c r="AP11" i="7" s="1"/>
  <c r="AT10" i="7"/>
  <c r="AU28" i="7"/>
  <c r="AT28" i="7" s="1"/>
  <c r="AS28" i="7" s="1"/>
  <c r="AR28" i="7" s="1"/>
  <c r="AU27" i="7"/>
  <c r="AU22" i="7"/>
  <c r="AT22" i="7" s="1"/>
  <c r="AS22" i="7" s="1"/>
  <c r="AR22" i="7" s="1"/>
  <c r="AQ22" i="7" s="1"/>
  <c r="AU21" i="7"/>
  <c r="AS44" i="7"/>
  <c r="AS43" i="7"/>
  <c r="AS35" i="7"/>
  <c r="AS36" i="7"/>
  <c r="AU7" i="7"/>
  <c r="AT7" i="7" s="1"/>
  <c r="AS7" i="7" s="1"/>
  <c r="AR7" i="7" s="1"/>
  <c r="AU6" i="7"/>
  <c r="AU40" i="7"/>
  <c r="AT40" i="7" s="1"/>
  <c r="AS40" i="7" s="1"/>
  <c r="AR40" i="7" s="1"/>
  <c r="AQ40" i="7" s="1"/>
  <c r="AU39" i="7"/>
  <c r="AS10" i="7" l="1"/>
  <c r="AR10" i="7" s="1"/>
  <c r="AQ10" i="7" s="1"/>
  <c r="AP10" i="7" s="1"/>
  <c r="AO10" i="7" s="1"/>
  <c r="AS9" i="7"/>
  <c r="AT17" i="7"/>
  <c r="AS17" i="7" s="1"/>
  <c r="AR17" i="7" s="1"/>
  <c r="AT16" i="7"/>
  <c r="AS31" i="7"/>
  <c r="AR31" i="7" s="1"/>
  <c r="AQ31" i="7" s="1"/>
  <c r="AP31" i="7" s="1"/>
  <c r="AS30" i="7"/>
  <c r="AT6" i="7"/>
  <c r="AS6" i="7" s="1"/>
  <c r="AR6" i="7" s="1"/>
  <c r="AQ6" i="7" s="1"/>
  <c r="AT5" i="7"/>
  <c r="AR35" i="7"/>
  <c r="AR34" i="7"/>
  <c r="AR43" i="7"/>
  <c r="AR42" i="7"/>
  <c r="AT39" i="7"/>
  <c r="AS39" i="7" s="1"/>
  <c r="AR39" i="7" s="1"/>
  <c r="AQ39" i="7" s="1"/>
  <c r="AP39" i="7" s="1"/>
  <c r="AT38" i="7"/>
  <c r="AT21" i="7"/>
  <c r="AS21" i="7" s="1"/>
  <c r="AR21" i="7" s="1"/>
  <c r="AQ21" i="7" s="1"/>
  <c r="AP21" i="7" s="1"/>
  <c r="AT20" i="7"/>
  <c r="AT27" i="7"/>
  <c r="AS27" i="7" s="1"/>
  <c r="AR27" i="7" s="1"/>
  <c r="AQ27" i="7" s="1"/>
  <c r="AT26" i="7"/>
  <c r="AS16" i="7" l="1"/>
  <c r="AR16" i="7" s="1"/>
  <c r="AQ16" i="7" s="1"/>
  <c r="AS15" i="7"/>
  <c r="AR30" i="7"/>
  <c r="AQ30" i="7" s="1"/>
  <c r="AP30" i="7" s="1"/>
  <c r="AO30" i="7" s="1"/>
  <c r="AR29" i="7"/>
  <c r="AR9" i="7"/>
  <c r="AQ9" i="7" s="1"/>
  <c r="AP9" i="7" s="1"/>
  <c r="AO9" i="7" s="1"/>
  <c r="AN9" i="7" s="1"/>
  <c r="AR8" i="7"/>
  <c r="AS20" i="7"/>
  <c r="AR20" i="7" s="1"/>
  <c r="AQ20" i="7" s="1"/>
  <c r="AP20" i="7" s="1"/>
  <c r="AO20" i="7" s="1"/>
  <c r="AS19" i="7"/>
  <c r="AQ42" i="7"/>
  <c r="AQ41" i="7"/>
  <c r="AQ34" i="7"/>
  <c r="AQ33" i="7"/>
  <c r="AS38" i="7"/>
  <c r="AR38" i="7" s="1"/>
  <c r="AQ38" i="7" s="1"/>
  <c r="AP38" i="7" s="1"/>
  <c r="AO38" i="7" s="1"/>
  <c r="AS37" i="7"/>
  <c r="AS26" i="7"/>
  <c r="AR26" i="7" s="1"/>
  <c r="AQ26" i="7" s="1"/>
  <c r="AP26" i="7" s="1"/>
  <c r="AS25" i="7"/>
  <c r="AS5" i="7"/>
  <c r="AR5" i="7" s="1"/>
  <c r="AQ5" i="7" s="1"/>
  <c r="AP5" i="7" s="1"/>
  <c r="AS4" i="7"/>
  <c r="AR4" i="7" s="1"/>
  <c r="AQ4" i="7" s="1"/>
  <c r="AP4" i="7" s="1"/>
  <c r="AO4" i="7" s="1"/>
  <c r="AQ8" i="7" l="1"/>
  <c r="AP8" i="7" s="1"/>
  <c r="AO8" i="7" s="1"/>
  <c r="AN8" i="7" s="1"/>
  <c r="AM8" i="7" s="1"/>
  <c r="AQ7" i="7"/>
  <c r="AQ29" i="7"/>
  <c r="AP29" i="7" s="1"/>
  <c r="AO29" i="7" s="1"/>
  <c r="AN29" i="7" s="1"/>
  <c r="AQ28" i="7"/>
  <c r="AR15" i="7"/>
  <c r="AQ15" i="7" s="1"/>
  <c r="AP15" i="7" s="1"/>
  <c r="AR14" i="7"/>
  <c r="AR25" i="7"/>
  <c r="AQ25" i="7" s="1"/>
  <c r="AP25" i="7" s="1"/>
  <c r="AO25" i="7" s="1"/>
  <c r="AR24" i="7"/>
  <c r="AP41" i="7"/>
  <c r="AP40" i="7"/>
  <c r="AR37" i="7"/>
  <c r="AQ37" i="7" s="1"/>
  <c r="AP37" i="7" s="1"/>
  <c r="AO37" i="7" s="1"/>
  <c r="AN37" i="7" s="1"/>
  <c r="AR36" i="7"/>
  <c r="AR19" i="7"/>
  <c r="AQ19" i="7" s="1"/>
  <c r="AP19" i="7" s="1"/>
  <c r="AO19" i="7" s="1"/>
  <c r="AN19" i="7" s="1"/>
  <c r="AR18" i="7"/>
  <c r="AP32" i="7"/>
  <c r="AP33" i="7"/>
  <c r="AQ14" i="7" l="1"/>
  <c r="AP14" i="7" s="1"/>
  <c r="AO14" i="7" s="1"/>
  <c r="AQ13" i="7"/>
  <c r="AP28" i="7"/>
  <c r="AO28" i="7" s="1"/>
  <c r="AN28" i="7" s="1"/>
  <c r="AM28" i="7" s="1"/>
  <c r="AP27" i="7"/>
  <c r="AP7" i="7"/>
  <c r="AO7" i="7" s="1"/>
  <c r="AN7" i="7" s="1"/>
  <c r="AM7" i="7" s="1"/>
  <c r="AL7" i="7" s="1"/>
  <c r="AP6" i="7"/>
  <c r="AO32" i="7"/>
  <c r="AO31" i="7"/>
  <c r="AQ18" i="7"/>
  <c r="AP18" i="7" s="1"/>
  <c r="AO18" i="7" s="1"/>
  <c r="AN18" i="7" s="1"/>
  <c r="AM18" i="7" s="1"/>
  <c r="AQ17" i="7"/>
  <c r="AO40" i="7"/>
  <c r="AO39" i="7"/>
  <c r="AQ36" i="7"/>
  <c r="AP36" i="7" s="1"/>
  <c r="AO36" i="7" s="1"/>
  <c r="AN36" i="7" s="1"/>
  <c r="AM36" i="7" s="1"/>
  <c r="AQ35" i="7"/>
  <c r="AQ24" i="7"/>
  <c r="AP24" i="7" s="1"/>
  <c r="AO24" i="7" s="1"/>
  <c r="AN24" i="7" s="1"/>
  <c r="AQ23" i="7"/>
  <c r="AO6" i="7" l="1"/>
  <c r="AN6" i="7" s="1"/>
  <c r="AM6" i="7" s="1"/>
  <c r="AL6" i="7" s="1"/>
  <c r="AK6" i="7" s="1"/>
  <c r="AO5" i="7"/>
  <c r="AO27" i="7"/>
  <c r="AN27" i="7" s="1"/>
  <c r="AM27" i="7" s="1"/>
  <c r="AL27" i="7" s="1"/>
  <c r="AO26" i="7"/>
  <c r="AP13" i="7"/>
  <c r="AO13" i="7" s="1"/>
  <c r="AN13" i="7" s="1"/>
  <c r="AP12" i="7"/>
  <c r="AP35" i="7"/>
  <c r="AO35" i="7" s="1"/>
  <c r="AN35" i="7" s="1"/>
  <c r="AM35" i="7" s="1"/>
  <c r="AL35" i="7" s="1"/>
  <c r="AP34" i="7"/>
  <c r="AN31" i="7"/>
  <c r="AN30" i="7"/>
  <c r="AN39" i="7"/>
  <c r="AN38" i="7"/>
  <c r="AP17" i="7"/>
  <c r="AO17" i="7" s="1"/>
  <c r="AN17" i="7" s="1"/>
  <c r="AM17" i="7" s="1"/>
  <c r="AL17" i="7" s="1"/>
  <c r="AP16" i="7"/>
  <c r="AP23" i="7"/>
  <c r="AO23" i="7" s="1"/>
  <c r="AN23" i="7" s="1"/>
  <c r="AM23" i="7" s="1"/>
  <c r="AP22" i="7"/>
  <c r="AO12" i="7" l="1"/>
  <c r="AN12" i="7" s="1"/>
  <c r="AM12" i="7" s="1"/>
  <c r="AO11" i="7"/>
  <c r="AN26" i="7"/>
  <c r="AM26" i="7" s="1"/>
  <c r="AL26" i="7" s="1"/>
  <c r="AK26" i="7" s="1"/>
  <c r="AN25" i="7"/>
  <c r="AN5" i="7"/>
  <c r="AM5" i="7" s="1"/>
  <c r="AL5" i="7" s="1"/>
  <c r="AK5" i="7" s="1"/>
  <c r="AJ5" i="7" s="1"/>
  <c r="AN4" i="7"/>
  <c r="AM4" i="7" s="1"/>
  <c r="AL4" i="7" s="1"/>
  <c r="AK4" i="7" s="1"/>
  <c r="AJ4" i="7" s="1"/>
  <c r="AI4" i="7" s="1"/>
  <c r="AM29" i="7"/>
  <c r="AM30" i="7"/>
  <c r="AO22" i="7"/>
  <c r="AN22" i="7" s="1"/>
  <c r="AM22" i="7" s="1"/>
  <c r="AL22" i="7" s="1"/>
  <c r="AO21" i="7"/>
  <c r="AO16" i="7"/>
  <c r="AN16" i="7" s="1"/>
  <c r="AM16" i="7" s="1"/>
  <c r="AL16" i="7" s="1"/>
  <c r="AK16" i="7" s="1"/>
  <c r="AO15" i="7"/>
  <c r="AM38" i="7"/>
  <c r="AM37" i="7"/>
  <c r="AO34" i="7"/>
  <c r="AN34" i="7" s="1"/>
  <c r="AM34" i="7" s="1"/>
  <c r="AL34" i="7" s="1"/>
  <c r="AK34" i="7" s="1"/>
  <c r="AO33" i="7"/>
  <c r="AM25" i="7" l="1"/>
  <c r="AL25" i="7" s="1"/>
  <c r="AK25" i="7" s="1"/>
  <c r="AJ25" i="7" s="1"/>
  <c r="AM24" i="7"/>
  <c r="AN11" i="7"/>
  <c r="AM11" i="7" s="1"/>
  <c r="AL11" i="7" s="1"/>
  <c r="AN10" i="7"/>
  <c r="AN33" i="7"/>
  <c r="AM33" i="7" s="1"/>
  <c r="AL33" i="7" s="1"/>
  <c r="AK33" i="7" s="1"/>
  <c r="AJ33" i="7" s="1"/>
  <c r="AN32" i="7"/>
  <c r="AL37" i="7"/>
  <c r="AL36" i="7"/>
  <c r="AN15" i="7"/>
  <c r="AM15" i="7" s="1"/>
  <c r="AL15" i="7" s="1"/>
  <c r="AK15" i="7" s="1"/>
  <c r="AJ15" i="7" s="1"/>
  <c r="AN14" i="7"/>
  <c r="AN21" i="7"/>
  <c r="AM21" i="7" s="1"/>
  <c r="AL21" i="7" s="1"/>
  <c r="AK21" i="7" s="1"/>
  <c r="AN20" i="7"/>
  <c r="AL28" i="7"/>
  <c r="AL29" i="7"/>
  <c r="AM10" i="7" l="1"/>
  <c r="AL10" i="7" s="1"/>
  <c r="AK10" i="7" s="1"/>
  <c r="AM9" i="7"/>
  <c r="AL24" i="7"/>
  <c r="AK24" i="7" s="1"/>
  <c r="AJ24" i="7" s="1"/>
  <c r="AI24" i="7" s="1"/>
  <c r="AL23" i="7"/>
  <c r="AM14" i="7"/>
  <c r="AL14" i="7" s="1"/>
  <c r="AK14" i="7" s="1"/>
  <c r="AJ14" i="7" s="1"/>
  <c r="AI14" i="7" s="1"/>
  <c r="AM13" i="7"/>
  <c r="AM20" i="7"/>
  <c r="AL20" i="7" s="1"/>
  <c r="AK20" i="7" s="1"/>
  <c r="AJ20" i="7" s="1"/>
  <c r="AM19" i="7"/>
  <c r="AK36" i="7"/>
  <c r="AK35" i="7"/>
  <c r="AK28" i="7"/>
  <c r="AK27" i="7"/>
  <c r="AM32" i="7"/>
  <c r="AL32" i="7" s="1"/>
  <c r="AK32" i="7" s="1"/>
  <c r="AJ32" i="7" s="1"/>
  <c r="AI32" i="7" s="1"/>
  <c r="AM31" i="7"/>
  <c r="AK23" i="7" l="1"/>
  <c r="AJ23" i="7" s="1"/>
  <c r="AI23" i="7" s="1"/>
  <c r="AH23" i="7" s="1"/>
  <c r="AK22" i="7"/>
  <c r="AL9" i="7"/>
  <c r="AK9" i="7" s="1"/>
  <c r="AJ9" i="7" s="1"/>
  <c r="AL8" i="7"/>
  <c r="AJ35" i="7"/>
  <c r="AJ34" i="7"/>
  <c r="AL19" i="7"/>
  <c r="AK19" i="7" s="1"/>
  <c r="AJ19" i="7" s="1"/>
  <c r="AI19" i="7" s="1"/>
  <c r="AL18" i="7"/>
  <c r="AJ26" i="7"/>
  <c r="AJ27" i="7"/>
  <c r="AL13" i="7"/>
  <c r="AK13" i="7" s="1"/>
  <c r="AJ13" i="7" s="1"/>
  <c r="AI13" i="7" s="1"/>
  <c r="AH13" i="7" s="1"/>
  <c r="AL12" i="7"/>
  <c r="AL31" i="7"/>
  <c r="AK31" i="7" s="1"/>
  <c r="AJ31" i="7" s="1"/>
  <c r="AI31" i="7" s="1"/>
  <c r="AH31" i="7" s="1"/>
  <c r="AL30" i="7"/>
  <c r="AK8" i="7" l="1"/>
  <c r="AJ8" i="7" s="1"/>
  <c r="AI8" i="7" s="1"/>
  <c r="AK7" i="7"/>
  <c r="AJ22" i="7"/>
  <c r="AI22" i="7" s="1"/>
  <c r="AH22" i="7" s="1"/>
  <c r="AG22" i="7" s="1"/>
  <c r="AJ21" i="7"/>
  <c r="AK30" i="7"/>
  <c r="AJ30" i="7" s="1"/>
  <c r="AI30" i="7" s="1"/>
  <c r="AH30" i="7" s="1"/>
  <c r="AG30" i="7" s="1"/>
  <c r="AK29" i="7"/>
  <c r="AK12" i="7"/>
  <c r="AJ12" i="7" s="1"/>
  <c r="AI12" i="7" s="1"/>
  <c r="AH12" i="7" s="1"/>
  <c r="AG12" i="7" s="1"/>
  <c r="AK11" i="7"/>
  <c r="AI26" i="7"/>
  <c r="AI25" i="7"/>
  <c r="AK18" i="7"/>
  <c r="AJ18" i="7" s="1"/>
  <c r="AI18" i="7" s="1"/>
  <c r="AH18" i="7" s="1"/>
  <c r="AK17" i="7"/>
  <c r="AI34" i="7"/>
  <c r="AI33" i="7"/>
  <c r="AI21" i="7" l="1"/>
  <c r="AH21" i="7" s="1"/>
  <c r="AG21" i="7" s="1"/>
  <c r="AF21" i="7" s="1"/>
  <c r="AI20" i="7"/>
  <c r="AJ7" i="7"/>
  <c r="AI7" i="7" s="1"/>
  <c r="AH7" i="7" s="1"/>
  <c r="AJ6" i="7"/>
  <c r="AJ11" i="7"/>
  <c r="AI11" i="7" s="1"/>
  <c r="AH11" i="7" s="1"/>
  <c r="AG11" i="7" s="1"/>
  <c r="AF11" i="7" s="1"/>
  <c r="AJ10" i="7"/>
  <c r="AH25" i="7"/>
  <c r="AH24" i="7"/>
  <c r="AJ17" i="7"/>
  <c r="AI17" i="7" s="1"/>
  <c r="AH17" i="7" s="1"/>
  <c r="AG17" i="7" s="1"/>
  <c r="AJ16" i="7"/>
  <c r="AJ29" i="7"/>
  <c r="AI29" i="7" s="1"/>
  <c r="AH29" i="7" s="1"/>
  <c r="AG29" i="7" s="1"/>
  <c r="AF29" i="7" s="1"/>
  <c r="AJ28" i="7"/>
  <c r="AH33" i="7"/>
  <c r="AH32" i="7"/>
  <c r="AI6" i="7" l="1"/>
  <c r="AH6" i="7" s="1"/>
  <c r="AG6" i="7" s="1"/>
  <c r="AI5" i="7"/>
  <c r="AH20" i="7"/>
  <c r="AG20" i="7" s="1"/>
  <c r="AF20" i="7" s="1"/>
  <c r="AE20" i="7" s="1"/>
  <c r="AH19" i="7"/>
  <c r="AI16" i="7"/>
  <c r="AH16" i="7" s="1"/>
  <c r="AG16" i="7" s="1"/>
  <c r="AF16" i="7" s="1"/>
  <c r="AI15" i="7"/>
  <c r="AI28" i="7"/>
  <c r="AH28" i="7" s="1"/>
  <c r="AG28" i="7" s="1"/>
  <c r="AF28" i="7" s="1"/>
  <c r="AE28" i="7" s="1"/>
  <c r="AI27" i="7"/>
  <c r="AG24" i="7"/>
  <c r="AG23" i="7"/>
  <c r="AI10" i="7"/>
  <c r="AH10" i="7" s="1"/>
  <c r="AG10" i="7" s="1"/>
  <c r="AF10" i="7" s="1"/>
  <c r="AE10" i="7" s="1"/>
  <c r="AI9" i="7"/>
  <c r="AG32" i="7"/>
  <c r="AG31" i="7"/>
  <c r="AG19" i="7" l="1"/>
  <c r="AF19" i="7" s="1"/>
  <c r="AE19" i="7" s="1"/>
  <c r="AD19" i="7" s="1"/>
  <c r="AG18" i="7"/>
  <c r="AH5" i="7"/>
  <c r="AG5" i="7" s="1"/>
  <c r="AF5" i="7" s="1"/>
  <c r="AH4" i="7"/>
  <c r="AG4" i="7" s="1"/>
  <c r="AF4" i="7" s="1"/>
  <c r="AE4" i="7" s="1"/>
  <c r="AF31" i="7"/>
  <c r="AF30" i="7"/>
  <c r="AH9" i="7"/>
  <c r="AG9" i="7" s="1"/>
  <c r="AF9" i="7" s="1"/>
  <c r="AE9" i="7" s="1"/>
  <c r="AD9" i="7" s="1"/>
  <c r="AH8" i="7"/>
  <c r="AF22" i="7"/>
  <c r="AF23" i="7"/>
  <c r="AH15" i="7"/>
  <c r="AG15" i="7" s="1"/>
  <c r="AF15" i="7" s="1"/>
  <c r="AE15" i="7" s="1"/>
  <c r="AH14" i="7"/>
  <c r="AH27" i="7"/>
  <c r="AG27" i="7" s="1"/>
  <c r="AF27" i="7" s="1"/>
  <c r="AE27" i="7" s="1"/>
  <c r="AD27" i="7" s="1"/>
  <c r="AH26" i="7"/>
  <c r="AF18" i="7" l="1"/>
  <c r="AE18" i="7" s="1"/>
  <c r="AD18" i="7" s="1"/>
  <c r="AC18" i="7" s="1"/>
  <c r="AF17" i="7"/>
  <c r="AG14" i="7"/>
  <c r="AF14" i="7" s="1"/>
  <c r="AE14" i="7" s="1"/>
  <c r="AD14" i="7" s="1"/>
  <c r="AG13" i="7"/>
  <c r="AG8" i="7"/>
  <c r="AF8" i="7" s="1"/>
  <c r="AE8" i="7" s="1"/>
  <c r="AD8" i="7" s="1"/>
  <c r="AC8" i="7" s="1"/>
  <c r="AG7" i="7"/>
  <c r="AE22" i="7"/>
  <c r="AE21" i="7"/>
  <c r="AE30" i="7"/>
  <c r="AE29" i="7"/>
  <c r="AG26" i="7"/>
  <c r="AF26" i="7" s="1"/>
  <c r="AE26" i="7" s="1"/>
  <c r="AD26" i="7" s="1"/>
  <c r="AC26" i="7" s="1"/>
  <c r="AG25" i="7"/>
  <c r="AE17" i="7" l="1"/>
  <c r="AD17" i="7" s="1"/>
  <c r="AC17" i="7" s="1"/>
  <c r="AB17" i="7" s="1"/>
  <c r="AE16" i="7"/>
  <c r="AD20" i="7"/>
  <c r="AD21" i="7"/>
  <c r="AF7" i="7"/>
  <c r="AE7" i="7" s="1"/>
  <c r="AD7" i="7" s="1"/>
  <c r="AC7" i="7" s="1"/>
  <c r="AB7" i="7" s="1"/>
  <c r="AF6" i="7"/>
  <c r="AF13" i="7"/>
  <c r="AE13" i="7" s="1"/>
  <c r="AD13" i="7" s="1"/>
  <c r="AC13" i="7" s="1"/>
  <c r="AF12" i="7"/>
  <c r="AD29" i="7"/>
  <c r="AD28" i="7"/>
  <c r="AF25" i="7"/>
  <c r="AE25" i="7" s="1"/>
  <c r="AD25" i="7" s="1"/>
  <c r="AC25" i="7" s="1"/>
  <c r="AB25" i="7" s="1"/>
  <c r="AF24" i="7"/>
  <c r="AD16" i="7" l="1"/>
  <c r="AC16" i="7" s="1"/>
  <c r="AB16" i="7" s="1"/>
  <c r="AA16" i="7" s="1"/>
  <c r="AD15" i="7"/>
  <c r="AE12" i="7"/>
  <c r="AD12" i="7" s="1"/>
  <c r="AC12" i="7" s="1"/>
  <c r="AB12" i="7" s="1"/>
  <c r="AE11" i="7"/>
  <c r="AC28" i="7"/>
  <c r="AC27" i="7"/>
  <c r="AE6" i="7"/>
  <c r="AD6" i="7" s="1"/>
  <c r="AC6" i="7" s="1"/>
  <c r="AB6" i="7" s="1"/>
  <c r="AA6" i="7" s="1"/>
  <c r="AE5" i="7"/>
  <c r="AE24" i="7"/>
  <c r="AD24" i="7" s="1"/>
  <c r="AC24" i="7" s="1"/>
  <c r="AB24" i="7" s="1"/>
  <c r="AA24" i="7" s="1"/>
  <c r="AE23" i="7"/>
  <c r="AC20" i="7"/>
  <c r="AC19" i="7"/>
  <c r="AC15" i="7" l="1"/>
  <c r="AB15" i="7" s="1"/>
  <c r="AA15" i="7" s="1"/>
  <c r="Z15" i="7" s="1"/>
  <c r="AC14" i="7"/>
  <c r="AD5" i="7"/>
  <c r="AC5" i="7" s="1"/>
  <c r="AB5" i="7" s="1"/>
  <c r="AA5" i="7" s="1"/>
  <c r="Z5" i="7" s="1"/>
  <c r="AD4" i="7"/>
  <c r="AC4" i="7" s="1"/>
  <c r="AB4" i="7" s="1"/>
  <c r="AA4" i="7" s="1"/>
  <c r="Z4" i="7" s="1"/>
  <c r="Y4" i="7" s="1"/>
  <c r="AD23" i="7"/>
  <c r="AC23" i="7" s="1"/>
  <c r="AB23" i="7" s="1"/>
  <c r="AA23" i="7" s="1"/>
  <c r="Z23" i="7" s="1"/>
  <c r="AD22" i="7"/>
  <c r="AB19" i="7"/>
  <c r="AB18" i="7"/>
  <c r="AB27" i="7"/>
  <c r="AB26" i="7"/>
  <c r="AD11" i="7"/>
  <c r="AC11" i="7" s="1"/>
  <c r="AB11" i="7" s="1"/>
  <c r="AA11" i="7" s="1"/>
  <c r="AD10" i="7"/>
  <c r="AB14" i="7" l="1"/>
  <c r="AA14" i="7" s="1"/>
  <c r="Z14" i="7" s="1"/>
  <c r="Y14" i="7" s="1"/>
  <c r="AB13" i="7"/>
  <c r="AA26" i="7"/>
  <c r="AA25" i="7"/>
  <c r="AA18" i="7"/>
  <c r="AA17" i="7"/>
  <c r="AC22" i="7"/>
  <c r="AB22" i="7" s="1"/>
  <c r="AA22" i="7" s="1"/>
  <c r="Z22" i="7" s="1"/>
  <c r="Y22" i="7" s="1"/>
  <c r="AC21" i="7"/>
  <c r="AC10" i="7"/>
  <c r="AB10" i="7" s="1"/>
  <c r="AA10" i="7" s="1"/>
  <c r="Z10" i="7" s="1"/>
  <c r="AC9" i="7"/>
  <c r="AA13" i="7" l="1"/>
  <c r="Z13" i="7" s="1"/>
  <c r="Y13" i="7" s="1"/>
  <c r="X13" i="7" s="1"/>
  <c r="AA12" i="7"/>
  <c r="AB21" i="7"/>
  <c r="AA21" i="7" s="1"/>
  <c r="Z21" i="7" s="1"/>
  <c r="Y21" i="7" s="1"/>
  <c r="X21" i="7" s="1"/>
  <c r="AB20" i="7"/>
  <c r="AB9" i="7"/>
  <c r="AA9" i="7" s="1"/>
  <c r="Z9" i="7" s="1"/>
  <c r="Y9" i="7" s="1"/>
  <c r="AB8" i="7"/>
  <c r="Z16" i="7"/>
  <c r="Z17" i="7"/>
  <c r="Z25" i="7"/>
  <c r="Z24" i="7"/>
  <c r="Z12" i="7" l="1"/>
  <c r="Y12" i="7" s="1"/>
  <c r="X12" i="7" s="1"/>
  <c r="W12" i="7" s="1"/>
  <c r="Z11" i="7"/>
  <c r="Y15" i="7"/>
  <c r="Y16" i="7"/>
  <c r="AA8" i="7"/>
  <c r="Z8" i="7" s="1"/>
  <c r="Y8" i="7" s="1"/>
  <c r="X8" i="7" s="1"/>
  <c r="AA7" i="7"/>
  <c r="Y24" i="7"/>
  <c r="Y23" i="7"/>
  <c r="AA20" i="7"/>
  <c r="Z20" i="7" s="1"/>
  <c r="Y20" i="7" s="1"/>
  <c r="X20" i="7" s="1"/>
  <c r="W20" i="7" s="1"/>
  <c r="AA19" i="7"/>
  <c r="Y11" i="7" l="1"/>
  <c r="X11" i="7" s="1"/>
  <c r="W11" i="7" s="1"/>
  <c r="V11" i="7" s="1"/>
  <c r="Y10" i="7"/>
  <c r="Z19" i="7"/>
  <c r="Y19" i="7" s="1"/>
  <c r="X19" i="7" s="1"/>
  <c r="W19" i="7" s="1"/>
  <c r="V19" i="7" s="1"/>
  <c r="Z18" i="7"/>
  <c r="X23" i="7"/>
  <c r="X22" i="7"/>
  <c r="Z7" i="7"/>
  <c r="Y7" i="7" s="1"/>
  <c r="X7" i="7" s="1"/>
  <c r="W7" i="7" s="1"/>
  <c r="Z6" i="7"/>
  <c r="X15" i="7"/>
  <c r="X14" i="7"/>
  <c r="X10" i="7" l="1"/>
  <c r="W10" i="7" s="1"/>
  <c r="V10" i="7" s="1"/>
  <c r="U10" i="7" s="1"/>
  <c r="X9" i="7"/>
  <c r="W13" i="7"/>
  <c r="W14" i="7"/>
  <c r="Y6" i="7"/>
  <c r="X6" i="7" s="1"/>
  <c r="W6" i="7" s="1"/>
  <c r="V6" i="7" s="1"/>
  <c r="Y5" i="7"/>
  <c r="W22" i="7"/>
  <c r="W21" i="7"/>
  <c r="Y18" i="7"/>
  <c r="X18" i="7" s="1"/>
  <c r="W18" i="7" s="1"/>
  <c r="V18" i="7" s="1"/>
  <c r="U18" i="7" s="1"/>
  <c r="Y17" i="7"/>
  <c r="W9" i="7" l="1"/>
  <c r="V9" i="7" s="1"/>
  <c r="U9" i="7" s="1"/>
  <c r="T9" i="7" s="1"/>
  <c r="W8" i="7"/>
  <c r="X17" i="7"/>
  <c r="W17" i="7" s="1"/>
  <c r="V17" i="7" s="1"/>
  <c r="U17" i="7" s="1"/>
  <c r="T17" i="7" s="1"/>
  <c r="X16" i="7"/>
  <c r="V21" i="7"/>
  <c r="V20" i="7"/>
  <c r="X5" i="7"/>
  <c r="W5" i="7" s="1"/>
  <c r="V5" i="7" s="1"/>
  <c r="U5" i="7" s="1"/>
  <c r="X4" i="7"/>
  <c r="W4" i="7" s="1"/>
  <c r="V4" i="7" s="1"/>
  <c r="U4" i="7" s="1"/>
  <c r="T4" i="7" s="1"/>
  <c r="V12" i="7"/>
  <c r="V13" i="7"/>
  <c r="V8" i="7" l="1"/>
  <c r="U8" i="7" s="1"/>
  <c r="T8" i="7" s="1"/>
  <c r="S8" i="7" s="1"/>
  <c r="V7" i="7"/>
  <c r="U12" i="7"/>
  <c r="U11" i="7"/>
  <c r="U20" i="7"/>
  <c r="U19" i="7"/>
  <c r="W16" i="7"/>
  <c r="V16" i="7" s="1"/>
  <c r="U16" i="7" s="1"/>
  <c r="T16" i="7" s="1"/>
  <c r="S16" i="7" s="1"/>
  <c r="W15" i="7"/>
  <c r="U7" i="7" l="1"/>
  <c r="T7" i="7" s="1"/>
  <c r="S7" i="7" s="1"/>
  <c r="R7" i="7" s="1"/>
  <c r="U6" i="7"/>
  <c r="V15" i="7"/>
  <c r="U15" i="7" s="1"/>
  <c r="T15" i="7" s="1"/>
  <c r="S15" i="7" s="1"/>
  <c r="R15" i="7" s="1"/>
  <c r="V14" i="7"/>
  <c r="T19" i="7"/>
  <c r="T18" i="7"/>
  <c r="T10" i="7"/>
  <c r="T11" i="7"/>
  <c r="T6" i="7" l="1"/>
  <c r="S6" i="7" s="1"/>
  <c r="R6" i="7" s="1"/>
  <c r="Q6" i="7" s="1"/>
  <c r="T5" i="7"/>
  <c r="S10" i="7"/>
  <c r="S9" i="7"/>
  <c r="S18" i="7"/>
  <c r="S17" i="7"/>
  <c r="U14" i="7"/>
  <c r="T14" i="7" s="1"/>
  <c r="S14" i="7" s="1"/>
  <c r="R14" i="7" s="1"/>
  <c r="Q14" i="7" s="1"/>
  <c r="U13" i="7"/>
  <c r="S5" i="7" l="1"/>
  <c r="R5" i="7" s="1"/>
  <c r="Q5" i="7" s="1"/>
  <c r="P5" i="7" s="1"/>
  <c r="S4" i="7"/>
  <c r="R4" i="7" s="1"/>
  <c r="Q4" i="7" s="1"/>
  <c r="P4" i="7" s="1"/>
  <c r="O4" i="7" s="1"/>
  <c r="T13" i="7"/>
  <c r="S13" i="7" s="1"/>
  <c r="R13" i="7" s="1"/>
  <c r="Q13" i="7" s="1"/>
  <c r="P13" i="7" s="1"/>
  <c r="T12" i="7"/>
  <c r="R8" i="7"/>
  <c r="R9" i="7"/>
  <c r="R17" i="7"/>
  <c r="R16" i="7"/>
  <c r="Q16" i="7" l="1"/>
  <c r="Q15" i="7"/>
  <c r="S12" i="7"/>
  <c r="R12" i="7" s="1"/>
  <c r="Q12" i="7" s="1"/>
  <c r="P12" i="7" s="1"/>
  <c r="O12" i="7" s="1"/>
  <c r="S11" i="7"/>
  <c r="Q7" i="7"/>
  <c r="Q8" i="7"/>
  <c r="P6" i="7" l="1"/>
  <c r="P7" i="7"/>
  <c r="R11" i="7"/>
  <c r="Q11" i="7" s="1"/>
  <c r="P11" i="7" s="1"/>
  <c r="O11" i="7" s="1"/>
  <c r="N11" i="7" s="1"/>
  <c r="R10" i="7"/>
  <c r="P15" i="7"/>
  <c r="P14" i="7"/>
  <c r="O14" i="7" l="1"/>
  <c r="O13" i="7"/>
  <c r="Q10" i="7"/>
  <c r="P10" i="7" s="1"/>
  <c r="O10" i="7" s="1"/>
  <c r="N10" i="7" s="1"/>
  <c r="M10" i="7" s="1"/>
  <c r="Q9" i="7"/>
  <c r="O5" i="7"/>
  <c r="O6" i="7"/>
  <c r="M14" i="11"/>
  <c r="N14" i="11" s="1"/>
  <c r="M64" i="11"/>
  <c r="N64" i="11" s="1"/>
  <c r="M93" i="11"/>
  <c r="N93" i="11" s="1"/>
  <c r="M35" i="11"/>
  <c r="N35" i="11" s="1"/>
  <c r="M13" i="11"/>
  <c r="N13" i="11" s="1"/>
  <c r="M90" i="11"/>
  <c r="N90" i="11" s="1"/>
  <c r="M30" i="11"/>
  <c r="N30" i="11" s="1"/>
  <c r="M53" i="11"/>
  <c r="N53" i="11" s="1"/>
  <c r="M29" i="11"/>
  <c r="N29" i="11" s="1"/>
  <c r="M20" i="11"/>
  <c r="N20" i="11" s="1"/>
  <c r="M74" i="11"/>
  <c r="N74" i="11" s="1"/>
  <c r="M84" i="11"/>
  <c r="N84" i="11" s="1"/>
  <c r="M52" i="11"/>
  <c r="N52" i="11" s="1"/>
  <c r="M28" i="11"/>
  <c r="N28" i="11" s="1"/>
  <c r="M55" i="11"/>
  <c r="N55" i="11" s="1"/>
  <c r="M67" i="11"/>
  <c r="N67" i="11" s="1"/>
  <c r="M99" i="11"/>
  <c r="N99" i="11" s="1"/>
  <c r="M88" i="11"/>
  <c r="N88" i="11" s="1"/>
  <c r="M62" i="11"/>
  <c r="N62" i="11" s="1"/>
  <c r="M79" i="11"/>
  <c r="N79" i="11" s="1"/>
  <c r="M107" i="11"/>
  <c r="N107" i="11" s="1"/>
  <c r="M86" i="11"/>
  <c r="N86" i="11" s="1"/>
  <c r="M11" i="11"/>
  <c r="N11" i="11" s="1"/>
  <c r="M46" i="11"/>
  <c r="N46" i="11" s="1"/>
  <c r="M58" i="11"/>
  <c r="N58" i="11" s="1"/>
  <c r="M97" i="11"/>
  <c r="N97" i="11" s="1"/>
  <c r="M54" i="11"/>
  <c r="N54" i="11" s="1"/>
  <c r="M12" i="11"/>
  <c r="N12" i="11" s="1"/>
  <c r="M101" i="11"/>
  <c r="N101" i="11" s="1"/>
  <c r="M51" i="11"/>
  <c r="N51" i="11" s="1"/>
  <c r="M73" i="11"/>
  <c r="N73" i="11" s="1"/>
  <c r="M95" i="11"/>
  <c r="N95" i="11" s="1"/>
  <c r="M60" i="11"/>
  <c r="N60" i="11" s="1"/>
  <c r="M71" i="11"/>
  <c r="N71" i="11" s="1"/>
  <c r="M42" i="11"/>
  <c r="N42" i="11" s="1"/>
  <c r="M106" i="11"/>
  <c r="N106" i="11" s="1"/>
  <c r="M68" i="11"/>
  <c r="N68" i="11" s="1"/>
  <c r="M19" i="11"/>
  <c r="N19" i="11" s="1"/>
  <c r="M100" i="11"/>
  <c r="N100" i="11" s="1"/>
  <c r="M31" i="11"/>
  <c r="N31" i="11" s="1"/>
  <c r="M10" i="11"/>
  <c r="N10" i="11" s="1"/>
  <c r="M15" i="11"/>
  <c r="N15" i="11" s="1"/>
  <c r="M103" i="11"/>
  <c r="N103" i="11" s="1"/>
  <c r="M34" i="11"/>
  <c r="N34" i="11" s="1"/>
  <c r="M59" i="11"/>
  <c r="N59" i="11" s="1"/>
  <c r="M65" i="11"/>
  <c r="N65" i="11" s="1"/>
  <c r="M91" i="11"/>
  <c r="N91" i="11" s="1"/>
  <c r="M37" i="11"/>
  <c r="N37" i="11" s="1"/>
  <c r="M32" i="11"/>
  <c r="N32" i="11" s="1"/>
  <c r="M82" i="11"/>
  <c r="N82" i="11" s="1"/>
  <c r="M80" i="11"/>
  <c r="N80" i="11" s="1"/>
  <c r="M61" i="11"/>
  <c r="N61" i="11" s="1"/>
  <c r="M18" i="11"/>
  <c r="N18" i="11" s="1"/>
  <c r="M72" i="11"/>
  <c r="N72" i="11" s="1"/>
  <c r="M40" i="11"/>
  <c r="N40" i="11" s="1"/>
  <c r="M56" i="11"/>
  <c r="N56" i="11" s="1"/>
  <c r="M39" i="11"/>
  <c r="N39" i="11" s="1"/>
  <c r="M33" i="11"/>
  <c r="N33" i="11" s="1"/>
  <c r="M89" i="11"/>
  <c r="N89" i="11" s="1"/>
  <c r="M36" i="11"/>
  <c r="N36" i="11" s="1"/>
  <c r="M16" i="11"/>
  <c r="N16" i="11" s="1"/>
  <c r="M104" i="11"/>
  <c r="N104" i="11" s="1"/>
  <c r="M26" i="11"/>
  <c r="N26" i="11" s="1"/>
  <c r="M22" i="11"/>
  <c r="N22" i="11" s="1"/>
  <c r="M44" i="11"/>
  <c r="N44" i="11" s="1"/>
  <c r="M63" i="11"/>
  <c r="N63" i="11" s="1"/>
  <c r="M78" i="11"/>
  <c r="N78" i="11" s="1"/>
  <c r="M48" i="11"/>
  <c r="N48" i="11" s="1"/>
  <c r="M66" i="11"/>
  <c r="N66" i="11" s="1"/>
  <c r="M21" i="11"/>
  <c r="N21" i="11" s="1"/>
  <c r="M41" i="11"/>
  <c r="N41" i="11" s="1"/>
  <c r="M17" i="11"/>
  <c r="N17" i="11" s="1"/>
  <c r="M25" i="11"/>
  <c r="N25" i="11" s="1"/>
  <c r="M105" i="11"/>
  <c r="N105" i="11" s="1"/>
  <c r="M47" i="11"/>
  <c r="N47" i="11" s="1"/>
  <c r="M85" i="11"/>
  <c r="N85" i="11" s="1"/>
  <c r="M76" i="11"/>
  <c r="N76" i="11" s="1"/>
  <c r="M102" i="11"/>
  <c r="N102" i="11" s="1"/>
  <c r="M83" i="11"/>
  <c r="N83" i="11" s="1"/>
  <c r="M50" i="11"/>
  <c r="N50" i="11" s="1"/>
  <c r="M77" i="11"/>
  <c r="N77" i="11" s="1"/>
  <c r="M75" i="11"/>
  <c r="N75" i="11" s="1"/>
  <c r="M24" i="11"/>
  <c r="N24" i="11" s="1"/>
  <c r="M70" i="11"/>
  <c r="N70" i="11" s="1"/>
  <c r="M43" i="11"/>
  <c r="N43" i="11" s="1"/>
  <c r="M49" i="11"/>
  <c r="N49" i="11" s="1"/>
  <c r="M69" i="11"/>
  <c r="N69" i="11" s="1"/>
  <c r="M92" i="11"/>
  <c r="N92" i="11" s="1"/>
  <c r="M38" i="11"/>
  <c r="N38" i="11" s="1"/>
  <c r="M23" i="11"/>
  <c r="N23" i="11" s="1"/>
  <c r="M81" i="11"/>
  <c r="N81" i="11" s="1"/>
  <c r="M57" i="11"/>
  <c r="N57" i="11" s="1"/>
  <c r="M9" i="11"/>
  <c r="N9" i="11" s="1"/>
  <c r="M94" i="11"/>
  <c r="N94" i="11" s="1"/>
  <c r="M108" i="11"/>
  <c r="N108" i="11" s="1"/>
  <c r="M27" i="11"/>
  <c r="N27" i="11" s="1"/>
  <c r="M96" i="11"/>
  <c r="N96" i="11" s="1"/>
  <c r="M98" i="11"/>
  <c r="N98" i="11" s="1"/>
  <c r="M87" i="11"/>
  <c r="N87" i="11" s="1"/>
  <c r="M109" i="11"/>
  <c r="N109" i="11" s="1"/>
  <c r="M45" i="11"/>
  <c r="N45" i="11" s="1"/>
  <c r="F59" i="11"/>
  <c r="G59" i="11" s="1"/>
  <c r="F85" i="11"/>
  <c r="G85" i="11" s="1"/>
  <c r="F90" i="11"/>
  <c r="G90" i="11" s="1"/>
  <c r="F14" i="11"/>
  <c r="G14" i="11" s="1"/>
  <c r="F26" i="11"/>
  <c r="G26" i="11" s="1"/>
  <c r="F67" i="11"/>
  <c r="G67" i="11" s="1"/>
  <c r="F57" i="11"/>
  <c r="G57" i="11" s="1"/>
  <c r="F64" i="11"/>
  <c r="G64" i="11" s="1"/>
  <c r="F81" i="11"/>
  <c r="G81" i="11" s="1"/>
  <c r="F83" i="11"/>
  <c r="G83" i="11" s="1"/>
  <c r="F105" i="11"/>
  <c r="G105" i="11" s="1"/>
  <c r="F80" i="11"/>
  <c r="G80" i="11" s="1"/>
  <c r="F40" i="11"/>
  <c r="G40" i="11" s="1"/>
  <c r="F73" i="11"/>
  <c r="G73" i="11" s="1"/>
  <c r="F108" i="11"/>
  <c r="G108" i="11" s="1"/>
  <c r="F69" i="11"/>
  <c r="G69" i="11" s="1"/>
  <c r="F75" i="11"/>
  <c r="G75" i="11" s="1"/>
  <c r="F32" i="11"/>
  <c r="G32" i="11" s="1"/>
  <c r="F37" i="11"/>
  <c r="G37" i="11" s="1"/>
  <c r="F11" i="11"/>
  <c r="G11" i="11" s="1"/>
  <c r="F89" i="11"/>
  <c r="G89" i="11" s="1"/>
  <c r="F103" i="11"/>
  <c r="G103" i="11" s="1"/>
  <c r="F42" i="11"/>
  <c r="G42" i="11" s="1"/>
  <c r="F104" i="11"/>
  <c r="G104" i="11" s="1"/>
  <c r="F107" i="11"/>
  <c r="G107" i="11" s="1"/>
  <c r="F47" i="11"/>
  <c r="G47" i="11" s="1"/>
  <c r="F19" i="11"/>
  <c r="G19" i="11" s="1"/>
  <c r="F12" i="11"/>
  <c r="G12" i="11" s="1"/>
  <c r="F52" i="11"/>
  <c r="G52" i="11" s="1"/>
  <c r="F82" i="11"/>
  <c r="G82" i="11" s="1"/>
  <c r="F28" i="11"/>
  <c r="G28" i="11" s="1"/>
  <c r="F51" i="11"/>
  <c r="G51" i="11" s="1"/>
  <c r="F44" i="11"/>
  <c r="G44" i="11" s="1"/>
  <c r="F84" i="11"/>
  <c r="G84" i="11" s="1"/>
  <c r="F35" i="11"/>
  <c r="G35" i="11" s="1"/>
  <c r="F95" i="11"/>
  <c r="G95" i="11" s="1"/>
  <c r="F74" i="11"/>
  <c r="G74" i="11" s="1"/>
  <c r="F54" i="11"/>
  <c r="G54" i="11" s="1"/>
  <c r="F16" i="11"/>
  <c r="G16" i="11" s="1"/>
  <c r="F31" i="11"/>
  <c r="G31" i="11" s="1"/>
  <c r="F49" i="11"/>
  <c r="G49" i="11" s="1"/>
  <c r="F94" i="11"/>
  <c r="G94" i="11" s="1"/>
  <c r="F55" i="11"/>
  <c r="G55" i="11" s="1"/>
  <c r="F39" i="11"/>
  <c r="G39" i="11" s="1"/>
  <c r="F24" i="11"/>
  <c r="G24" i="11" s="1"/>
  <c r="F76" i="11"/>
  <c r="G76" i="11" s="1"/>
  <c r="F18" i="11"/>
  <c r="G18" i="11" s="1"/>
  <c r="F93" i="11"/>
  <c r="G93" i="11" s="1"/>
  <c r="F86" i="11"/>
  <c r="G86" i="11" s="1"/>
  <c r="F53" i="11"/>
  <c r="G53" i="11" s="1"/>
  <c r="F92" i="11"/>
  <c r="G92" i="11" s="1"/>
  <c r="F66" i="11"/>
  <c r="G66" i="11" s="1"/>
  <c r="F109" i="11"/>
  <c r="G109" i="11" s="1"/>
  <c r="F60" i="11"/>
  <c r="G60" i="11" s="1"/>
  <c r="F25" i="11"/>
  <c r="G25" i="11" s="1"/>
  <c r="F33" i="11"/>
  <c r="G33" i="11" s="1"/>
  <c r="F70" i="11"/>
  <c r="G70" i="11" s="1"/>
  <c r="F96" i="11"/>
  <c r="G96" i="11" s="1"/>
  <c r="F27" i="11"/>
  <c r="G27" i="11" s="1"/>
  <c r="F65" i="11"/>
  <c r="G65" i="11" s="1"/>
  <c r="F15" i="11"/>
  <c r="G15" i="11" s="1"/>
  <c r="F34" i="11"/>
  <c r="G34" i="11" s="1"/>
  <c r="F20" i="11"/>
  <c r="G20" i="11" s="1"/>
  <c r="F9" i="11"/>
  <c r="G9" i="11" s="1"/>
  <c r="F22" i="11"/>
  <c r="G22" i="11" s="1"/>
  <c r="F23" i="11"/>
  <c r="G23" i="11" s="1"/>
  <c r="F48" i="11"/>
  <c r="G48" i="11" s="1"/>
  <c r="F78" i="11"/>
  <c r="G78" i="11" s="1"/>
  <c r="F41" i="11"/>
  <c r="G41" i="11" s="1"/>
  <c r="F63" i="11"/>
  <c r="G63" i="11" s="1"/>
  <c r="F97" i="11"/>
  <c r="G97" i="11" s="1"/>
  <c r="F50" i="11"/>
  <c r="G50" i="11" s="1"/>
  <c r="F58" i="11"/>
  <c r="G58" i="11" s="1"/>
  <c r="F38" i="11"/>
  <c r="G38" i="11" s="1"/>
  <c r="F72" i="11"/>
  <c r="G72" i="11" s="1"/>
  <c r="F30" i="11"/>
  <c r="G30" i="11" s="1"/>
  <c r="F101" i="11"/>
  <c r="G101" i="11" s="1"/>
  <c r="F99" i="11"/>
  <c r="G99" i="11" s="1"/>
  <c r="F46" i="11"/>
  <c r="G46" i="11" s="1"/>
  <c r="F100" i="11"/>
  <c r="G100" i="11" s="1"/>
  <c r="F71" i="11"/>
  <c r="G71" i="11" s="1"/>
  <c r="F91" i="11"/>
  <c r="G91" i="11" s="1"/>
  <c r="F79" i="11"/>
  <c r="G79" i="11" s="1"/>
  <c r="F102" i="11"/>
  <c r="G102" i="11" s="1"/>
  <c r="F87" i="11"/>
  <c r="G87" i="11" s="1"/>
  <c r="F36" i="11"/>
  <c r="G36" i="11" s="1"/>
  <c r="F17" i="11"/>
  <c r="G17" i="11" s="1"/>
  <c r="F56" i="11"/>
  <c r="G56" i="11" s="1"/>
  <c r="F106" i="11"/>
  <c r="G106" i="11" s="1"/>
  <c r="F21" i="11"/>
  <c r="G21" i="11" s="1"/>
  <c r="F45" i="11"/>
  <c r="G45" i="11" s="1"/>
  <c r="F61" i="11"/>
  <c r="G61" i="11" s="1"/>
  <c r="F10" i="11"/>
  <c r="G10" i="11" s="1"/>
  <c r="F98" i="11"/>
  <c r="G98" i="11" s="1"/>
  <c r="F13" i="11"/>
  <c r="G13" i="11" s="1"/>
  <c r="F68" i="11"/>
  <c r="G68" i="11" s="1"/>
  <c r="F43" i="11"/>
  <c r="G43" i="11" s="1"/>
  <c r="F62" i="11"/>
  <c r="G62" i="11" s="1"/>
  <c r="F29" i="11"/>
  <c r="G29" i="11" s="1"/>
  <c r="F88" i="11"/>
  <c r="G88" i="11" s="1"/>
  <c r="F77" i="11"/>
  <c r="G77" i="11" s="1"/>
  <c r="O104" i="11"/>
  <c r="O43" i="11"/>
  <c r="O84" i="11"/>
  <c r="O12" i="11"/>
  <c r="O77" i="11"/>
  <c r="O97" i="11"/>
  <c r="O36" i="11"/>
  <c r="O24" i="11"/>
  <c r="O57" i="11"/>
  <c r="O15" i="11"/>
  <c r="O82" i="11"/>
  <c r="O53" i="11"/>
  <c r="O10" i="11"/>
  <c r="O72" i="11"/>
  <c r="O48" i="11"/>
  <c r="O47" i="11"/>
  <c r="O94" i="11"/>
  <c r="O46" i="11"/>
  <c r="O86" i="11"/>
  <c r="O63" i="11"/>
  <c r="O54" i="11"/>
  <c r="O31" i="11"/>
  <c r="O45" i="11"/>
  <c r="O23" i="11"/>
  <c r="O39" i="11"/>
  <c r="O85" i="11"/>
  <c r="O69" i="11"/>
  <c r="O35" i="11"/>
  <c r="O42" i="11"/>
  <c r="O108" i="11"/>
  <c r="O93" i="11"/>
  <c r="O9" i="11"/>
  <c r="O107" i="11"/>
  <c r="O13" i="11"/>
  <c r="O67" i="11"/>
  <c r="O81" i="11"/>
  <c r="O18" i="11"/>
  <c r="O41" i="11"/>
  <c r="O52" i="11"/>
  <c r="O33" i="11"/>
  <c r="O73" i="11"/>
  <c r="O62" i="11"/>
  <c r="O65" i="11"/>
  <c r="O32" i="11"/>
  <c r="O51" i="11"/>
  <c r="O14" i="11"/>
  <c r="O101" i="11"/>
  <c r="O16" i="11"/>
  <c r="O30" i="11"/>
  <c r="O11" i="11"/>
  <c r="O17" i="11"/>
  <c r="O34" i="11"/>
  <c r="O100" i="11"/>
  <c r="O98" i="11"/>
  <c r="O88" i="11"/>
  <c r="O70" i="11"/>
  <c r="O22" i="11"/>
  <c r="O90" i="11"/>
  <c r="O50" i="11"/>
  <c r="O66" i="11"/>
  <c r="O89" i="11"/>
  <c r="O44" i="11"/>
  <c r="O96" i="11"/>
  <c r="O103" i="11"/>
  <c r="O27" i="11"/>
  <c r="O56" i="11"/>
  <c r="O76" i="11"/>
  <c r="O25" i="11"/>
  <c r="O61" i="11"/>
  <c r="O91" i="11"/>
  <c r="O95" i="11"/>
  <c r="O83" i="11"/>
  <c r="O49" i="11"/>
  <c r="O58" i="11"/>
  <c r="O105" i="11"/>
  <c r="O38" i="11"/>
  <c r="O19" i="11"/>
  <c r="O21" i="11"/>
  <c r="O92" i="11"/>
  <c r="O59" i="11"/>
  <c r="O99" i="11"/>
  <c r="O106" i="11"/>
  <c r="O26" i="11"/>
  <c r="O28" i="11"/>
  <c r="O68" i="11"/>
  <c r="O78" i="11"/>
  <c r="O79" i="11"/>
  <c r="O60" i="11"/>
  <c r="O29" i="11"/>
  <c r="O40" i="11"/>
  <c r="O20" i="11"/>
  <c r="O75" i="11"/>
  <c r="O102" i="11"/>
  <c r="O74" i="11"/>
  <c r="O109" i="11"/>
  <c r="O37" i="11"/>
  <c r="O80" i="11"/>
  <c r="O64" i="11"/>
  <c r="O71" i="11"/>
  <c r="O55" i="11"/>
  <c r="O87" i="11"/>
  <c r="N5" i="7" l="1"/>
  <c r="N4" i="7"/>
  <c r="M4" i="7" s="1"/>
  <c r="N13" i="7"/>
  <c r="N12" i="7"/>
  <c r="P9" i="7"/>
  <c r="O9" i="7" s="1"/>
  <c r="N9" i="7" s="1"/>
  <c r="M9" i="7" s="1"/>
  <c r="L9" i="7" s="1"/>
  <c r="P8" i="7"/>
  <c r="Q17" i="11"/>
  <c r="Q97" i="11"/>
  <c r="Q25" i="11"/>
  <c r="Q55" i="11"/>
  <c r="Q16" i="11"/>
  <c r="Q35" i="11"/>
  <c r="Q28" i="11"/>
  <c r="Q19" i="11"/>
  <c r="Q42" i="11"/>
  <c r="Q37" i="11"/>
  <c r="Q108" i="11"/>
  <c r="Q105" i="11"/>
  <c r="Q57" i="11"/>
  <c r="Q90" i="11"/>
  <c r="Q13" i="11"/>
  <c r="Q46" i="11"/>
  <c r="Q20" i="11"/>
  <c r="Q18" i="11"/>
  <c r="Q62" i="11"/>
  <c r="Q98" i="11"/>
  <c r="Q21" i="11"/>
  <c r="Q36" i="11"/>
  <c r="Q91" i="11"/>
  <c r="Q99" i="11"/>
  <c r="Q38" i="11"/>
  <c r="Q63" i="11"/>
  <c r="Q23" i="11"/>
  <c r="Q34" i="11"/>
  <c r="Q96" i="11"/>
  <c r="Q60" i="11"/>
  <c r="Q53" i="11"/>
  <c r="Q76" i="11"/>
  <c r="Q94" i="11"/>
  <c r="Q54" i="11"/>
  <c r="Q84" i="11"/>
  <c r="Q82" i="11"/>
  <c r="Q47" i="11"/>
  <c r="Q103" i="11"/>
  <c r="Q32" i="11"/>
  <c r="Q73" i="11"/>
  <c r="Q83" i="11"/>
  <c r="Q67" i="11"/>
  <c r="Q85" i="11"/>
  <c r="Q45" i="11"/>
  <c r="Q72" i="11"/>
  <c r="Q27" i="11"/>
  <c r="Q77" i="11"/>
  <c r="Q43" i="11"/>
  <c r="Q10" i="11"/>
  <c r="Q106" i="11"/>
  <c r="Q87" i="11"/>
  <c r="Q71" i="11"/>
  <c r="Q101" i="11"/>
  <c r="Q58" i="11"/>
  <c r="Q41" i="11"/>
  <c r="Q22" i="11"/>
  <c r="Q15" i="11"/>
  <c r="Q70" i="11"/>
  <c r="Q109" i="11"/>
  <c r="Q86" i="11"/>
  <c r="Q24" i="11"/>
  <c r="Q49" i="11"/>
  <c r="Q74" i="11"/>
  <c r="Q44" i="11"/>
  <c r="Q52" i="11"/>
  <c r="Q107" i="11"/>
  <c r="Q89" i="11"/>
  <c r="Q75" i="11"/>
  <c r="Q40" i="11"/>
  <c r="Q81" i="11"/>
  <c r="Q26" i="11"/>
  <c r="Q59" i="11"/>
  <c r="Q29" i="11"/>
  <c r="Q79" i="11"/>
  <c r="Q48" i="11"/>
  <c r="Q92" i="11"/>
  <c r="Q88" i="11"/>
  <c r="Q68" i="11"/>
  <c r="Q61" i="11"/>
  <c r="Q56" i="11"/>
  <c r="Q102" i="11"/>
  <c r="Q100" i="11"/>
  <c r="Q30" i="11"/>
  <c r="Q50" i="11"/>
  <c r="Q78" i="11"/>
  <c r="Q9" i="11"/>
  <c r="Q65" i="11"/>
  <c r="Q33" i="11"/>
  <c r="Q66" i="11"/>
  <c r="Q93" i="11"/>
  <c r="Q39" i="11"/>
  <c r="Q31" i="11"/>
  <c r="Q95" i="11"/>
  <c r="Q51" i="11"/>
  <c r="Q12" i="11"/>
  <c r="Q104" i="11"/>
  <c r="Q11" i="11"/>
  <c r="Q69" i="11"/>
  <c r="Q80" i="11"/>
  <c r="Q64" i="11"/>
  <c r="Q14" i="11"/>
  <c r="O8" i="7" l="1"/>
  <c r="N8" i="7" s="1"/>
  <c r="M8" i="7" s="1"/>
  <c r="L8" i="7" s="1"/>
  <c r="K8" i="7" s="1"/>
  <c r="O7" i="7"/>
  <c r="M12" i="7"/>
  <c r="M11" i="7"/>
  <c r="L11" i="7" l="1"/>
  <c r="L10" i="7"/>
  <c r="N7" i="7"/>
  <c r="M7" i="7" s="1"/>
  <c r="L7" i="7" s="1"/>
  <c r="K7" i="7" s="1"/>
  <c r="J7" i="7" s="1"/>
  <c r="N6" i="7"/>
  <c r="M6" i="7" l="1"/>
  <c r="L6" i="7" s="1"/>
  <c r="K6" i="7" s="1"/>
  <c r="J6" i="7" s="1"/>
  <c r="I6" i="7" s="1"/>
  <c r="M5" i="7"/>
  <c r="K10" i="7"/>
  <c r="K9" i="7"/>
  <c r="J9" i="7" l="1"/>
  <c r="J8" i="7"/>
  <c r="L5" i="7"/>
  <c r="K5" i="7" s="1"/>
  <c r="J5" i="7" s="1"/>
  <c r="I5" i="7" s="1"/>
  <c r="H5" i="7" s="1"/>
  <c r="L4" i="7"/>
  <c r="K4" i="7" s="1"/>
  <c r="J4" i="7" s="1"/>
  <c r="I4" i="7" s="1"/>
  <c r="H4" i="7" s="1"/>
  <c r="G4" i="7" s="1"/>
  <c r="I8" i="7" l="1"/>
  <c r="I7" i="7"/>
  <c r="H7" i="7" l="1"/>
  <c r="H6" i="7"/>
  <c r="G6" i="7" l="1"/>
  <c r="G5" i="7"/>
  <c r="F5" i="7" l="1"/>
  <c r="F4" i="7"/>
  <c r="E4" i="7" s="1"/>
</calcChain>
</file>

<file path=xl/sharedStrings.xml><?xml version="1.0" encoding="utf-8"?>
<sst xmlns="http://schemas.openxmlformats.org/spreadsheetml/2006/main" count="445" uniqueCount="313">
  <si>
    <t>Stock</t>
  </si>
  <si>
    <t>Forex</t>
  </si>
  <si>
    <t>Futures</t>
  </si>
  <si>
    <t>Start and End</t>
  </si>
  <si>
    <t>Number of Days</t>
  </si>
  <si>
    <t>Percent of Year</t>
  </si>
  <si>
    <t>American</t>
  </si>
  <si>
    <t>European</t>
  </si>
  <si>
    <t>Call</t>
  </si>
  <si>
    <t>Put</t>
  </si>
  <si>
    <t>DaysPerYear</t>
  </si>
  <si>
    <t>ThetaSign</t>
  </si>
  <si>
    <t>ThetaPeriods</t>
  </si>
  <si>
    <t>RoundDigits</t>
  </si>
  <si>
    <t>Model</t>
  </si>
  <si>
    <t>Steps</t>
  </si>
  <si>
    <t>Volatility</t>
  </si>
  <si>
    <t>Call / Put</t>
  </si>
  <si>
    <t>Paths</t>
  </si>
  <si>
    <t>Probability</t>
  </si>
  <si>
    <t>RN Probability</t>
  </si>
  <si>
    <t>Option Price Tree</t>
  </si>
  <si>
    <t>Underlying Price Tree</t>
  </si>
  <si>
    <t>Cox-Ross-Rubinstein</t>
  </si>
  <si>
    <t>Jarrow-Rudd</t>
  </si>
  <si>
    <t>Leisen-Reimer</t>
  </si>
  <si>
    <t>Option Price</t>
  </si>
  <si>
    <t>Delta</t>
  </si>
  <si>
    <t>Gamma</t>
  </si>
  <si>
    <t>Theta</t>
  </si>
  <si>
    <t>Vega</t>
  </si>
  <si>
    <t>Rho</t>
  </si>
  <si>
    <t>Continuous Yield</t>
  </si>
  <si>
    <t>Discrete Amount</t>
  </si>
  <si>
    <t>Step</t>
  </si>
  <si>
    <t>Time</t>
  </si>
  <si>
    <t>DeltaFromTree</t>
  </si>
  <si>
    <t>GammaFromTree</t>
  </si>
  <si>
    <t>ThetaFromTree</t>
  </si>
  <si>
    <t>Binomial Option Pricing Calculator</t>
  </si>
  <si>
    <t>Strike</t>
  </si>
  <si>
    <t>Chart Lines</t>
  </si>
  <si>
    <t>X-Axis</t>
  </si>
  <si>
    <t>Y-Axis</t>
  </si>
  <si>
    <t>Blue</t>
  </si>
  <si>
    <t>Green</t>
  </si>
  <si>
    <t>Red</t>
  </si>
  <si>
    <t>Chart Mode</t>
  </si>
  <si>
    <t>Single Line</t>
  </si>
  <si>
    <t>Scenario Analysis</t>
  </si>
  <si>
    <t>ID</t>
  </si>
  <si>
    <t>UndPrice</t>
  </si>
  <si>
    <t>Vol</t>
  </si>
  <si>
    <t>Yield</t>
  </si>
  <si>
    <t>IntRate</t>
  </si>
  <si>
    <t>X</t>
  </si>
  <si>
    <t>Y1</t>
  </si>
  <si>
    <t>Y2</t>
  </si>
  <si>
    <t>Y3</t>
  </si>
  <si>
    <t>Min</t>
  </si>
  <si>
    <t>Incr</t>
  </si>
  <si>
    <t>Max</t>
  </si>
  <si>
    <t>Override</t>
  </si>
  <si>
    <t>Output</t>
  </si>
  <si>
    <t>DivAmount</t>
  </si>
  <si>
    <t>ValDateTime</t>
  </si>
  <si>
    <t>ExpDateTime</t>
  </si>
  <si>
    <t>ExDivDateTime</t>
  </si>
  <si>
    <t>TimeDays</t>
  </si>
  <si>
    <t>ExDivDays</t>
  </si>
  <si>
    <t>Days to Ex Div</t>
  </si>
  <si>
    <t>%Year to Ex Div</t>
  </si>
  <si>
    <t>Step as % of Year</t>
  </si>
  <si>
    <t>Vol*SQRT(Time)</t>
  </si>
  <si>
    <t>Vol*SQRT(Step)</t>
  </si>
  <si>
    <t>Step Discount Factor</t>
  </si>
  <si>
    <t>Step Cost of Carry</t>
  </si>
  <si>
    <t>Up Move</t>
  </si>
  <si>
    <t>Down Move</t>
  </si>
  <si>
    <t>Up Probability</t>
  </si>
  <si>
    <t>Down Probability</t>
  </si>
  <si>
    <t>Black-Scholes d1</t>
  </si>
  <si>
    <t>Black-Scholes d2</t>
  </si>
  <si>
    <t>LR p' = p(d1)</t>
  </si>
  <si>
    <t>DefaultDivAs</t>
  </si>
  <si>
    <t>Model Calculations</t>
  </si>
  <si>
    <t>Days to Expiration</t>
  </si>
  <si>
    <t>% Year to Expiration</t>
  </si>
  <si>
    <t>Dividend Amount</t>
  </si>
  <si>
    <t>Days to Ex Dividend</t>
  </si>
  <si>
    <t>% Year to Ex Dividend</t>
  </si>
  <si>
    <t>Underlying Type</t>
  </si>
  <si>
    <t>Valuation Date</t>
  </si>
  <si>
    <t>Valuation Time</t>
  </si>
  <si>
    <t>Expiration Date</t>
  </si>
  <si>
    <t>Expiration Time</t>
  </si>
  <si>
    <t>%Year to Expiration</t>
  </si>
  <si>
    <t>Time to Exp As</t>
  </si>
  <si>
    <t>Dividends As</t>
  </si>
  <si>
    <t>Ex Dividend Date</t>
  </si>
  <si>
    <t>Ex Dividend Time</t>
  </si>
  <si>
    <t>Ex Dividend Time As</t>
  </si>
  <si>
    <t>American/European</t>
  </si>
  <si>
    <t>Show</t>
  </si>
  <si>
    <t>ChartX13</t>
  </si>
  <si>
    <t>ChartLines13</t>
  </si>
  <si>
    <t>Time (Optional)</t>
  </si>
  <si>
    <t xml:space="preserve"> </t>
  </si>
  <si>
    <t>Mid</t>
  </si>
  <si>
    <t>Value</t>
  </si>
  <si>
    <t>Range</t>
  </si>
  <si>
    <t>Rounded Incr</t>
  </si>
  <si>
    <t>Rounded Min</t>
  </si>
  <si>
    <t>In Range</t>
  </si>
  <si>
    <t>Input13</t>
  </si>
  <si>
    <t>InputName</t>
  </si>
  <si>
    <t>Current</t>
  </si>
  <si>
    <t>Adjusted and Rounded</t>
  </si>
  <si>
    <t>Raw Incr</t>
  </si>
  <si>
    <t>Raw Min</t>
  </si>
  <si>
    <t>Key Points Range</t>
  </si>
  <si>
    <t>Key Min</t>
  </si>
  <si>
    <t>Key Max</t>
  </si>
  <si>
    <t>Key Mid</t>
  </si>
  <si>
    <t>Key Range</t>
  </si>
  <si>
    <t>LRAdjustSteps</t>
  </si>
  <si>
    <t>Use this number of X axis range width if key points range is 0 and key point value is 0</t>
  </si>
  <si>
    <t>Default X axis range will be approximately this multiple of key points range</t>
  </si>
  <si>
    <t>Default format of cells with values</t>
  </si>
  <si>
    <t>Default format of cells with formulas</t>
  </si>
  <si>
    <t>Default format of cells with labels for other cells</t>
  </si>
  <si>
    <t>Default format of hidden (inactive/unused) cells</t>
  </si>
  <si>
    <t>TRUE = Calculate delta directly from tree nodes, FALSE = Calculate delta by incrementing UndPrice input</t>
  </si>
  <si>
    <t>TRUE = Calculate gamma directly from tree nodes, FALSE = Calculate gamma by incrementing UndPrice input</t>
  </si>
  <si>
    <t>TRUE = Calculate theta directly from tree nodes if possible, FALSE = Calculate theta by incrementing time input</t>
  </si>
  <si>
    <t>Greeks Calculation Method</t>
  </si>
  <si>
    <t>% of TimePct</t>
  </si>
  <si>
    <t>% of Vol (not percentage points)</t>
  </si>
  <si>
    <t>% of IntRate (not percentage points)</t>
  </si>
  <si>
    <t>Theta sign: -1 for negative theta meaning decreasing time value with passing time; +1 for opposite</t>
  </si>
  <si>
    <t>Time and Theta Settings</t>
  </si>
  <si>
    <t>Number of days per year used to convert TimeDays to TimePct and vice-versa, should be 365</t>
  </si>
  <si>
    <t>Number of periods per year used for converting annualized theta to display theta, can be different from DaysPerYear, e.g. 252 for theta per calendar day or 52 for theta per week</t>
  </si>
  <si>
    <t>Rounding</t>
  </si>
  <si>
    <t>Default DivAs selection when Stock is selected as UndType: 1 for continuous dividend yield, 2 for discrete dividends</t>
  </si>
  <si>
    <t>Default Stock Dividends</t>
  </si>
  <si>
    <t>Preferences</t>
  </si>
  <si>
    <t>Greeks Calculation Input Increments</t>
  </si>
  <si>
    <t>Chart X Scale Settings</t>
  </si>
  <si>
    <t>Chart Series Names</t>
  </si>
  <si>
    <t>Formats</t>
  </si>
  <si>
    <t>Cell Font and Background Colors</t>
  </si>
  <si>
    <t>Series1Name</t>
  </si>
  <si>
    <t>Series2Name</t>
  </si>
  <si>
    <t>Series3Name</t>
  </si>
  <si>
    <t>NFDate</t>
  </si>
  <si>
    <t>NFTime</t>
  </si>
  <si>
    <t>NFDays</t>
  </si>
  <si>
    <t>NFPct</t>
  </si>
  <si>
    <t>NFVol</t>
  </si>
  <si>
    <t>NFRate</t>
  </si>
  <si>
    <t>NFPrice</t>
  </si>
  <si>
    <t>NFDivAmount</t>
  </si>
  <si>
    <t>NFDateTime</t>
  </si>
  <si>
    <t>Series</t>
  </si>
  <si>
    <t>Is Checked</t>
  </si>
  <si>
    <t>Series Input</t>
  </si>
  <si>
    <t>Show Series</t>
  </si>
  <si>
    <t>X Scale</t>
  </si>
  <si>
    <t>Changing these names does not affect the line colors actually used; change them directly in the chart (macros don't affect line design, only show or hide lines)</t>
  </si>
  <si>
    <t>Interest Rate</t>
  </si>
  <si>
    <t>Items</t>
  </si>
  <si>
    <t>ListChartX</t>
  </si>
  <si>
    <t>ListChartLines</t>
  </si>
  <si>
    <t>ChartX8</t>
  </si>
  <si>
    <t>ChartX</t>
  </si>
  <si>
    <t>ListUndType</t>
  </si>
  <si>
    <t>ListTimeAs</t>
  </si>
  <si>
    <t>ListAmEur</t>
  </si>
  <si>
    <t>ListCallPut</t>
  </si>
  <si>
    <t>ListModel</t>
  </si>
  <si>
    <t>ListDivAs</t>
  </si>
  <si>
    <t>ListExDivAs</t>
  </si>
  <si>
    <t>ListChartXAll</t>
  </si>
  <si>
    <t>ListChartY</t>
  </si>
  <si>
    <t>ListChartMode</t>
  </si>
  <si>
    <t>Lists</t>
  </si>
  <si>
    <t>SeriesInputLabel1</t>
  </si>
  <si>
    <t>SeriesInputLabel2</t>
  </si>
  <si>
    <t>Chart Data</t>
  </si>
  <si>
    <t>Ex Div Underlying Price Tree</t>
  </si>
  <si>
    <t>ChartXMinRange</t>
  </si>
  <si>
    <t>ChartXZeroRangeMult</t>
  </si>
  <si>
    <t>ChartXN</t>
  </si>
  <si>
    <t>VolSQRTStepMin</t>
  </si>
  <si>
    <t>If the combination of Vol, TimePct is too small and Steps too large, single step volatility is too small and trees can't be correctly generated</t>
  </si>
  <si>
    <t>Status Code</t>
  </si>
  <si>
    <t>Input Validation</t>
  </si>
  <si>
    <t>PriceMin</t>
  </si>
  <si>
    <t>To avoid inconsistencies, valuation functions will return #N/A if VolSQRTStep is smaller than this value</t>
  </si>
  <si>
    <t>BinOp</t>
  </si>
  <si>
    <t>UndType</t>
  </si>
  <si>
    <t>AmEur</t>
  </si>
  <si>
    <t>CallPut</t>
  </si>
  <si>
    <t>DivAs</t>
  </si>
  <si>
    <t>ExDivAs</t>
  </si>
  <si>
    <t>TimeAs</t>
  </si>
  <si>
    <t>&gt;=</t>
  </si>
  <si>
    <t>&lt;=</t>
  </si>
  <si>
    <t>Input Status</t>
  </si>
  <si>
    <t>Input ID</t>
  </si>
  <si>
    <t>Input Name</t>
  </si>
  <si>
    <t>Input Value</t>
  </si>
  <si>
    <t>Input Conditions</t>
  </si>
  <si>
    <t>Calculator Status</t>
  </si>
  <si>
    <t>Description</t>
  </si>
  <si>
    <t>Conditions</t>
  </si>
  <si>
    <t>Status ID</t>
  </si>
  <si>
    <t>Other Errors and Warnings</t>
  </si>
  <si>
    <t>Step volatility too small. Use higher volatility, longer time to expiration or fewer of steps.</t>
  </si>
  <si>
    <t>Time to Ex Dividend</t>
  </si>
  <si>
    <t>Time to Expiration</t>
  </si>
  <si>
    <t>PriceMax</t>
  </si>
  <si>
    <t>Constants</t>
  </si>
  <si>
    <t>StepsMin</t>
  </si>
  <si>
    <t>StepsMax</t>
  </si>
  <si>
    <t>ChartXRangeMult</t>
  </si>
  <si>
    <t>Number of increments in chart X axis (number of points is N+1, must match actual number of rows in ChartData)</t>
  </si>
  <si>
    <t>Maximum number of steps (must be &lt;= than actual number of columns and rows in tree sheets)</t>
  </si>
  <si>
    <t>IsExpired</t>
  </si>
  <si>
    <t>StatusCode</t>
  </si>
  <si>
    <t>StatusOK</t>
  </si>
  <si>
    <t>Dividend Yield must be &gt;= 0</t>
  </si>
  <si>
    <t>Format</t>
  </si>
  <si>
    <t>VolMax</t>
  </si>
  <si>
    <t>RateMin</t>
  </si>
  <si>
    <t>RateMax</t>
  </si>
  <si>
    <t>Maximum Vol allowed</t>
  </si>
  <si>
    <t>Maximum IntRate, Yield allowed</t>
  </si>
  <si>
    <t>Minimum UndPrice, Strike allowed</t>
  </si>
  <si>
    <t>Maximum UndPrice, Strike allowed</t>
  </si>
  <si>
    <t>VolMin</t>
  </si>
  <si>
    <t>Minimum Vol allowed</t>
  </si>
  <si>
    <t>Index</t>
  </si>
  <si>
    <t>Concat</t>
  </si>
  <si>
    <t xml:space="preserve"> years</t>
  </si>
  <si>
    <t>0.00%</t>
  </si>
  <si>
    <t>TimeMax</t>
  </si>
  <si>
    <t>Maximum time to expiration in years</t>
  </si>
  <si>
    <t>DivAmountMin</t>
  </si>
  <si>
    <t>Minimum DivAmount</t>
  </si>
  <si>
    <t>Errors IDs 901-989</t>
  </si>
  <si>
    <t>Warnings IDs 51-99</t>
  </si>
  <si>
    <t>Dividend Amount must be &lt; Stock Price.</t>
  </si>
  <si>
    <t>Chart X-Axis Number Formats</t>
  </si>
  <si>
    <t>Change number formats of these cells to change number formats of chart X axis labels</t>
  </si>
  <si>
    <t>Volatility (e.g. Vol)</t>
  </si>
  <si>
    <t>Date (ValDate, ExpDate, ExDivDate)</t>
  </si>
  <si>
    <t>Time (ValTime, ExpTime, ExDivTime)</t>
  </si>
  <si>
    <t>Number of days (TimeDays, ExDivDays)</t>
  </si>
  <si>
    <t>Time as percent of year (TimePct, ExDivPct)</t>
  </si>
  <si>
    <t>Interest rates and yields (IntRate, Yield)</t>
  </si>
  <si>
    <t>Prices (UndPrice, Strike)</t>
  </si>
  <si>
    <t>Dividend amount (DivAmount)</t>
  </si>
  <si>
    <t>Changing the constants with red background requires also changing structure of some sheets.</t>
  </si>
  <si>
    <t>Changing these may break or otherwise affect calculations.</t>
  </si>
  <si>
    <t>% of UndPrice; only applies when DeltaFromTree (in Preferences) is FALSE</t>
  </si>
  <si>
    <t>% of UndPrice; only applies when GammaFromTree (in Preferences) is FALSE</t>
  </si>
  <si>
    <t>Only font color and background color are affected; changing font style or size, or borders, has no effect</t>
  </si>
  <si>
    <t>These formats are applied when input cells are manipulated with a macro. They have no effect on cells which are never changed by macros.</t>
  </si>
  <si>
    <t>Model Steps Adjustment</t>
  </si>
  <si>
    <t>Change settings by changing the values in yellow cells. See notes on the right for explanation and hints.</t>
  </si>
  <si>
    <t>TRUE = Automatically adjust Steps by +1 when Leisen-Reimer model is selected with even number of steps (LR model may be inaccurate with even number of steps)</t>
  </si>
  <si>
    <t>Results are rounded to this number of digits after decimal point</t>
  </si>
  <si>
    <t>Minimum number of steps (at least 2 steps are needed to calculate gamma, theta from trees)</t>
  </si>
  <si>
    <t>VolSQRTStep = Vol * SQRT (TimePct / Steps)</t>
  </si>
  <si>
    <t>GIDelta</t>
  </si>
  <si>
    <t>GIGamma</t>
  </si>
  <si>
    <t>GITheta</t>
  </si>
  <si>
    <t>GIVega</t>
  </si>
  <si>
    <t>GIRho</t>
  </si>
  <si>
    <t>This sheet contains lists of dropdown box items, background calculations, input validation, constants and formats.</t>
  </si>
  <si>
    <t>Users should not change anything in this sheet. Doing so may break the calculator.</t>
  </si>
  <si>
    <t>Multiply key point value by this number to avoid zero width X axis range; does not apply to dates x-axis</t>
  </si>
  <si>
    <t>ChartX13IsDate</t>
  </si>
  <si>
    <t>Date and time; consider not including time as it is rarely needed and takes too much space</t>
  </si>
  <si>
    <t>ChartXMinRangeDate</t>
  </si>
  <si>
    <t>Alternative ChartXMinRange when ChartX13IsDate</t>
  </si>
  <si>
    <t>Terms of use apply:</t>
  </si>
  <si>
    <t>www.macroption.com/terms</t>
  </si>
  <si>
    <t>TimePct</t>
  </si>
  <si>
    <t>ExDivPct</t>
  </si>
  <si>
    <t>InputFormat0</t>
  </si>
  <si>
    <t>InputFormat1</t>
  </si>
  <si>
    <t>InputFormat2</t>
  </si>
  <si>
    <t>InputFormat3</t>
  </si>
  <si>
    <t>ChartLines13Fixed</t>
  </si>
  <si>
    <t>ChartX13Fixed</t>
  </si>
  <si>
    <t>Stock Price</t>
  </si>
  <si>
    <t>Dividend Yield</t>
  </si>
  <si>
    <t>ChartLinesFixed</t>
  </si>
  <si>
    <t>Format of inactive/unused cells label when it should remain visible</t>
  </si>
  <si>
    <t>InactiveVisible</t>
  </si>
  <si>
    <t>Change settings below by changing the cell format, not the values. Any values are just examples and have no effect.</t>
  </si>
  <si>
    <t>InputFormatInactive</t>
  </si>
  <si>
    <t>TRUE to show inactive inputs as InputFormatInactive, FALSE to hide them completely (InputFormat0)</t>
  </si>
  <si>
    <t>Number of increments between chart X axis labels</t>
  </si>
  <si>
    <t>ChartXLabelN</t>
  </si>
  <si>
    <t>Minimum IntRate, Yield allowed; negative Yield never allowed for UndType other than 3 (Forex)</t>
  </si>
  <si>
    <t>ChartXMinRangeDays</t>
  </si>
  <si>
    <t>Alternative ChartXMinRange when ChartX13IsDays</t>
  </si>
  <si>
    <t>ChartX13IsDays</t>
  </si>
  <si>
    <t>Version 2.1.2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</si>
</sst>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00%"/>
    <numFmt numFmtId="165" formatCode="#,##0.000000"/>
    <numFmt numFmtId="166" formatCode="0.00000000"/>
    <numFmt numFmtId="167" formatCode="[$-F400]h:mm:ss\ AM/PM"/>
    <numFmt numFmtId="168" formatCode="#,##0.0000"/>
    <numFmt numFmtId="169" formatCode="dmmm\'yy"/>
  </numFmts>
  <fonts count="18" x14ac:knownFonts="1">
    <font>
      <sz val="11"/>
      <color theme="1"/>
      <name val="Calibri"/>
      <family val="2"/>
      <scheme val="minor"/>
    </font>
    <font>
      <sz val="11"/>
      <color theme="1"/>
      <name val="Calibri"/>
      <family val="2"/>
      <scheme val="minor"/>
    </font>
    <font>
      <b/>
      <sz val="11"/>
      <color theme="1"/>
      <name val="Calibri"/>
      <family val="2"/>
      <scheme val="minor"/>
    </font>
    <font>
      <sz val="11"/>
      <color theme="1" tint="0.14999847407452621"/>
      <name val="Calibri"/>
      <family val="2"/>
      <scheme val="minor"/>
    </font>
    <font>
      <b/>
      <sz val="18"/>
      <color theme="1" tint="0.14999847407452621"/>
      <name val="Calibri"/>
      <family val="2"/>
      <charset val="238"/>
      <scheme val="minor"/>
    </font>
    <font>
      <sz val="11"/>
      <color theme="1" tint="0.14999847407452621"/>
      <name val="Calibri"/>
      <family val="2"/>
      <charset val="238"/>
      <scheme val="minor"/>
    </font>
    <font>
      <sz val="11"/>
      <name val="Calibri"/>
      <family val="2"/>
      <scheme val="minor"/>
    </font>
    <font>
      <sz val="11"/>
      <color rgb="FF000000"/>
      <name val="Calibri"/>
      <family val="2"/>
      <scheme val="minor"/>
    </font>
    <font>
      <sz val="11"/>
      <color rgb="FF000000"/>
      <name val="Calibri"/>
      <family val="2"/>
    </font>
    <font>
      <b/>
      <sz val="18"/>
      <color theme="1"/>
      <name val="Calibri"/>
      <family val="2"/>
      <scheme val="minor"/>
    </font>
    <font>
      <b/>
      <sz val="11"/>
      <name val="Calibri"/>
      <family val="2"/>
      <scheme val="minor"/>
    </font>
    <font>
      <b/>
      <sz val="11"/>
      <color rgb="FFC00000"/>
      <name val="Calibri"/>
      <family val="2"/>
      <scheme val="minor"/>
    </font>
    <font>
      <sz val="11"/>
      <color theme="0" tint="-0.499984740745262"/>
      <name val="Calibri"/>
      <family val="2"/>
      <scheme val="minor"/>
    </font>
    <font>
      <u/>
      <sz val="11"/>
      <color theme="10"/>
      <name val="Calibri"/>
      <family val="2"/>
      <scheme val="minor"/>
    </font>
    <font>
      <u/>
      <sz val="11"/>
      <color theme="0" tint="-0.499984740745262"/>
      <name val="Calibri"/>
      <family val="2"/>
      <scheme val="minor"/>
    </font>
    <font>
      <sz val="11"/>
      <color theme="0" tint="-0.34998626667073579"/>
      <name val="Calibri"/>
      <family val="2"/>
      <scheme val="minor"/>
    </font>
    <font>
      <sz val="11"/>
      <color theme="0" tint="-4.9989318521683403E-2"/>
      <name val="Calibri"/>
      <family val="2"/>
      <scheme val="minor"/>
    </font>
    <font>
      <sz val="11"/>
      <color rgb="FFF2F2F2"/>
      <name val="Calibri"/>
      <family val="2"/>
      <scheme val="minor"/>
    </font>
  </fonts>
  <fills count="16">
    <fill>
      <patternFill patternType="none"/>
    </fill>
    <fill>
      <patternFill patternType="gray125"/>
    </fill>
    <fill>
      <patternFill patternType="solid">
        <fgColor theme="0" tint="-4.9989318521683403E-2"/>
        <bgColor indexed="64"/>
      </patternFill>
    </fill>
    <fill>
      <patternFill patternType="solid">
        <fgColor theme="0" tint="-0.249977111117893"/>
        <bgColor indexed="64"/>
      </patternFill>
    </fill>
    <fill>
      <patternFill patternType="solid">
        <fgColor rgb="FFFFFF00"/>
        <bgColor indexed="64"/>
      </patternFill>
    </fill>
    <fill>
      <patternFill patternType="solid">
        <fgColor theme="0" tint="-0.14999847407452621"/>
        <bgColor indexed="64"/>
      </patternFill>
    </fill>
    <fill>
      <patternFill patternType="solid">
        <fgColor theme="4" tint="0.79998168889431442"/>
        <bgColor indexed="64"/>
      </patternFill>
    </fill>
    <fill>
      <gradientFill>
        <stop position="0">
          <color theme="0" tint="-0.1490218817712943"/>
        </stop>
        <stop position="1">
          <color theme="0" tint="-5.0965910824915313E-2"/>
        </stop>
      </gradientFill>
    </fill>
    <fill>
      <patternFill patternType="solid">
        <fgColor rgb="FFD9D9D9"/>
        <bgColor indexed="64"/>
      </patternFill>
    </fill>
    <fill>
      <patternFill patternType="solid">
        <fgColor rgb="FFF2F2F2"/>
        <bgColor indexed="64"/>
      </patternFill>
    </fill>
    <fill>
      <patternFill patternType="solid">
        <fgColor theme="8" tint="0.79998168889431442"/>
        <bgColor indexed="64"/>
      </patternFill>
    </fill>
    <fill>
      <patternFill patternType="solid">
        <fgColor theme="8" tint="0.59999389629810485"/>
        <bgColor indexed="64"/>
      </patternFill>
    </fill>
    <fill>
      <patternFill patternType="solid">
        <fgColor rgb="FF9FFF7F"/>
        <bgColor indexed="64"/>
      </patternFill>
    </fill>
    <fill>
      <patternFill patternType="solid">
        <fgColor theme="8" tint="0.39997558519241921"/>
        <bgColor indexed="64"/>
      </patternFill>
    </fill>
    <fill>
      <patternFill patternType="solid">
        <fgColor rgb="FFFFFF99"/>
        <bgColor indexed="64"/>
      </patternFill>
    </fill>
    <fill>
      <patternFill patternType="solid">
        <fgColor rgb="FFFFCC99"/>
        <bgColor indexed="64"/>
      </patternFill>
    </fill>
  </fills>
  <borders count="23">
    <border>
      <left/>
      <right/>
      <top/>
      <bottom/>
      <diagonal/>
    </border>
    <border>
      <left/>
      <right style="thin">
        <color theme="0" tint="-0.24994659260841701"/>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top style="thin">
        <color theme="0" tint="-0.34998626667073579"/>
      </top>
      <bottom style="thin">
        <color theme="0" tint="-0.34998626667073579"/>
      </bottom>
      <diagonal/>
    </border>
    <border>
      <left style="thin">
        <color theme="0" tint="-0.34998626667073579"/>
      </left>
      <right/>
      <top style="thin">
        <color theme="0" tint="-0.34998626667073579"/>
      </top>
      <bottom/>
      <diagonal/>
    </border>
    <border>
      <left/>
      <right/>
      <top/>
      <bottom style="thin">
        <color theme="0" tint="-0.34998626667073579"/>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top/>
      <bottom style="thin">
        <color theme="0" tint="-0.34998626667073579"/>
      </bottom>
      <diagonal/>
    </border>
    <border>
      <left/>
      <right style="thin">
        <color theme="0" tint="-0.34998626667073579"/>
      </right>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24994659260841701"/>
      </left>
      <right style="thin">
        <color theme="0" tint="-0.24994659260841701"/>
      </right>
      <top/>
      <bottom style="thin">
        <color theme="0" tint="-0.24994659260841701"/>
      </bottom>
      <diagonal/>
    </border>
    <border>
      <left style="thin">
        <color theme="0" tint="-0.34998626667073579"/>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right/>
      <top style="thin">
        <color theme="0" tint="-0.34998626667073579"/>
      </top>
      <bottom/>
      <diagonal/>
    </border>
    <border>
      <left/>
      <right style="thin">
        <color theme="0" tint="-0.34998626667073579"/>
      </right>
      <top style="thin">
        <color theme="0" tint="-0.34998626667073579"/>
      </top>
      <bottom/>
      <diagonal/>
    </border>
    <border>
      <left style="thin">
        <color theme="0" tint="-0.34998626667073579"/>
      </left>
      <right style="thin">
        <color theme="0" tint="-0.24994659260841701"/>
      </right>
      <top/>
      <bottom/>
      <diagonal/>
    </border>
    <border>
      <left/>
      <right style="thin">
        <color theme="0" tint="-0.24994659260841701"/>
      </right>
      <top style="thin">
        <color theme="0" tint="-0.34998626667073579"/>
      </top>
      <bottom style="thin">
        <color theme="0" tint="-0.34998626667073579"/>
      </bottom>
      <diagonal/>
    </border>
    <border>
      <left/>
      <right style="thin">
        <color theme="0" tint="-0.24994659260841701"/>
      </right>
      <top style="thin">
        <color theme="0" tint="-0.34998626667073579"/>
      </top>
      <bottom/>
      <diagonal/>
    </border>
    <border>
      <left/>
      <right style="thin">
        <color theme="0" tint="-0.24994659260841701"/>
      </right>
      <top/>
      <bottom style="thin">
        <color theme="0" tint="-0.34998626667073579"/>
      </bottom>
      <diagonal/>
    </border>
    <border>
      <left style="thin">
        <color theme="0" tint="-0.34998626667073579"/>
      </left>
      <right/>
      <top/>
      <bottom style="thin">
        <color theme="0" tint="-0.24994659260841701"/>
      </bottom>
      <diagonal/>
    </border>
    <border>
      <left/>
      <right/>
      <top/>
      <bottom style="thin">
        <color theme="0" tint="-0.24994659260841701"/>
      </bottom>
      <diagonal/>
    </border>
    <border>
      <left/>
      <right style="thin">
        <color theme="0" tint="-0.24994659260841701"/>
      </right>
      <top/>
      <bottom style="thin">
        <color theme="0" tint="-0.24994659260841701"/>
      </bottom>
      <diagonal/>
    </border>
  </borders>
  <cellStyleXfs count="3">
    <xf numFmtId="0" fontId="0" fillId="0" borderId="0"/>
    <xf numFmtId="9" fontId="1" fillId="0" borderId="0" applyFont="0" applyFill="0" applyBorder="0" applyAlignment="0" applyProtection="0"/>
    <xf numFmtId="0" fontId="13" fillId="0" borderId="0" applyNumberFormat="0" applyFill="0" applyBorder="0" applyAlignment="0" applyProtection="0"/>
  </cellStyleXfs>
  <cellXfs count="214">
    <xf numFmtId="0" fontId="0" fillId="0" borderId="0" xfId="0"/>
    <xf numFmtId="0" fontId="2" fillId="0" borderId="0" xfId="0" applyFont="1"/>
    <xf numFmtId="0" fontId="0" fillId="5" borderId="2" xfId="0" applyFill="1" applyBorder="1"/>
    <xf numFmtId="0" fontId="0" fillId="3" borderId="3" xfId="0" applyFill="1" applyBorder="1"/>
    <xf numFmtId="0" fontId="0" fillId="3" borderId="3" xfId="0" applyFill="1" applyBorder="1" applyAlignment="1">
      <alignment horizontal="center"/>
    </xf>
    <xf numFmtId="0" fontId="0" fillId="5" borderId="4" xfId="0" applyFill="1" applyBorder="1" applyAlignment="1">
      <alignment horizontal="right" indent="1"/>
    </xf>
    <xf numFmtId="0" fontId="0" fillId="5" borderId="6" xfId="0" applyFill="1" applyBorder="1" applyAlignment="1">
      <alignment horizontal="right" indent="1"/>
    </xf>
    <xf numFmtId="0" fontId="0" fillId="2" borderId="6" xfId="0" applyFill="1" applyBorder="1"/>
    <xf numFmtId="0" fontId="0" fillId="2" borderId="0" xfId="0" applyFill="1"/>
    <xf numFmtId="0" fontId="0" fillId="2" borderId="7" xfId="0" applyFill="1" applyBorder="1"/>
    <xf numFmtId="0" fontId="0" fillId="2" borderId="8" xfId="0" applyFill="1" applyBorder="1"/>
    <xf numFmtId="0" fontId="0" fillId="2" borderId="5" xfId="0" applyFill="1" applyBorder="1"/>
    <xf numFmtId="0" fontId="0" fillId="2" borderId="9" xfId="0" applyFill="1" applyBorder="1"/>
    <xf numFmtId="0" fontId="0" fillId="3" borderId="10" xfId="0" applyFill="1" applyBorder="1" applyAlignment="1">
      <alignment horizontal="center"/>
    </xf>
    <xf numFmtId="0" fontId="0" fillId="4" borderId="2" xfId="0" applyFill="1" applyBorder="1"/>
    <xf numFmtId="0" fontId="7" fillId="8" borderId="2" xfId="0" applyFont="1" applyFill="1" applyBorder="1"/>
    <xf numFmtId="0" fontId="0" fillId="3" borderId="10" xfId="0" applyFill="1" applyBorder="1"/>
    <xf numFmtId="0" fontId="0" fillId="10" borderId="0" xfId="0" applyFill="1"/>
    <xf numFmtId="0" fontId="0" fillId="11" borderId="0" xfId="0" applyFill="1"/>
    <xf numFmtId="0" fontId="0" fillId="6" borderId="3" xfId="0" applyFill="1" applyBorder="1"/>
    <xf numFmtId="0" fontId="0" fillId="3" borderId="3" xfId="0" applyFill="1" applyBorder="1" applyAlignment="1">
      <alignment horizontal="right"/>
    </xf>
    <xf numFmtId="0" fontId="0" fillId="3" borderId="13" xfId="0" applyFill="1" applyBorder="1" applyAlignment="1">
      <alignment horizontal="right"/>
    </xf>
    <xf numFmtId="0" fontId="0" fillId="11" borderId="3" xfId="0" applyFill="1" applyBorder="1"/>
    <xf numFmtId="0" fontId="0" fillId="3" borderId="13" xfId="0" applyFill="1" applyBorder="1" applyAlignment="1">
      <alignment horizontal="center"/>
    </xf>
    <xf numFmtId="0" fontId="0" fillId="6" borderId="13" xfId="0" applyFill="1" applyBorder="1"/>
    <xf numFmtId="0" fontId="7" fillId="8" borderId="11" xfId="0" applyFont="1" applyFill="1" applyBorder="1"/>
    <xf numFmtId="0" fontId="6" fillId="6" borderId="0" xfId="0" applyFont="1" applyFill="1"/>
    <xf numFmtId="0" fontId="6" fillId="0" borderId="0" xfId="0" applyFont="1"/>
    <xf numFmtId="0" fontId="6" fillId="5" borderId="0" xfId="0" applyFont="1" applyFill="1"/>
    <xf numFmtId="0" fontId="6" fillId="3" borderId="12" xfId="0" applyFont="1" applyFill="1" applyBorder="1" applyAlignment="1">
      <alignment horizontal="center"/>
    </xf>
    <xf numFmtId="0" fontId="6" fillId="3" borderId="3" xfId="0" applyFont="1" applyFill="1" applyBorder="1" applyAlignment="1">
      <alignment horizontal="center"/>
    </xf>
    <xf numFmtId="0" fontId="6" fillId="3" borderId="13" xfId="0" applyFont="1" applyFill="1" applyBorder="1" applyAlignment="1">
      <alignment horizontal="center"/>
    </xf>
    <xf numFmtId="0" fontId="6" fillId="5" borderId="4" xfId="0" applyFont="1" applyFill="1" applyBorder="1"/>
    <xf numFmtId="0" fontId="6" fillId="5" borderId="6" xfId="0" applyFont="1" applyFill="1" applyBorder="1"/>
    <xf numFmtId="0" fontId="6" fillId="5" borderId="8" xfId="0" applyFont="1" applyFill="1" applyBorder="1"/>
    <xf numFmtId="0" fontId="6" fillId="3" borderId="12" xfId="0" applyFont="1" applyFill="1" applyBorder="1"/>
    <xf numFmtId="0" fontId="10" fillId="3" borderId="3" xfId="0" applyFont="1" applyFill="1" applyBorder="1" applyAlignment="1">
      <alignment horizontal="center"/>
    </xf>
    <xf numFmtId="0" fontId="6" fillId="5" borderId="14" xfId="0" applyFont="1" applyFill="1" applyBorder="1"/>
    <xf numFmtId="0" fontId="6" fillId="5" borderId="15" xfId="0" applyFont="1" applyFill="1" applyBorder="1"/>
    <xf numFmtId="0" fontId="6" fillId="5" borderId="7" xfId="0" applyFont="1" applyFill="1" applyBorder="1"/>
    <xf numFmtId="0" fontId="6" fillId="5" borderId="5" xfId="0" applyFont="1" applyFill="1" applyBorder="1"/>
    <xf numFmtId="0" fontId="6" fillId="6" borderId="5" xfId="0" applyFont="1" applyFill="1" applyBorder="1"/>
    <xf numFmtId="0" fontId="10" fillId="3" borderId="3" xfId="0" applyFont="1" applyFill="1" applyBorder="1"/>
    <xf numFmtId="0" fontId="6" fillId="3" borderId="13" xfId="0" applyFont="1" applyFill="1" applyBorder="1"/>
    <xf numFmtId="0" fontId="6" fillId="5" borderId="9" xfId="0" applyFont="1" applyFill="1" applyBorder="1"/>
    <xf numFmtId="0" fontId="0" fillId="2" borderId="16" xfId="0" applyFill="1" applyBorder="1"/>
    <xf numFmtId="0" fontId="0" fillId="2" borderId="3" xfId="0" applyFill="1" applyBorder="1"/>
    <xf numFmtId="0" fontId="0" fillId="2" borderId="13" xfId="0" applyFill="1" applyBorder="1"/>
    <xf numFmtId="0" fontId="0" fillId="2" borderId="4" xfId="0" applyFill="1" applyBorder="1"/>
    <xf numFmtId="0" fontId="0" fillId="2" borderId="18" xfId="0" applyFill="1" applyBorder="1"/>
    <xf numFmtId="0" fontId="0" fillId="2" borderId="1" xfId="0" applyFill="1" applyBorder="1"/>
    <xf numFmtId="0" fontId="0" fillId="2" borderId="19" xfId="0" applyFill="1" applyBorder="1"/>
    <xf numFmtId="0" fontId="0" fillId="3" borderId="12" xfId="0" applyFill="1" applyBorder="1" applyAlignment="1">
      <alignment horizontal="center"/>
    </xf>
    <xf numFmtId="0" fontId="0" fillId="3" borderId="13" xfId="0" applyFill="1" applyBorder="1"/>
    <xf numFmtId="0" fontId="0" fillId="3" borderId="12" xfId="0" applyFill="1" applyBorder="1" applyAlignment="1">
      <alignment horizontal="left" vertical="top" wrapText="1"/>
    </xf>
    <xf numFmtId="0" fontId="0" fillId="3" borderId="12" xfId="0" applyFill="1" applyBorder="1" applyAlignment="1">
      <alignment horizontal="left" vertical="top"/>
    </xf>
    <xf numFmtId="0" fontId="0" fillId="3" borderId="5" xfId="0" applyFill="1" applyBorder="1"/>
    <xf numFmtId="0" fontId="0" fillId="3" borderId="12" xfId="0" applyFill="1" applyBorder="1" applyAlignment="1">
      <alignment horizontal="left"/>
    </xf>
    <xf numFmtId="0" fontId="0" fillId="3" borderId="12" xfId="0" applyFill="1" applyBorder="1"/>
    <xf numFmtId="0" fontId="0" fillId="5" borderId="12" xfId="0" applyFill="1" applyBorder="1"/>
    <xf numFmtId="0" fontId="0" fillId="3" borderId="4" xfId="0" applyFill="1" applyBorder="1"/>
    <xf numFmtId="0" fontId="0" fillId="3" borderId="14" xfId="0" applyFill="1" applyBorder="1"/>
    <xf numFmtId="0" fontId="0" fillId="3" borderId="15" xfId="0" applyFill="1" applyBorder="1"/>
    <xf numFmtId="0" fontId="0" fillId="3" borderId="8" xfId="0" applyFill="1" applyBorder="1"/>
    <xf numFmtId="0" fontId="0" fillId="3" borderId="9" xfId="0" applyFill="1" applyBorder="1"/>
    <xf numFmtId="0" fontId="5" fillId="5" borderId="3" xfId="0" applyFont="1" applyFill="1" applyBorder="1"/>
    <xf numFmtId="0" fontId="0" fillId="5" borderId="3" xfId="0" applyFill="1" applyBorder="1" applyAlignment="1">
      <alignment horizontal="center"/>
    </xf>
    <xf numFmtId="0" fontId="0" fillId="5" borderId="13" xfId="0" applyFill="1" applyBorder="1" applyAlignment="1">
      <alignment horizontal="center"/>
    </xf>
    <xf numFmtId="0" fontId="2" fillId="3" borderId="12" xfId="0" applyFont="1" applyFill="1" applyBorder="1" applyAlignment="1">
      <alignment horizontal="left"/>
    </xf>
    <xf numFmtId="0" fontId="0" fillId="0" borderId="14" xfId="0" applyBorder="1"/>
    <xf numFmtId="164" fontId="0" fillId="0" borderId="14" xfId="1" applyNumberFormat="1" applyFont="1" applyBorder="1"/>
    <xf numFmtId="164" fontId="0" fillId="0" borderId="0" xfId="1" applyNumberFormat="1" applyFont="1" applyBorder="1"/>
    <xf numFmtId="0" fontId="6" fillId="3" borderId="3" xfId="0" applyFont="1" applyFill="1" applyBorder="1"/>
    <xf numFmtId="0" fontId="11" fillId="2" borderId="0" xfId="0" applyFont="1" applyFill="1"/>
    <xf numFmtId="165" fontId="0" fillId="2" borderId="0" xfId="0" applyNumberFormat="1" applyFill="1"/>
    <xf numFmtId="0" fontId="0" fillId="5" borderId="3" xfId="0" applyFill="1" applyBorder="1"/>
    <xf numFmtId="0" fontId="0" fillId="5" borderId="4" xfId="0" applyFill="1" applyBorder="1"/>
    <xf numFmtId="0" fontId="0" fillId="5" borderId="6" xfId="0" applyFill="1" applyBorder="1"/>
    <xf numFmtId="0" fontId="0" fillId="5" borderId="8" xfId="0" applyFill="1" applyBorder="1"/>
    <xf numFmtId="0" fontId="6" fillId="2" borderId="5" xfId="0" applyFont="1" applyFill="1" applyBorder="1"/>
    <xf numFmtId="0" fontId="6" fillId="2" borderId="8" xfId="0" applyFont="1" applyFill="1" applyBorder="1"/>
    <xf numFmtId="0" fontId="6" fillId="2" borderId="9" xfId="0" applyFont="1" applyFill="1" applyBorder="1"/>
    <xf numFmtId="0" fontId="0" fillId="5" borderId="0" xfId="0" applyFill="1"/>
    <xf numFmtId="0" fontId="0" fillId="11" borderId="14" xfId="0" applyFill="1" applyBorder="1"/>
    <xf numFmtId="10" fontId="0" fillId="10" borderId="3" xfId="1" applyNumberFormat="1" applyFont="1" applyFill="1" applyBorder="1"/>
    <xf numFmtId="0" fontId="0" fillId="4" borderId="0" xfId="0" applyFill="1"/>
    <xf numFmtId="0" fontId="6" fillId="0" borderId="15" xfId="0" applyFont="1" applyBorder="1"/>
    <xf numFmtId="0" fontId="6" fillId="0" borderId="7" xfId="0" applyFont="1" applyBorder="1"/>
    <xf numFmtId="0" fontId="6" fillId="0" borderId="5" xfId="0" applyFont="1" applyBorder="1"/>
    <xf numFmtId="0" fontId="10" fillId="5" borderId="0" xfId="0" applyFont="1" applyFill="1"/>
    <xf numFmtId="0" fontId="2" fillId="5" borderId="0" xfId="0" applyFont="1" applyFill="1"/>
    <xf numFmtId="9" fontId="0" fillId="4" borderId="0" xfId="0" applyNumberFormat="1" applyFill="1"/>
    <xf numFmtId="0" fontId="0" fillId="5" borderId="14" xfId="0" applyFill="1" applyBorder="1"/>
    <xf numFmtId="0" fontId="6" fillId="5" borderId="14" xfId="0" applyFont="1" applyFill="1" applyBorder="1" applyAlignment="1">
      <alignment horizontal="center"/>
    </xf>
    <xf numFmtId="0" fontId="6" fillId="5" borderId="15" xfId="0" applyFont="1" applyFill="1" applyBorder="1" applyAlignment="1">
      <alignment horizontal="center"/>
    </xf>
    <xf numFmtId="0" fontId="6" fillId="5" borderId="0" xfId="0" applyFont="1" applyFill="1" applyAlignment="1">
      <alignment horizontal="center"/>
    </xf>
    <xf numFmtId="0" fontId="6" fillId="5" borderId="7" xfId="0" applyFont="1" applyFill="1" applyBorder="1" applyAlignment="1">
      <alignment horizontal="center"/>
    </xf>
    <xf numFmtId="0" fontId="0" fillId="5" borderId="5" xfId="0" applyFill="1" applyBorder="1"/>
    <xf numFmtId="0" fontId="0" fillId="2" borderId="20" xfId="0" applyFill="1" applyBorder="1"/>
    <xf numFmtId="0" fontId="0" fillId="2" borderId="21" xfId="0" applyFill="1" applyBorder="1"/>
    <xf numFmtId="0" fontId="0" fillId="2" borderId="22" xfId="0" applyFill="1" applyBorder="1"/>
    <xf numFmtId="0" fontId="6" fillId="0" borderId="14" xfId="0" applyFont="1" applyBorder="1"/>
    <xf numFmtId="10" fontId="0" fillId="4" borderId="0" xfId="0" applyNumberFormat="1" applyFill="1"/>
    <xf numFmtId="0" fontId="6" fillId="4" borderId="0" xfId="0" applyFont="1" applyFill="1"/>
    <xf numFmtId="14" fontId="0" fillId="4" borderId="0" xfId="0" applyNumberFormat="1" applyFill="1"/>
    <xf numFmtId="167" fontId="0" fillId="4" borderId="0" xfId="0" applyNumberFormat="1" applyFill="1"/>
    <xf numFmtId="0" fontId="11" fillId="0" borderId="0" xfId="0" applyFont="1"/>
    <xf numFmtId="0" fontId="0" fillId="4" borderId="0" xfId="1" applyNumberFormat="1" applyFont="1" applyFill="1" applyBorder="1"/>
    <xf numFmtId="0" fontId="6" fillId="3" borderId="5" xfId="0" applyFont="1" applyFill="1" applyBorder="1"/>
    <xf numFmtId="0" fontId="6" fillId="3" borderId="9" xfId="0" applyFont="1" applyFill="1" applyBorder="1"/>
    <xf numFmtId="0" fontId="6" fillId="3" borderId="4" xfId="0" applyFont="1" applyFill="1" applyBorder="1" applyAlignment="1">
      <alignment horizontal="left"/>
    </xf>
    <xf numFmtId="0" fontId="6" fillId="3" borderId="14" xfId="0" applyFont="1" applyFill="1" applyBorder="1"/>
    <xf numFmtId="0" fontId="6" fillId="3" borderId="15" xfId="0" applyFont="1" applyFill="1" applyBorder="1"/>
    <xf numFmtId="0" fontId="6" fillId="3" borderId="8" xfId="0" applyFont="1" applyFill="1" applyBorder="1" applyAlignment="1">
      <alignment horizontal="left"/>
    </xf>
    <xf numFmtId="169" fontId="0" fillId="4" borderId="0" xfId="0" applyNumberFormat="1" applyFill="1"/>
    <xf numFmtId="0" fontId="12" fillId="2" borderId="0" xfId="0" applyFont="1" applyFill="1"/>
    <xf numFmtId="0" fontId="14" fillId="2" borderId="0" xfId="2" applyFont="1" applyFill="1"/>
    <xf numFmtId="10" fontId="0" fillId="4" borderId="2" xfId="0" applyNumberFormat="1" applyFill="1" applyBorder="1" applyAlignment="1">
      <alignment horizontal="right"/>
    </xf>
    <xf numFmtId="0" fontId="0" fillId="4" borderId="2" xfId="0" applyFill="1" applyBorder="1" applyAlignment="1">
      <alignment horizontal="right"/>
    </xf>
    <xf numFmtId="10" fontId="7" fillId="4" borderId="2" xfId="0" applyNumberFormat="1" applyFont="1" applyFill="1" applyBorder="1" applyAlignment="1">
      <alignment horizontal="right"/>
    </xf>
    <xf numFmtId="0" fontId="6" fillId="3" borderId="0" xfId="0" applyFont="1" applyFill="1"/>
    <xf numFmtId="0" fontId="6" fillId="3" borderId="6" xfId="0" applyFont="1" applyFill="1" applyBorder="1" applyAlignment="1">
      <alignment horizontal="left"/>
    </xf>
    <xf numFmtId="0" fontId="6" fillId="3" borderId="7" xfId="0" applyFont="1" applyFill="1" applyBorder="1"/>
    <xf numFmtId="0" fontId="7" fillId="4" borderId="2" xfId="0" applyFont="1" applyFill="1" applyBorder="1" applyAlignment="1">
      <alignment horizontal="right"/>
    </xf>
    <xf numFmtId="0" fontId="15" fillId="2" borderId="0" xfId="0" applyFont="1" applyFill="1"/>
    <xf numFmtId="0" fontId="16" fillId="2" borderId="0" xfId="0" applyFont="1" applyFill="1"/>
    <xf numFmtId="0" fontId="17" fillId="9" borderId="2" xfId="0" applyFont="1" applyFill="1" applyBorder="1"/>
    <xf numFmtId="167" fontId="17" fillId="9" borderId="2" xfId="0" applyNumberFormat="1" applyFont="1" applyFill="1" applyBorder="1" applyAlignment="1">
      <alignment horizontal="right"/>
    </xf>
    <xf numFmtId="0" fontId="17" fillId="9" borderId="2" xfId="0" applyFont="1" applyFill="1" applyBorder="1" applyAlignment="1">
      <alignment horizontal="right"/>
    </xf>
    <xf numFmtId="10" fontId="17" fillId="9" borderId="2" xfId="0" applyNumberFormat="1" applyFont="1" applyFill="1" applyBorder="1" applyAlignment="1">
      <alignment horizontal="right"/>
    </xf>
    <xf numFmtId="0" fontId="17" fillId="9" borderId="2" xfId="0" applyFont="1" applyFill="1" applyBorder="1" applyAlignment="1">
      <alignment horizontal="left" indent="3"/>
    </xf>
    <xf numFmtId="166" fontId="0" fillId="12" borderId="2" xfId="0" applyNumberFormat="1" applyFill="1" applyBorder="1" applyAlignment="1">
      <alignment horizontal="right"/>
    </xf>
    <xf numFmtId="1" fontId="0" fillId="12" borderId="11" xfId="0" applyNumberFormat="1" applyFill="1" applyBorder="1" applyAlignment="1">
      <alignment horizontal="right"/>
    </xf>
    <xf numFmtId="10" fontId="0" fillId="12" borderId="11" xfId="1" applyNumberFormat="1" applyFont="1" applyFill="1" applyBorder="1" applyAlignment="1">
      <alignment horizontal="right"/>
    </xf>
    <xf numFmtId="166" fontId="0" fillId="12" borderId="2" xfId="0" quotePrefix="1" applyNumberFormat="1" applyFill="1" applyBorder="1" applyAlignment="1">
      <alignment horizontal="right"/>
    </xf>
    <xf numFmtId="1" fontId="0" fillId="12" borderId="2" xfId="0" applyNumberFormat="1" applyFill="1" applyBorder="1" applyAlignment="1">
      <alignment horizontal="right"/>
    </xf>
    <xf numFmtId="0" fontId="6" fillId="10" borderId="14" xfId="0" applyFont="1" applyFill="1" applyBorder="1"/>
    <xf numFmtId="0" fontId="6" fillId="10" borderId="0" xfId="0" applyFont="1" applyFill="1"/>
    <xf numFmtId="0" fontId="6" fillId="10" borderId="5" xfId="0" applyFont="1" applyFill="1" applyBorder="1"/>
    <xf numFmtId="0" fontId="6" fillId="11" borderId="0" xfId="0" applyFont="1" applyFill="1"/>
    <xf numFmtId="0" fontId="6" fillId="11" borderId="5" xfId="0" applyFont="1" applyFill="1" applyBorder="1"/>
    <xf numFmtId="0" fontId="6" fillId="11" borderId="14" xfId="0" applyFont="1" applyFill="1" applyBorder="1"/>
    <xf numFmtId="0" fontId="6" fillId="13" borderId="0" xfId="0" applyFont="1" applyFill="1"/>
    <xf numFmtId="0" fontId="6" fillId="13" borderId="5" xfId="0" applyFont="1" applyFill="1" applyBorder="1"/>
    <xf numFmtId="0" fontId="6" fillId="14" borderId="0" xfId="0" applyFont="1" applyFill="1"/>
    <xf numFmtId="0" fontId="6" fillId="14" borderId="15" xfId="0" applyFont="1" applyFill="1" applyBorder="1"/>
    <xf numFmtId="0" fontId="6" fillId="14" borderId="7" xfId="0" applyFont="1" applyFill="1" applyBorder="1"/>
    <xf numFmtId="0" fontId="6" fillId="14" borderId="9" xfId="0" applyFont="1" applyFill="1" applyBorder="1"/>
    <xf numFmtId="0" fontId="6" fillId="15" borderId="7" xfId="0" applyFont="1" applyFill="1" applyBorder="1"/>
    <xf numFmtId="0" fontId="6" fillId="12" borderId="14" xfId="0" applyFont="1" applyFill="1" applyBorder="1"/>
    <xf numFmtId="0" fontId="6" fillId="12" borderId="15" xfId="0" applyFont="1" applyFill="1" applyBorder="1"/>
    <xf numFmtId="0" fontId="6" fillId="12" borderId="0" xfId="0" applyFont="1" applyFill="1"/>
    <xf numFmtId="0" fontId="6" fillId="12" borderId="5" xfId="0" applyFont="1" applyFill="1" applyBorder="1"/>
    <xf numFmtId="0" fontId="6" fillId="13" borderId="14" xfId="0" applyFont="1" applyFill="1" applyBorder="1"/>
    <xf numFmtId="0" fontId="6" fillId="13" borderId="15" xfId="0" applyFont="1" applyFill="1" applyBorder="1"/>
    <xf numFmtId="0" fontId="6" fillId="13" borderId="7" xfId="0" applyFont="1" applyFill="1" applyBorder="1"/>
    <xf numFmtId="0" fontId="6" fillId="13" borderId="9" xfId="0" applyFont="1" applyFill="1" applyBorder="1"/>
    <xf numFmtId="0" fontId="6" fillId="11" borderId="5" xfId="0" applyFont="1" applyFill="1" applyBorder="1" applyAlignment="1">
      <alignment horizontal="center"/>
    </xf>
    <xf numFmtId="0" fontId="6" fillId="11" borderId="9" xfId="0" applyFont="1" applyFill="1" applyBorder="1" applyAlignment="1">
      <alignment horizontal="center"/>
    </xf>
    <xf numFmtId="0" fontId="0" fillId="12" borderId="14" xfId="0" applyFill="1" applyBorder="1"/>
    <xf numFmtId="0" fontId="0" fillId="12" borderId="0" xfId="0" applyFill="1"/>
    <xf numFmtId="0" fontId="0" fillId="12" borderId="5" xfId="0" applyFill="1" applyBorder="1"/>
    <xf numFmtId="0" fontId="6" fillId="12" borderId="3" xfId="0" applyFont="1" applyFill="1" applyBorder="1"/>
    <xf numFmtId="9" fontId="6" fillId="12" borderId="0" xfId="0" applyNumberFormat="1" applyFont="1" applyFill="1"/>
    <xf numFmtId="10" fontId="6" fillId="12" borderId="0" xfId="0" applyNumberFormat="1" applyFont="1" applyFill="1"/>
    <xf numFmtId="0" fontId="6" fillId="10" borderId="3" xfId="0" applyFont="1" applyFill="1" applyBorder="1"/>
    <xf numFmtId="0" fontId="6" fillId="13" borderId="12" xfId="0" applyFont="1" applyFill="1" applyBorder="1"/>
    <xf numFmtId="0" fontId="6" fillId="11" borderId="3" xfId="0" applyFont="1" applyFill="1" applyBorder="1" applyAlignment="1">
      <alignment horizontal="left"/>
    </xf>
    <xf numFmtId="0" fontId="6" fillId="10" borderId="9" xfId="0" applyFont="1" applyFill="1" applyBorder="1" applyAlignment="1">
      <alignment horizontal="left"/>
    </xf>
    <xf numFmtId="10" fontId="6" fillId="14" borderId="7" xfId="0" applyNumberFormat="1" applyFont="1" applyFill="1" applyBorder="1"/>
    <xf numFmtId="10" fontId="6" fillId="14" borderId="0" xfId="0" quotePrefix="1" applyNumberFormat="1" applyFont="1" applyFill="1"/>
    <xf numFmtId="10" fontId="6" fillId="14" borderId="9" xfId="0" applyNumberFormat="1" applyFont="1" applyFill="1" applyBorder="1"/>
    <xf numFmtId="0" fontId="6" fillId="15" borderId="14" xfId="0" applyFont="1" applyFill="1" applyBorder="1"/>
    <xf numFmtId="0" fontId="6" fillId="15" borderId="0" xfId="0" applyFont="1" applyFill="1"/>
    <xf numFmtId="0" fontId="6" fillId="11" borderId="3" xfId="0" applyFont="1" applyFill="1" applyBorder="1"/>
    <xf numFmtId="0" fontId="6" fillId="10" borderId="13" xfId="0" applyFont="1" applyFill="1" applyBorder="1"/>
    <xf numFmtId="0" fontId="0" fillId="15" borderId="0" xfId="0" applyFill="1"/>
    <xf numFmtId="0" fontId="0" fillId="13" borderId="0" xfId="0" applyFill="1"/>
    <xf numFmtId="0" fontId="0" fillId="12" borderId="3" xfId="0" applyFill="1" applyBorder="1"/>
    <xf numFmtId="0" fontId="0" fillId="12" borderId="13" xfId="0" applyFill="1" applyBorder="1"/>
    <xf numFmtId="0" fontId="0" fillId="10" borderId="3" xfId="0" applyFill="1" applyBorder="1"/>
    <xf numFmtId="0" fontId="0" fillId="10" borderId="13" xfId="0" applyFill="1" applyBorder="1"/>
    <xf numFmtId="0" fontId="0" fillId="13" borderId="3" xfId="0" applyFill="1" applyBorder="1"/>
    <xf numFmtId="0" fontId="0" fillId="13" borderId="12" xfId="0" applyFill="1" applyBorder="1"/>
    <xf numFmtId="0" fontId="5" fillId="12" borderId="13" xfId="0" applyFont="1" applyFill="1" applyBorder="1"/>
    <xf numFmtId="0" fontId="5" fillId="11" borderId="3" xfId="0" applyFont="1" applyFill="1" applyBorder="1"/>
    <xf numFmtId="168" fontId="0" fillId="12" borderId="11" xfId="0" applyNumberFormat="1" applyFill="1" applyBorder="1" applyAlignment="1">
      <alignment horizontal="right"/>
    </xf>
    <xf numFmtId="0" fontId="0" fillId="12" borderId="10" xfId="0" applyFill="1" applyBorder="1" applyAlignment="1">
      <alignment horizontal="right"/>
    </xf>
    <xf numFmtId="0" fontId="0" fillId="12" borderId="2" xfId="0" applyFill="1" applyBorder="1" applyAlignment="1">
      <alignment horizontal="right"/>
    </xf>
    <xf numFmtId="10" fontId="7" fillId="12" borderId="2" xfId="1" applyNumberFormat="1" applyFont="1" applyFill="1" applyBorder="1" applyAlignment="1">
      <alignment horizontal="right"/>
    </xf>
    <xf numFmtId="0" fontId="7" fillId="12" borderId="2" xfId="0" applyFont="1" applyFill="1" applyBorder="1" applyAlignment="1">
      <alignment horizontal="right"/>
    </xf>
    <xf numFmtId="0" fontId="0" fillId="12" borderId="12" xfId="0" applyFill="1" applyBorder="1"/>
    <xf numFmtId="164" fontId="0" fillId="12" borderId="3" xfId="1" applyNumberFormat="1" applyFont="1" applyFill="1" applyBorder="1"/>
    <xf numFmtId="0" fontId="0" fillId="13" borderId="13" xfId="0" applyFill="1" applyBorder="1"/>
    <xf numFmtId="10" fontId="0" fillId="11" borderId="3" xfId="1" applyNumberFormat="1" applyFont="1" applyFill="1" applyBorder="1"/>
    <xf numFmtId="10" fontId="0" fillId="11" borderId="13" xfId="1" applyNumberFormat="1" applyFont="1" applyFill="1" applyBorder="1"/>
    <xf numFmtId="0" fontId="0" fillId="3" borderId="12" xfId="0" applyFill="1" applyBorder="1"/>
    <xf numFmtId="0" fontId="0" fillId="0" borderId="13" xfId="0" applyBorder="1"/>
    <xf numFmtId="0" fontId="4" fillId="5" borderId="12" xfId="0" applyFont="1" applyFill="1" applyBorder="1"/>
    <xf numFmtId="0" fontId="0" fillId="0" borderId="3" xfId="0" applyBorder="1"/>
    <xf numFmtId="0" fontId="0" fillId="2" borderId="3" xfId="0" applyFill="1" applyBorder="1"/>
    <xf numFmtId="0" fontId="0" fillId="0" borderId="17" xfId="0" applyBorder="1"/>
    <xf numFmtId="0" fontId="3" fillId="7" borderId="3" xfId="0" applyFont="1" applyFill="1" applyBorder="1"/>
    <xf numFmtId="0" fontId="0" fillId="3" borderId="10" xfId="0" applyFill="1" applyBorder="1"/>
    <xf numFmtId="0" fontId="0" fillId="0" borderId="10" xfId="0" applyBorder="1"/>
    <xf numFmtId="0" fontId="0" fillId="13" borderId="3" xfId="0" applyFill="1" applyBorder="1"/>
    <xf numFmtId="0" fontId="0" fillId="13" borderId="13" xfId="0" applyFill="1" applyBorder="1"/>
    <xf numFmtId="0" fontId="9" fillId="5" borderId="12" xfId="0" applyFont="1" applyFill="1" applyBorder="1"/>
    <xf numFmtId="0" fontId="9" fillId="0" borderId="3" xfId="0" applyFont="1" applyBorder="1"/>
    <xf numFmtId="14" fontId="7" fillId="4" borderId="2" xfId="0" applyNumberFormat="1" applyFont="1" applyFill="1" applyBorder="1" applyAlignment="1">
      <alignment horizontal="right"/>
    </xf>
    <xf numFmtId="167" fontId="7" fillId="4" borderId="2" xfId="0" applyNumberFormat="1" applyFont="1" applyFill="1" applyBorder="1" applyAlignment="1">
      <alignment horizontal="right"/>
    </xf>
    <xf numFmtId="0" fontId="0" fillId="13" borderId="0" xfId="0" applyNumberFormat="1" applyFill="1"/>
    <xf numFmtId="0" fontId="0" fillId="12" borderId="0" xfId="0" applyNumberFormat="1" applyFill="1"/>
    <xf numFmtId="10" fontId="7" fillId="12" borderId="2" xfId="0" applyNumberFormat="1" applyFont="1" applyFill="1" applyBorder="1" applyAlignment="1">
      <alignment horizontal="right"/>
    </xf>
  </cellXfs>
  <cellStyles count="3">
    <cellStyle name="Hyperlink" xfId="2" builtinId="8"/>
    <cellStyle name="Normal" xfId="0" builtinId="0"/>
    <cellStyle name="Per cent" xfId="1" builtinId="5"/>
  </cellStyles>
  <dxfs count="0"/>
  <tableStyles count="0" defaultTableStyle="TableStyleMedium2" defaultPivotStyle="PivotStyleLight16"/>
  <colors>
    <mruColors>
      <color rgb="FF9FFF7F"/>
      <color rgb="FFFFCC99"/>
      <color rgb="FFFFFF99"/>
      <color rgb="FF66FFCC"/>
      <color rgb="FF99FF66"/>
      <color rgb="FFCCFFFF"/>
      <color rgb="FF008000"/>
      <color rgb="FFA50021"/>
      <color rgb="FF00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0"/>
          <c:tx>
            <c:v>Series1</c:v>
          </c:tx>
          <c:spPr>
            <a:ln w="15875" cap="rnd">
              <a:solidFill>
                <a:prstClr val="black"/>
              </a:solidFill>
              <a:round/>
            </a:ln>
            <a:effectLst/>
          </c:spPr>
          <c:marker>
            <c:symbol val="none"/>
          </c:marker>
          <c:cat>
            <c:numRef>
              <c:f>ChartData!$P$9:$P$109</c:f>
              <c:numCache>
                <c:formatCode>General</c:formatCode>
                <c:ptCount val="101"/>
                <c:pt idx="0">
                  <c:v>50</c:v>
                </c:pt>
                <c:pt idx="1">
                  <c:v>51</c:v>
                </c:pt>
                <c:pt idx="2">
                  <c:v>52</c:v>
                </c:pt>
                <c:pt idx="3">
                  <c:v>53</c:v>
                </c:pt>
                <c:pt idx="4">
                  <c:v>54</c:v>
                </c:pt>
                <c:pt idx="5">
                  <c:v>55</c:v>
                </c:pt>
                <c:pt idx="6">
                  <c:v>56</c:v>
                </c:pt>
                <c:pt idx="7">
                  <c:v>57</c:v>
                </c:pt>
                <c:pt idx="8">
                  <c:v>58</c:v>
                </c:pt>
                <c:pt idx="9">
                  <c:v>59</c:v>
                </c:pt>
                <c:pt idx="10">
                  <c:v>60</c:v>
                </c:pt>
                <c:pt idx="11">
                  <c:v>61</c:v>
                </c:pt>
                <c:pt idx="12">
                  <c:v>62</c:v>
                </c:pt>
                <c:pt idx="13">
                  <c:v>63</c:v>
                </c:pt>
                <c:pt idx="14">
                  <c:v>64</c:v>
                </c:pt>
                <c:pt idx="15">
                  <c:v>65</c:v>
                </c:pt>
                <c:pt idx="16">
                  <c:v>66</c:v>
                </c:pt>
                <c:pt idx="17">
                  <c:v>67</c:v>
                </c:pt>
                <c:pt idx="18">
                  <c:v>68</c:v>
                </c:pt>
                <c:pt idx="19">
                  <c:v>69</c:v>
                </c:pt>
                <c:pt idx="20">
                  <c:v>70</c:v>
                </c:pt>
                <c:pt idx="21">
                  <c:v>71</c:v>
                </c:pt>
                <c:pt idx="22">
                  <c:v>72</c:v>
                </c:pt>
                <c:pt idx="23">
                  <c:v>73</c:v>
                </c:pt>
                <c:pt idx="24">
                  <c:v>74</c:v>
                </c:pt>
                <c:pt idx="25">
                  <c:v>75</c:v>
                </c:pt>
                <c:pt idx="26">
                  <c:v>76</c:v>
                </c:pt>
                <c:pt idx="27">
                  <c:v>77</c:v>
                </c:pt>
                <c:pt idx="28">
                  <c:v>78</c:v>
                </c:pt>
                <c:pt idx="29">
                  <c:v>79</c:v>
                </c:pt>
                <c:pt idx="30">
                  <c:v>80</c:v>
                </c:pt>
                <c:pt idx="31">
                  <c:v>81</c:v>
                </c:pt>
                <c:pt idx="32">
                  <c:v>82</c:v>
                </c:pt>
                <c:pt idx="33">
                  <c:v>83</c:v>
                </c:pt>
                <c:pt idx="34">
                  <c:v>84</c:v>
                </c:pt>
                <c:pt idx="35">
                  <c:v>85</c:v>
                </c:pt>
                <c:pt idx="36">
                  <c:v>86</c:v>
                </c:pt>
                <c:pt idx="37">
                  <c:v>87</c:v>
                </c:pt>
                <c:pt idx="38">
                  <c:v>88</c:v>
                </c:pt>
                <c:pt idx="39">
                  <c:v>89</c:v>
                </c:pt>
                <c:pt idx="40">
                  <c:v>90</c:v>
                </c:pt>
                <c:pt idx="41">
                  <c:v>91</c:v>
                </c:pt>
                <c:pt idx="42">
                  <c:v>92</c:v>
                </c:pt>
                <c:pt idx="43">
                  <c:v>93</c:v>
                </c:pt>
                <c:pt idx="44">
                  <c:v>94</c:v>
                </c:pt>
                <c:pt idx="45">
                  <c:v>95</c:v>
                </c:pt>
                <c:pt idx="46">
                  <c:v>96</c:v>
                </c:pt>
                <c:pt idx="47">
                  <c:v>97</c:v>
                </c:pt>
                <c:pt idx="48">
                  <c:v>98</c:v>
                </c:pt>
                <c:pt idx="49">
                  <c:v>99</c:v>
                </c:pt>
                <c:pt idx="50">
                  <c:v>100</c:v>
                </c:pt>
                <c:pt idx="51">
                  <c:v>101</c:v>
                </c:pt>
                <c:pt idx="52">
                  <c:v>102</c:v>
                </c:pt>
                <c:pt idx="53">
                  <c:v>103</c:v>
                </c:pt>
                <c:pt idx="54">
                  <c:v>104</c:v>
                </c:pt>
                <c:pt idx="55">
                  <c:v>105</c:v>
                </c:pt>
                <c:pt idx="56">
                  <c:v>106</c:v>
                </c:pt>
                <c:pt idx="57">
                  <c:v>107</c:v>
                </c:pt>
                <c:pt idx="58">
                  <c:v>108</c:v>
                </c:pt>
                <c:pt idx="59">
                  <c:v>109</c:v>
                </c:pt>
                <c:pt idx="60">
                  <c:v>110</c:v>
                </c:pt>
                <c:pt idx="61">
                  <c:v>111</c:v>
                </c:pt>
                <c:pt idx="62">
                  <c:v>112</c:v>
                </c:pt>
                <c:pt idx="63">
                  <c:v>113</c:v>
                </c:pt>
                <c:pt idx="64">
                  <c:v>114</c:v>
                </c:pt>
                <c:pt idx="65">
                  <c:v>115</c:v>
                </c:pt>
                <c:pt idx="66">
                  <c:v>116</c:v>
                </c:pt>
                <c:pt idx="67">
                  <c:v>117</c:v>
                </c:pt>
                <c:pt idx="68">
                  <c:v>118</c:v>
                </c:pt>
                <c:pt idx="69">
                  <c:v>119</c:v>
                </c:pt>
                <c:pt idx="70">
                  <c:v>120</c:v>
                </c:pt>
                <c:pt idx="71">
                  <c:v>121</c:v>
                </c:pt>
                <c:pt idx="72">
                  <c:v>122</c:v>
                </c:pt>
                <c:pt idx="73">
                  <c:v>123</c:v>
                </c:pt>
                <c:pt idx="74">
                  <c:v>124</c:v>
                </c:pt>
                <c:pt idx="75">
                  <c:v>125</c:v>
                </c:pt>
                <c:pt idx="76">
                  <c:v>126</c:v>
                </c:pt>
                <c:pt idx="77">
                  <c:v>127</c:v>
                </c:pt>
                <c:pt idx="78">
                  <c:v>128</c:v>
                </c:pt>
                <c:pt idx="79">
                  <c:v>129</c:v>
                </c:pt>
                <c:pt idx="80">
                  <c:v>130</c:v>
                </c:pt>
                <c:pt idx="81">
                  <c:v>131</c:v>
                </c:pt>
                <c:pt idx="82">
                  <c:v>132</c:v>
                </c:pt>
                <c:pt idx="83">
                  <c:v>133</c:v>
                </c:pt>
                <c:pt idx="84">
                  <c:v>134</c:v>
                </c:pt>
                <c:pt idx="85">
                  <c:v>135</c:v>
                </c:pt>
                <c:pt idx="86">
                  <c:v>136</c:v>
                </c:pt>
                <c:pt idx="87">
                  <c:v>137</c:v>
                </c:pt>
                <c:pt idx="88">
                  <c:v>138</c:v>
                </c:pt>
                <c:pt idx="89">
                  <c:v>139</c:v>
                </c:pt>
                <c:pt idx="90">
                  <c:v>140</c:v>
                </c:pt>
                <c:pt idx="91">
                  <c:v>141</c:v>
                </c:pt>
                <c:pt idx="92">
                  <c:v>142</c:v>
                </c:pt>
                <c:pt idx="93">
                  <c:v>143</c:v>
                </c:pt>
                <c:pt idx="94">
                  <c:v>144</c:v>
                </c:pt>
                <c:pt idx="95">
                  <c:v>145</c:v>
                </c:pt>
                <c:pt idx="96">
                  <c:v>146</c:v>
                </c:pt>
                <c:pt idx="97">
                  <c:v>147</c:v>
                </c:pt>
                <c:pt idx="98">
                  <c:v>148</c:v>
                </c:pt>
                <c:pt idx="99">
                  <c:v>149</c:v>
                </c:pt>
                <c:pt idx="100">
                  <c:v>150</c:v>
                </c:pt>
              </c:numCache>
            </c:numRef>
          </c:cat>
          <c:val>
            <c:numRef>
              <c:f>ChartData!$Q$9:$Q$109</c:f>
              <c:numCache>
                <c:formatCode>General</c:formatCode>
                <c:ptCount val="101"/>
                <c:pt idx="0">
                  <c:v>4.1548021800000001E-2</c:v>
                </c:pt>
                <c:pt idx="1">
                  <c:v>5.2334244199999998E-2</c:v>
                </c:pt>
                <c:pt idx="2">
                  <c:v>6.5309412400000003E-2</c:v>
                </c:pt>
                <c:pt idx="3">
                  <c:v>8.0789362099999998E-2</c:v>
                </c:pt>
                <c:pt idx="4">
                  <c:v>9.9114217599999999E-2</c:v>
                </c:pt>
                <c:pt idx="5">
                  <c:v>0.1206475856</c:v>
                </c:pt>
                <c:pt idx="6">
                  <c:v>0.1457754557</c:v>
                </c:pt>
                <c:pt idx="7">
                  <c:v>0.1749048262</c:v>
                </c:pt>
                <c:pt idx="8">
                  <c:v>0.20846207180000001</c:v>
                </c:pt>
                <c:pt idx="9">
                  <c:v>0.24689107900000001</c:v>
                </c:pt>
                <c:pt idx="10">
                  <c:v>0.29191265449999998</c:v>
                </c:pt>
                <c:pt idx="11">
                  <c:v>0.34345896370000001</c:v>
                </c:pt>
                <c:pt idx="12">
                  <c:v>0.40163311289999998</c:v>
                </c:pt>
                <c:pt idx="13">
                  <c:v>0.4669437957</c:v>
                </c:pt>
                <c:pt idx="14">
                  <c:v>0.53990294920000004</c:v>
                </c:pt>
                <c:pt idx="15">
                  <c:v>0.62102290630000001</c:v>
                </c:pt>
                <c:pt idx="16">
                  <c:v>0.71081357430000003</c:v>
                </c:pt>
                <c:pt idx="17">
                  <c:v>0.80977966970000004</c:v>
                </c:pt>
                <c:pt idx="18">
                  <c:v>0.91841803889999996</c:v>
                </c:pt>
                <c:pt idx="19">
                  <c:v>1.0372150899000001</c:v>
                </c:pt>
                <c:pt idx="20">
                  <c:v>1.1666443580000001</c:v>
                </c:pt>
                <c:pt idx="21">
                  <c:v>1.3071642242999999</c:v>
                </c:pt>
                <c:pt idx="22">
                  <c:v>1.4592158031</c:v>
                </c:pt>
                <c:pt idx="23">
                  <c:v>1.623221011</c:v>
                </c:pt>
                <c:pt idx="24">
                  <c:v>1.799580827</c:v>
                </c:pt>
                <c:pt idx="25">
                  <c:v>1.9886737499</c:v>
                </c:pt>
                <c:pt idx="26">
                  <c:v>2.1908544578</c:v>
                </c:pt>
                <c:pt idx="27">
                  <c:v>2.4064526691000001</c:v>
                </c:pt>
                <c:pt idx="28">
                  <c:v>2.6357722054999999</c:v>
                </c:pt>
                <c:pt idx="29">
                  <c:v>2.8790902518000001</c:v>
                </c:pt>
                <c:pt idx="30">
                  <c:v>3.1366568088000002</c:v>
                </c:pt>
                <c:pt idx="31">
                  <c:v>3.4086943315</c:v>
                </c:pt>
                <c:pt idx="32">
                  <c:v>3.6953975437</c:v>
                </c:pt>
                <c:pt idx="33">
                  <c:v>3.9969334211000001</c:v>
                </c:pt>
                <c:pt idx="34">
                  <c:v>4.3134413314</c:v>
                </c:pt>
                <c:pt idx="35">
                  <c:v>4.6450333198999996</c:v>
                </c:pt>
                <c:pt idx="36">
                  <c:v>4.9917945304</c:v>
                </c:pt>
                <c:pt idx="37">
                  <c:v>5.3537837480999997</c:v>
                </c:pt>
                <c:pt idx="38">
                  <c:v>5.7310340538000002</c:v>
                </c:pt>
                <c:pt idx="39">
                  <c:v>6.1235535757999999</c:v>
                </c:pt>
                <c:pt idx="40">
                  <c:v>6.5313263289999997</c:v>
                </c:pt>
                <c:pt idx="41">
                  <c:v>6.954313129</c:v>
                </c:pt>
                <c:pt idx="42">
                  <c:v>7.3924525693999996</c:v>
                </c:pt>
                <c:pt idx="43">
                  <c:v>7.8456620525999998</c:v>
                </c:pt>
                <c:pt idx="44">
                  <c:v>8.3138388627000008</c:v>
                </c:pt>
                <c:pt idx="45">
                  <c:v>8.7968612708999991</c:v>
                </c:pt>
                <c:pt idx="46">
                  <c:v>9.2945896650000002</c:v>
                </c:pt>
                <c:pt idx="47">
                  <c:v>9.8068676931999992</c:v>
                </c:pt>
                <c:pt idx="48">
                  <c:v>10.333523415</c:v>
                </c:pt>
                <c:pt idx="49">
                  <c:v>10.874370451800001</c:v>
                </c:pt>
                <c:pt idx="50">
                  <c:v>11.4292091305</c:v>
                </c:pt>
                <c:pt idx="51">
                  <c:v>11.997827614</c:v>
                </c:pt>
                <c:pt idx="52">
                  <c:v>12.580003013700001</c:v>
                </c:pt>
                <c:pt idx="53">
                  <c:v>13.1755024778</c:v>
                </c:pt>
                <c:pt idx="54">
                  <c:v>13.7840842539</c:v>
                </c:pt>
                <c:pt idx="55">
                  <c:v>14.405498719000001</c:v>
                </c:pt>
                <c:pt idx="56">
                  <c:v>15.039489376700001</c:v>
                </c:pt>
                <c:pt idx="57">
                  <c:v>15.6857938177</c:v>
                </c:pt>
                <c:pt idx="58">
                  <c:v>16.344144640500001</c:v>
                </c:pt>
                <c:pt idx="59">
                  <c:v>17.014270333599999</c:v>
                </c:pt>
                <c:pt idx="60">
                  <c:v>17.695896114500002</c:v>
                </c:pt>
                <c:pt idx="61">
                  <c:v>18.388744727500001</c:v>
                </c:pt>
                <c:pt idx="62">
                  <c:v>19.092537197599999</c:v>
                </c:pt>
                <c:pt idx="63">
                  <c:v>19.806993541899999</c:v>
                </c:pt>
                <c:pt idx="64">
                  <c:v>20.5318334376</c:v>
                </c:pt>
                <c:pt idx="65">
                  <c:v>21.266776847100001</c:v>
                </c:pt>
                <c:pt idx="66">
                  <c:v>22.011544601200001</c:v>
                </c:pt>
                <c:pt idx="67">
                  <c:v>22.765858940299999</c:v>
                </c:pt>
                <c:pt idx="68">
                  <c:v>23.529444015500001</c:v>
                </c:pt>
                <c:pt idx="69">
                  <c:v>24.302026349599998</c:v>
                </c:pt>
                <c:pt idx="70">
                  <c:v>25.0833352601</c:v>
                </c:pt>
                <c:pt idx="71">
                  <c:v>25.873103244599999</c:v>
                </c:pt>
                <c:pt idx="72">
                  <c:v>26.671066330999999</c:v>
                </c:pt>
                <c:pt idx="73">
                  <c:v>27.476964392799999</c:v>
                </c:pt>
                <c:pt idx="74">
                  <c:v>28.290541431600001</c:v>
                </c:pt>
                <c:pt idx="75">
                  <c:v>29.111545828400001</c:v>
                </c:pt>
                <c:pt idx="76">
                  <c:v>29.939730565000001</c:v>
                </c:pt>
                <c:pt idx="77">
                  <c:v>30.774853416900001</c:v>
                </c:pt>
                <c:pt idx="78">
                  <c:v>31.6166771191</c:v>
                </c:pt>
                <c:pt idx="79">
                  <c:v>32.464969507799999</c:v>
                </c:pt>
                <c:pt idx="80">
                  <c:v>33.319503636500002</c:v>
                </c:pt>
                <c:pt idx="81">
                  <c:v>34.180057871599999</c:v>
                </c:pt>
                <c:pt idx="82">
                  <c:v>35.046415966200001</c:v>
                </c:pt>
                <c:pt idx="83">
                  <c:v>35.918367114399999</c:v>
                </c:pt>
                <c:pt idx="84">
                  <c:v>36.795705988199998</c:v>
                </c:pt>
                <c:pt idx="85">
                  <c:v>37.6782327572</c:v>
                </c:pt>
                <c:pt idx="86">
                  <c:v>38.5657530927</c:v>
                </c:pt>
                <c:pt idx="87">
                  <c:v>39.458078158600003</c:v>
                </c:pt>
                <c:pt idx="88">
                  <c:v>40.355024587800003</c:v>
                </c:pt>
                <c:pt idx="89">
                  <c:v>41.256414448299999</c:v>
                </c:pt>
                <c:pt idx="90">
                  <c:v>42.162115038899998</c:v>
                </c:pt>
                <c:pt idx="91">
                  <c:v>43.071962979600002</c:v>
                </c:pt>
                <c:pt idx="92">
                  <c:v>43.985750749799998</c:v>
                </c:pt>
                <c:pt idx="93">
                  <c:v>44.903321670700002</c:v>
                </c:pt>
                <c:pt idx="94">
                  <c:v>45.824524182200001</c:v>
                </c:pt>
                <c:pt idx="95">
                  <c:v>46.749211758000001</c:v>
                </c:pt>
                <c:pt idx="96">
                  <c:v>47.677242814800003</c:v>
                </c:pt>
                <c:pt idx="97">
                  <c:v>48.608480616999998</c:v>
                </c:pt>
                <c:pt idx="98">
                  <c:v>49.542793177699998</c:v>
                </c:pt>
                <c:pt idx="99">
                  <c:v>50.480383580800002</c:v>
                </c:pt>
                <c:pt idx="100">
                  <c:v>51.421098498500001</c:v>
                </c:pt>
              </c:numCache>
            </c:numRef>
          </c:val>
          <c:smooth val="0"/>
          <c:extLst>
            <c:ext xmlns:c16="http://schemas.microsoft.com/office/drawing/2014/chart" uri="{C3380CC4-5D6E-409C-BE32-E72D297353CC}">
              <c16:uniqueId val="{00000000-4868-48B9-8A01-11BC5BCBF384}"/>
            </c:ext>
          </c:extLst>
        </c:ser>
        <c:ser>
          <c:idx val="2"/>
          <c:order val="1"/>
          <c:tx>
            <c:v>Series2</c:v>
          </c:tx>
          <c:spPr>
            <a:ln w="15875" cap="rnd">
              <a:solidFill>
                <a:srgbClr val="008000"/>
              </a:solidFill>
              <a:round/>
            </a:ln>
            <a:effectLst/>
          </c:spPr>
          <c:marker>
            <c:symbol val="none"/>
          </c:marker>
          <c:cat>
            <c:numRef>
              <c:f>ChartData!$P$9:$P$109</c:f>
              <c:numCache>
                <c:formatCode>General</c:formatCode>
                <c:ptCount val="101"/>
                <c:pt idx="0">
                  <c:v>50</c:v>
                </c:pt>
                <c:pt idx="1">
                  <c:v>51</c:v>
                </c:pt>
                <c:pt idx="2">
                  <c:v>52</c:v>
                </c:pt>
                <c:pt idx="3">
                  <c:v>53</c:v>
                </c:pt>
                <c:pt idx="4">
                  <c:v>54</c:v>
                </c:pt>
                <c:pt idx="5">
                  <c:v>55</c:v>
                </c:pt>
                <c:pt idx="6">
                  <c:v>56</c:v>
                </c:pt>
                <c:pt idx="7">
                  <c:v>57</c:v>
                </c:pt>
                <c:pt idx="8">
                  <c:v>58</c:v>
                </c:pt>
                <c:pt idx="9">
                  <c:v>59</c:v>
                </c:pt>
                <c:pt idx="10">
                  <c:v>60</c:v>
                </c:pt>
                <c:pt idx="11">
                  <c:v>61</c:v>
                </c:pt>
                <c:pt idx="12">
                  <c:v>62</c:v>
                </c:pt>
                <c:pt idx="13">
                  <c:v>63</c:v>
                </c:pt>
                <c:pt idx="14">
                  <c:v>64</c:v>
                </c:pt>
                <c:pt idx="15">
                  <c:v>65</c:v>
                </c:pt>
                <c:pt idx="16">
                  <c:v>66</c:v>
                </c:pt>
                <c:pt idx="17">
                  <c:v>67</c:v>
                </c:pt>
                <c:pt idx="18">
                  <c:v>68</c:v>
                </c:pt>
                <c:pt idx="19">
                  <c:v>69</c:v>
                </c:pt>
                <c:pt idx="20">
                  <c:v>70</c:v>
                </c:pt>
                <c:pt idx="21">
                  <c:v>71</c:v>
                </c:pt>
                <c:pt idx="22">
                  <c:v>72</c:v>
                </c:pt>
                <c:pt idx="23">
                  <c:v>73</c:v>
                </c:pt>
                <c:pt idx="24">
                  <c:v>74</c:v>
                </c:pt>
                <c:pt idx="25">
                  <c:v>75</c:v>
                </c:pt>
                <c:pt idx="26">
                  <c:v>76</c:v>
                </c:pt>
                <c:pt idx="27">
                  <c:v>77</c:v>
                </c:pt>
                <c:pt idx="28">
                  <c:v>78</c:v>
                </c:pt>
                <c:pt idx="29">
                  <c:v>79</c:v>
                </c:pt>
                <c:pt idx="30">
                  <c:v>80</c:v>
                </c:pt>
                <c:pt idx="31">
                  <c:v>81</c:v>
                </c:pt>
                <c:pt idx="32">
                  <c:v>82</c:v>
                </c:pt>
                <c:pt idx="33">
                  <c:v>83</c:v>
                </c:pt>
                <c:pt idx="34">
                  <c:v>84</c:v>
                </c:pt>
                <c:pt idx="35">
                  <c:v>85</c:v>
                </c:pt>
                <c:pt idx="36">
                  <c:v>86</c:v>
                </c:pt>
                <c:pt idx="37">
                  <c:v>87</c:v>
                </c:pt>
                <c:pt idx="38">
                  <c:v>88</c:v>
                </c:pt>
                <c:pt idx="39">
                  <c:v>89</c:v>
                </c:pt>
                <c:pt idx="40">
                  <c:v>90</c:v>
                </c:pt>
                <c:pt idx="41">
                  <c:v>91</c:v>
                </c:pt>
                <c:pt idx="42">
                  <c:v>92</c:v>
                </c:pt>
                <c:pt idx="43">
                  <c:v>93</c:v>
                </c:pt>
                <c:pt idx="44">
                  <c:v>94</c:v>
                </c:pt>
                <c:pt idx="45">
                  <c:v>95</c:v>
                </c:pt>
                <c:pt idx="46">
                  <c:v>96</c:v>
                </c:pt>
                <c:pt idx="47">
                  <c:v>97</c:v>
                </c:pt>
                <c:pt idx="48">
                  <c:v>98</c:v>
                </c:pt>
                <c:pt idx="49">
                  <c:v>99</c:v>
                </c:pt>
                <c:pt idx="50">
                  <c:v>100</c:v>
                </c:pt>
                <c:pt idx="51">
                  <c:v>101</c:v>
                </c:pt>
                <c:pt idx="52">
                  <c:v>102</c:v>
                </c:pt>
                <c:pt idx="53">
                  <c:v>103</c:v>
                </c:pt>
                <c:pt idx="54">
                  <c:v>104</c:v>
                </c:pt>
                <c:pt idx="55">
                  <c:v>105</c:v>
                </c:pt>
                <c:pt idx="56">
                  <c:v>106</c:v>
                </c:pt>
                <c:pt idx="57">
                  <c:v>107</c:v>
                </c:pt>
                <c:pt idx="58">
                  <c:v>108</c:v>
                </c:pt>
                <c:pt idx="59">
                  <c:v>109</c:v>
                </c:pt>
                <c:pt idx="60">
                  <c:v>110</c:v>
                </c:pt>
                <c:pt idx="61">
                  <c:v>111</c:v>
                </c:pt>
                <c:pt idx="62">
                  <c:v>112</c:v>
                </c:pt>
                <c:pt idx="63">
                  <c:v>113</c:v>
                </c:pt>
                <c:pt idx="64">
                  <c:v>114</c:v>
                </c:pt>
                <c:pt idx="65">
                  <c:v>115</c:v>
                </c:pt>
                <c:pt idx="66">
                  <c:v>116</c:v>
                </c:pt>
                <c:pt idx="67">
                  <c:v>117</c:v>
                </c:pt>
                <c:pt idx="68">
                  <c:v>118</c:v>
                </c:pt>
                <c:pt idx="69">
                  <c:v>119</c:v>
                </c:pt>
                <c:pt idx="70">
                  <c:v>120</c:v>
                </c:pt>
                <c:pt idx="71">
                  <c:v>121</c:v>
                </c:pt>
                <c:pt idx="72">
                  <c:v>122</c:v>
                </c:pt>
                <c:pt idx="73">
                  <c:v>123</c:v>
                </c:pt>
                <c:pt idx="74">
                  <c:v>124</c:v>
                </c:pt>
                <c:pt idx="75">
                  <c:v>125</c:v>
                </c:pt>
                <c:pt idx="76">
                  <c:v>126</c:v>
                </c:pt>
                <c:pt idx="77">
                  <c:v>127</c:v>
                </c:pt>
                <c:pt idx="78">
                  <c:v>128</c:v>
                </c:pt>
                <c:pt idx="79">
                  <c:v>129</c:v>
                </c:pt>
                <c:pt idx="80">
                  <c:v>130</c:v>
                </c:pt>
                <c:pt idx="81">
                  <c:v>131</c:v>
                </c:pt>
                <c:pt idx="82">
                  <c:v>132</c:v>
                </c:pt>
                <c:pt idx="83">
                  <c:v>133</c:v>
                </c:pt>
                <c:pt idx="84">
                  <c:v>134</c:v>
                </c:pt>
                <c:pt idx="85">
                  <c:v>135</c:v>
                </c:pt>
                <c:pt idx="86">
                  <c:v>136</c:v>
                </c:pt>
                <c:pt idx="87">
                  <c:v>137</c:v>
                </c:pt>
                <c:pt idx="88">
                  <c:v>138</c:v>
                </c:pt>
                <c:pt idx="89">
                  <c:v>139</c:v>
                </c:pt>
                <c:pt idx="90">
                  <c:v>140</c:v>
                </c:pt>
                <c:pt idx="91">
                  <c:v>141</c:v>
                </c:pt>
                <c:pt idx="92">
                  <c:v>142</c:v>
                </c:pt>
                <c:pt idx="93">
                  <c:v>143</c:v>
                </c:pt>
                <c:pt idx="94">
                  <c:v>144</c:v>
                </c:pt>
                <c:pt idx="95">
                  <c:v>145</c:v>
                </c:pt>
                <c:pt idx="96">
                  <c:v>146</c:v>
                </c:pt>
                <c:pt idx="97">
                  <c:v>147</c:v>
                </c:pt>
                <c:pt idx="98">
                  <c:v>148</c:v>
                </c:pt>
                <c:pt idx="99">
                  <c:v>149</c:v>
                </c:pt>
                <c:pt idx="100">
                  <c:v>150</c:v>
                </c:pt>
              </c:numCache>
            </c:numRef>
          </c:cat>
          <c:val>
            <c:numRef>
              <c:f>ChartData!$R$9:$R$109</c:f>
              <c:numCache>
                <c:formatCode>General</c:formatCode>
                <c:ptCount val="1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val>
          <c:smooth val="0"/>
          <c:extLst>
            <c:ext xmlns:c16="http://schemas.microsoft.com/office/drawing/2014/chart" uri="{C3380CC4-5D6E-409C-BE32-E72D297353CC}">
              <c16:uniqueId val="{00000001-4868-48B9-8A01-11BC5BCBF384}"/>
            </c:ext>
          </c:extLst>
        </c:ser>
        <c:ser>
          <c:idx val="3"/>
          <c:order val="2"/>
          <c:tx>
            <c:v>Series3</c:v>
          </c:tx>
          <c:spPr>
            <a:ln w="15875" cap="rnd">
              <a:solidFill>
                <a:srgbClr val="C00000"/>
              </a:solidFill>
              <a:round/>
            </a:ln>
            <a:effectLst/>
          </c:spPr>
          <c:marker>
            <c:symbol val="none"/>
          </c:marker>
          <c:cat>
            <c:numRef>
              <c:f>ChartData!$P$9:$P$109</c:f>
              <c:numCache>
                <c:formatCode>General</c:formatCode>
                <c:ptCount val="101"/>
                <c:pt idx="0">
                  <c:v>50</c:v>
                </c:pt>
                <c:pt idx="1">
                  <c:v>51</c:v>
                </c:pt>
                <c:pt idx="2">
                  <c:v>52</c:v>
                </c:pt>
                <c:pt idx="3">
                  <c:v>53</c:v>
                </c:pt>
                <c:pt idx="4">
                  <c:v>54</c:v>
                </c:pt>
                <c:pt idx="5">
                  <c:v>55</c:v>
                </c:pt>
                <c:pt idx="6">
                  <c:v>56</c:v>
                </c:pt>
                <c:pt idx="7">
                  <c:v>57</c:v>
                </c:pt>
                <c:pt idx="8">
                  <c:v>58</c:v>
                </c:pt>
                <c:pt idx="9">
                  <c:v>59</c:v>
                </c:pt>
                <c:pt idx="10">
                  <c:v>60</c:v>
                </c:pt>
                <c:pt idx="11">
                  <c:v>61</c:v>
                </c:pt>
                <c:pt idx="12">
                  <c:v>62</c:v>
                </c:pt>
                <c:pt idx="13">
                  <c:v>63</c:v>
                </c:pt>
                <c:pt idx="14">
                  <c:v>64</c:v>
                </c:pt>
                <c:pt idx="15">
                  <c:v>65</c:v>
                </c:pt>
                <c:pt idx="16">
                  <c:v>66</c:v>
                </c:pt>
                <c:pt idx="17">
                  <c:v>67</c:v>
                </c:pt>
                <c:pt idx="18">
                  <c:v>68</c:v>
                </c:pt>
                <c:pt idx="19">
                  <c:v>69</c:v>
                </c:pt>
                <c:pt idx="20">
                  <c:v>70</c:v>
                </c:pt>
                <c:pt idx="21">
                  <c:v>71</c:v>
                </c:pt>
                <c:pt idx="22">
                  <c:v>72</c:v>
                </c:pt>
                <c:pt idx="23">
                  <c:v>73</c:v>
                </c:pt>
                <c:pt idx="24">
                  <c:v>74</c:v>
                </c:pt>
                <c:pt idx="25">
                  <c:v>75</c:v>
                </c:pt>
                <c:pt idx="26">
                  <c:v>76</c:v>
                </c:pt>
                <c:pt idx="27">
                  <c:v>77</c:v>
                </c:pt>
                <c:pt idx="28">
                  <c:v>78</c:v>
                </c:pt>
                <c:pt idx="29">
                  <c:v>79</c:v>
                </c:pt>
                <c:pt idx="30">
                  <c:v>80</c:v>
                </c:pt>
                <c:pt idx="31">
                  <c:v>81</c:v>
                </c:pt>
                <c:pt idx="32">
                  <c:v>82</c:v>
                </c:pt>
                <c:pt idx="33">
                  <c:v>83</c:v>
                </c:pt>
                <c:pt idx="34">
                  <c:v>84</c:v>
                </c:pt>
                <c:pt idx="35">
                  <c:v>85</c:v>
                </c:pt>
                <c:pt idx="36">
                  <c:v>86</c:v>
                </c:pt>
                <c:pt idx="37">
                  <c:v>87</c:v>
                </c:pt>
                <c:pt idx="38">
                  <c:v>88</c:v>
                </c:pt>
                <c:pt idx="39">
                  <c:v>89</c:v>
                </c:pt>
                <c:pt idx="40">
                  <c:v>90</c:v>
                </c:pt>
                <c:pt idx="41">
                  <c:v>91</c:v>
                </c:pt>
                <c:pt idx="42">
                  <c:v>92</c:v>
                </c:pt>
                <c:pt idx="43">
                  <c:v>93</c:v>
                </c:pt>
                <c:pt idx="44">
                  <c:v>94</c:v>
                </c:pt>
                <c:pt idx="45">
                  <c:v>95</c:v>
                </c:pt>
                <c:pt idx="46">
                  <c:v>96</c:v>
                </c:pt>
                <c:pt idx="47">
                  <c:v>97</c:v>
                </c:pt>
                <c:pt idx="48">
                  <c:v>98</c:v>
                </c:pt>
                <c:pt idx="49">
                  <c:v>99</c:v>
                </c:pt>
                <c:pt idx="50">
                  <c:v>100</c:v>
                </c:pt>
                <c:pt idx="51">
                  <c:v>101</c:v>
                </c:pt>
                <c:pt idx="52">
                  <c:v>102</c:v>
                </c:pt>
                <c:pt idx="53">
                  <c:v>103</c:v>
                </c:pt>
                <c:pt idx="54">
                  <c:v>104</c:v>
                </c:pt>
                <c:pt idx="55">
                  <c:v>105</c:v>
                </c:pt>
                <c:pt idx="56">
                  <c:v>106</c:v>
                </c:pt>
                <c:pt idx="57">
                  <c:v>107</c:v>
                </c:pt>
                <c:pt idx="58">
                  <c:v>108</c:v>
                </c:pt>
                <c:pt idx="59">
                  <c:v>109</c:v>
                </c:pt>
                <c:pt idx="60">
                  <c:v>110</c:v>
                </c:pt>
                <c:pt idx="61">
                  <c:v>111</c:v>
                </c:pt>
                <c:pt idx="62">
                  <c:v>112</c:v>
                </c:pt>
                <c:pt idx="63">
                  <c:v>113</c:v>
                </c:pt>
                <c:pt idx="64">
                  <c:v>114</c:v>
                </c:pt>
                <c:pt idx="65">
                  <c:v>115</c:v>
                </c:pt>
                <c:pt idx="66">
                  <c:v>116</c:v>
                </c:pt>
                <c:pt idx="67">
                  <c:v>117</c:v>
                </c:pt>
                <c:pt idx="68">
                  <c:v>118</c:v>
                </c:pt>
                <c:pt idx="69">
                  <c:v>119</c:v>
                </c:pt>
                <c:pt idx="70">
                  <c:v>120</c:v>
                </c:pt>
                <c:pt idx="71">
                  <c:v>121</c:v>
                </c:pt>
                <c:pt idx="72">
                  <c:v>122</c:v>
                </c:pt>
                <c:pt idx="73">
                  <c:v>123</c:v>
                </c:pt>
                <c:pt idx="74">
                  <c:v>124</c:v>
                </c:pt>
                <c:pt idx="75">
                  <c:v>125</c:v>
                </c:pt>
                <c:pt idx="76">
                  <c:v>126</c:v>
                </c:pt>
                <c:pt idx="77">
                  <c:v>127</c:v>
                </c:pt>
                <c:pt idx="78">
                  <c:v>128</c:v>
                </c:pt>
                <c:pt idx="79">
                  <c:v>129</c:v>
                </c:pt>
                <c:pt idx="80">
                  <c:v>130</c:v>
                </c:pt>
                <c:pt idx="81">
                  <c:v>131</c:v>
                </c:pt>
                <c:pt idx="82">
                  <c:v>132</c:v>
                </c:pt>
                <c:pt idx="83">
                  <c:v>133</c:v>
                </c:pt>
                <c:pt idx="84">
                  <c:v>134</c:v>
                </c:pt>
                <c:pt idx="85">
                  <c:v>135</c:v>
                </c:pt>
                <c:pt idx="86">
                  <c:v>136</c:v>
                </c:pt>
                <c:pt idx="87">
                  <c:v>137</c:v>
                </c:pt>
                <c:pt idx="88">
                  <c:v>138</c:v>
                </c:pt>
                <c:pt idx="89">
                  <c:v>139</c:v>
                </c:pt>
                <c:pt idx="90">
                  <c:v>140</c:v>
                </c:pt>
                <c:pt idx="91">
                  <c:v>141</c:v>
                </c:pt>
                <c:pt idx="92">
                  <c:v>142</c:v>
                </c:pt>
                <c:pt idx="93">
                  <c:v>143</c:v>
                </c:pt>
                <c:pt idx="94">
                  <c:v>144</c:v>
                </c:pt>
                <c:pt idx="95">
                  <c:v>145</c:v>
                </c:pt>
                <c:pt idx="96">
                  <c:v>146</c:v>
                </c:pt>
                <c:pt idx="97">
                  <c:v>147</c:v>
                </c:pt>
                <c:pt idx="98">
                  <c:v>148</c:v>
                </c:pt>
                <c:pt idx="99">
                  <c:v>149</c:v>
                </c:pt>
                <c:pt idx="100">
                  <c:v>150</c:v>
                </c:pt>
              </c:numCache>
            </c:numRef>
          </c:cat>
          <c:val>
            <c:numRef>
              <c:f>ChartData!$S$9:$S$109</c:f>
              <c:numCache>
                <c:formatCode>General</c:formatCode>
                <c:ptCount val="1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val>
          <c:smooth val="0"/>
          <c:extLst>
            <c:ext xmlns:c16="http://schemas.microsoft.com/office/drawing/2014/chart" uri="{C3380CC4-5D6E-409C-BE32-E72D297353CC}">
              <c16:uniqueId val="{00000002-4868-48B9-8A01-11BC5BCBF384}"/>
            </c:ext>
          </c:extLst>
        </c:ser>
        <c:dLbls>
          <c:showLegendKey val="0"/>
          <c:showVal val="0"/>
          <c:showCatName val="0"/>
          <c:showSerName val="0"/>
          <c:showPercent val="0"/>
          <c:showBubbleSize val="0"/>
        </c:dLbls>
        <c:smooth val="0"/>
        <c:axId val="825309296"/>
        <c:axId val="977894224"/>
      </c:lineChart>
      <c:catAx>
        <c:axId val="825309296"/>
        <c:scaling>
          <c:orientation val="minMax"/>
        </c:scaling>
        <c:delete val="0"/>
        <c:axPos val="b"/>
        <c:numFmt formatCode="General" sourceLinked="1"/>
        <c:majorTickMark val="out"/>
        <c:minorTickMark val="none"/>
        <c:tickLblPos val="low"/>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7894224"/>
        <c:crosses val="autoZero"/>
        <c:auto val="0"/>
        <c:lblAlgn val="ctr"/>
        <c:lblOffset val="100"/>
        <c:tickLblSkip val="10"/>
        <c:tickMarkSkip val="10"/>
        <c:noMultiLvlLbl val="1"/>
      </c:catAx>
      <c:valAx>
        <c:axId val="977894224"/>
        <c:scaling>
          <c:orientation val="minMax"/>
        </c:scaling>
        <c:delete val="0"/>
        <c:axPos val="l"/>
        <c:majorGridlines>
          <c:spPr>
            <a:ln w="9525" cap="flat" cmpd="sng" algn="ctr">
              <a:solidFill>
                <a:schemeClr val="bg1">
                  <a:lumMod val="95000"/>
                </a:schemeClr>
              </a:solidFill>
              <a:prstDash val="sysDash"/>
              <a:round/>
            </a:ln>
            <a:effectLst/>
          </c:spPr>
        </c:majorGridlines>
        <c:numFmt formatCode="General" sourceLinked="1"/>
        <c:majorTickMark val="out"/>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53092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Lines="4" dropStyle="combo" dx="26" fmlaLink="UndType" fmlaRange="ListUndType" noThreeD="1" sel="1" val="0"/>
</file>

<file path=xl/ctrlProps/ctrlProp2.xml><?xml version="1.0" encoding="utf-8"?>
<formControlPr xmlns="http://schemas.microsoft.com/office/spreadsheetml/2009/9/main" objectType="Drop" dropLines="3" dropStyle="combo" dx="26" fmlaLink="TimeAs" fmlaRange="ListTimeAs" noThreeD="1" sel="1" val="0"/>
</file>

<file path=xl/ctrlProps/ctrlProp3.xml><?xml version="1.0" encoding="utf-8"?>
<formControlPr xmlns="http://schemas.microsoft.com/office/spreadsheetml/2009/9/main" objectType="Drop" dropLines="2" dropStyle="combo" dx="26" fmlaLink="AmEur" fmlaRange="ListAmEur" noThreeD="1" sel="1" val="0"/>
</file>

<file path=xl/ctrlProps/ctrlProp4.xml><?xml version="1.0" encoding="utf-8"?>
<formControlPr xmlns="http://schemas.microsoft.com/office/spreadsheetml/2009/9/main" objectType="Drop" dropLines="2" dropStyle="combo" dx="26" fmlaLink="CallPut" fmlaRange="ListCallPut" noThreeD="1" sel="1" val="0"/>
</file>

<file path=xl/ctrlProps/ctrlProp5.xml><?xml version="1.0" encoding="utf-8"?>
<formControlPr xmlns="http://schemas.microsoft.com/office/spreadsheetml/2009/9/main" objectType="Drop" dropLines="3" dropStyle="combo" dx="26" fmlaLink="Model" fmlaRange="ListModel" noThreeD="1" sel="3" val="0"/>
</file>

<file path=xl/ctrlProps/ctrlProp6.xml><?xml version="1.0" encoding="utf-8"?>
<formControlPr xmlns="http://schemas.microsoft.com/office/spreadsheetml/2009/9/main" objectType="Drop" dropLines="2" dropStyle="combo" dx="26" fmlaLink="DivAs" fmlaRange="ListDivAs" noThreeD="1" sel="2" val="0"/>
</file>

<file path=xl/ctrlProps/ctrlProp7.xml><?xml version="1.0" encoding="utf-8"?>
<formControlPr xmlns="http://schemas.microsoft.com/office/spreadsheetml/2009/9/main" objectType="Drop" dropLines="3" dropStyle="combo" dx="26" fmlaLink="ExDivAs" fmlaRange="ListExDivAs" noThreeD="1" sel="1" val="0"/>
</file>

<file path=xl/ctrlProps/ctrlProp8.xml><?xml version="1.0" encoding="utf-8"?>
<formControlPr xmlns="http://schemas.microsoft.com/office/spreadsheetml/2009/9/main" objectType="CheckBox" checked="Checked" fmlaLink="Series1Checked" lockText="1" noThreeD="1"/>
</file>

<file path=xl/ctrlProps/ctrlProp9.xml><?xml version="1.0" encoding="utf-8"?>
<formControlPr xmlns="http://schemas.microsoft.com/office/spreadsheetml/2009/9/main" objectType="CheckBox" fmlaLink="Series2Checked" lockText="1" noThreeD="1"/>
</file>

<file path=xl/ctrlProps/ctrlProp10.xml><?xml version="1.0" encoding="utf-8"?>
<formControlPr xmlns="http://schemas.microsoft.com/office/spreadsheetml/2009/9/main" objectType="CheckBox" fmlaLink="Series3Checked" lockText="1" noThreeD="1"/>
</file>

<file path=xl/ctrlProps/ctrlProp11.xml><?xml version="1.0" encoding="utf-8"?>
<formControlPr xmlns="http://schemas.microsoft.com/office/spreadsheetml/2009/9/main" objectType="Drop" dropLines="2" dropStyle="combo" dx="26" fmlaLink="ChartMode" fmlaRange="ListChartMode" noThreeD="1" sel="1" val="0"/>
</file>

<file path=xl/ctrlProps/ctrlProp12.xml><?xml version="1.0" encoding="utf-8"?>
<formControlPr xmlns="http://schemas.microsoft.com/office/spreadsheetml/2009/9/main" objectType="Drop" dropStyle="combo" dx="26" fmlaLink="ChartLines" fmlaRange="ListChartLines" noThreeD="1" sel="2" val="0"/>
</file>

<file path=xl/ctrlProps/ctrlProp13.xml><?xml version="1.0" encoding="utf-8"?>
<formControlPr xmlns="http://schemas.microsoft.com/office/spreadsheetml/2009/9/main" objectType="Drop" dropStyle="combo" dx="26" fmlaLink="ChartX" fmlaRange="ListChartX" noThreeD="1" sel="1" val="0"/>
</file>

<file path=xl/ctrlProps/ctrlProp14.xml><?xml version="1.0" encoding="utf-8"?>
<formControlPr xmlns="http://schemas.microsoft.com/office/spreadsheetml/2009/9/main" objectType="Drop" dropLines="6" dropStyle="combo" dx="26" fmlaLink="ChartY" fmlaRange="ListChartY" noThreeD="1" sel="1" val="0"/>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4</xdr:row>
          <xdr:rowOff>177800</xdr:rowOff>
        </xdr:from>
        <xdr:to>
          <xdr:col>3</xdr:col>
          <xdr:colOff>0</xdr:colOff>
          <xdr:row>6</xdr:row>
          <xdr:rowOff>0</xdr:rowOff>
        </xdr:to>
        <xdr:sp macro="" textlink="">
          <xdr:nvSpPr>
            <xdr:cNvPr id="1025" name="Select UndType"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16</xdr:row>
          <xdr:rowOff>50800</xdr:rowOff>
        </xdr:from>
        <xdr:to>
          <xdr:col>3</xdr:col>
          <xdr:colOff>0</xdr:colOff>
          <xdr:row>18</xdr:row>
          <xdr:rowOff>0</xdr:rowOff>
        </xdr:to>
        <xdr:sp macro="" textlink="">
          <xdr:nvSpPr>
            <xdr:cNvPr id="1026" name="Select TimeAs"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1193800</xdr:colOff>
          <xdr:row>10</xdr:row>
          <xdr:rowOff>50800</xdr:rowOff>
        </xdr:from>
        <xdr:to>
          <xdr:col>3</xdr:col>
          <xdr:colOff>0</xdr:colOff>
          <xdr:row>12</xdr:row>
          <xdr:rowOff>0</xdr:rowOff>
        </xdr:to>
        <xdr:sp macro="" textlink="">
          <xdr:nvSpPr>
            <xdr:cNvPr id="1027" name="Select AmEur"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50800</xdr:rowOff>
        </xdr:from>
        <xdr:to>
          <xdr:col>3</xdr:col>
          <xdr:colOff>0</xdr:colOff>
          <xdr:row>14</xdr:row>
          <xdr:rowOff>0</xdr:rowOff>
        </xdr:to>
        <xdr:sp macro="" textlink="">
          <xdr:nvSpPr>
            <xdr:cNvPr id="1028" name="Select CallPut"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xdr:row>
          <xdr:rowOff>0</xdr:rowOff>
        </xdr:from>
        <xdr:to>
          <xdr:col>3</xdr:col>
          <xdr:colOff>0</xdr:colOff>
          <xdr:row>3</xdr:row>
          <xdr:rowOff>0</xdr:rowOff>
        </xdr:to>
        <xdr:sp macro="" textlink="">
          <xdr:nvSpPr>
            <xdr:cNvPr id="1029" name="Select Model"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1193800</xdr:colOff>
          <xdr:row>27</xdr:row>
          <xdr:rowOff>0</xdr:rowOff>
        </xdr:from>
        <xdr:to>
          <xdr:col>3</xdr:col>
          <xdr:colOff>0</xdr:colOff>
          <xdr:row>28</xdr:row>
          <xdr:rowOff>0</xdr:rowOff>
        </xdr:to>
        <xdr:sp macro="" textlink="">
          <xdr:nvSpPr>
            <xdr:cNvPr id="1030" name="Select DivAs"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29</xdr:row>
          <xdr:rowOff>177800</xdr:rowOff>
        </xdr:from>
        <xdr:to>
          <xdr:col>3</xdr:col>
          <xdr:colOff>0</xdr:colOff>
          <xdr:row>31</xdr:row>
          <xdr:rowOff>0</xdr:rowOff>
        </xdr:to>
        <xdr:sp macro="" textlink="">
          <xdr:nvSpPr>
            <xdr:cNvPr id="1031" name="Select ExDivAs"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25400</xdr:colOff>
          <xdr:row>7</xdr:row>
          <xdr:rowOff>25400</xdr:rowOff>
        </xdr:from>
        <xdr:to>
          <xdr:col>7</xdr:col>
          <xdr:colOff>228600</xdr:colOff>
          <xdr:row>8</xdr:row>
          <xdr:rowOff>0</xdr:rowOff>
        </xdr:to>
        <xdr:sp macro="" textlink="">
          <xdr:nvSpPr>
            <xdr:cNvPr id="1032" name="Check Series1"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38100</xdr:colOff>
          <xdr:row>9</xdr:row>
          <xdr:rowOff>12700</xdr:rowOff>
        </xdr:from>
        <xdr:to>
          <xdr:col>7</xdr:col>
          <xdr:colOff>241300</xdr:colOff>
          <xdr:row>9</xdr:row>
          <xdr:rowOff>165100</xdr:rowOff>
        </xdr:to>
        <xdr:sp macro="" textlink="">
          <xdr:nvSpPr>
            <xdr:cNvPr id="1033" name="Check Series2"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38100</xdr:colOff>
          <xdr:row>11</xdr:row>
          <xdr:rowOff>25400</xdr:rowOff>
        </xdr:from>
        <xdr:to>
          <xdr:col>7</xdr:col>
          <xdr:colOff>241300</xdr:colOff>
          <xdr:row>12</xdr:row>
          <xdr:rowOff>0</xdr:rowOff>
        </xdr:to>
        <xdr:sp macro="" textlink="">
          <xdr:nvSpPr>
            <xdr:cNvPr id="1034" name="Check Series3"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xdr:row>
          <xdr:rowOff>177800</xdr:rowOff>
        </xdr:from>
        <xdr:to>
          <xdr:col>6</xdr:col>
          <xdr:colOff>0</xdr:colOff>
          <xdr:row>6</xdr:row>
          <xdr:rowOff>0</xdr:rowOff>
        </xdr:to>
        <xdr:sp macro="" textlink="">
          <xdr:nvSpPr>
            <xdr:cNvPr id="1035" name="Select ChartMode"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7</xdr:row>
          <xdr:rowOff>0</xdr:rowOff>
        </xdr:from>
        <xdr:to>
          <xdr:col>6</xdr:col>
          <xdr:colOff>0</xdr:colOff>
          <xdr:row>8</xdr:row>
          <xdr:rowOff>0</xdr:rowOff>
        </xdr:to>
        <xdr:sp macro="" textlink="">
          <xdr:nvSpPr>
            <xdr:cNvPr id="1036" name="Select ChartLines"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8</xdr:row>
          <xdr:rowOff>50800</xdr:rowOff>
        </xdr:from>
        <xdr:to>
          <xdr:col>6</xdr:col>
          <xdr:colOff>0</xdr:colOff>
          <xdr:row>10</xdr:row>
          <xdr:rowOff>0</xdr:rowOff>
        </xdr:to>
        <xdr:sp macro="" textlink="">
          <xdr:nvSpPr>
            <xdr:cNvPr id="1037" name="Select ChartX"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11</xdr:row>
          <xdr:rowOff>0</xdr:rowOff>
        </xdr:from>
        <xdr:to>
          <xdr:col>6</xdr:col>
          <xdr:colOff>0</xdr:colOff>
          <xdr:row>12</xdr:row>
          <xdr:rowOff>0</xdr:rowOff>
        </xdr:to>
        <xdr:sp macro="" textlink="">
          <xdr:nvSpPr>
            <xdr:cNvPr id="1038" name="Select ChartY"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8</xdr:col>
      <xdr:colOff>220980</xdr:colOff>
      <xdr:row>0</xdr:row>
      <xdr:rowOff>38100</xdr:rowOff>
    </xdr:from>
    <xdr:to>
      <xdr:col>9</xdr:col>
      <xdr:colOff>775334</xdr:colOff>
      <xdr:row>0</xdr:row>
      <xdr:rowOff>295794</xdr:rowOff>
    </xdr:to>
    <xdr:pic>
      <xdr:nvPicPr>
        <xdr:cNvPr id="17" name="Picture 16">
          <a:extLst>
            <a:ext uri="{FF2B5EF4-FFF2-40B4-BE49-F238E27FC236}">
              <a16:creationId xmlns:a16="http://schemas.microsoft.com/office/drawing/2014/main" id="{00000000-0008-0000-00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743700" y="38100"/>
          <a:ext cx="1590674" cy="25769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266700</xdr:colOff>
      <xdr:row>13</xdr:row>
      <xdr:rowOff>45720</xdr:rowOff>
    </xdr:from>
    <xdr:to>
      <xdr:col>10</xdr:col>
      <xdr:colOff>0</xdr:colOff>
      <xdr:row>34</xdr:row>
      <xdr:rowOff>160020</xdr:rowOff>
    </xdr:to>
    <xdr:graphicFrame macro="">
      <xdr:nvGraphicFramePr>
        <xdr:cNvPr id="19" name="ChartMain">
          <a:extLst>
            <a:ext uri="{FF2B5EF4-FFF2-40B4-BE49-F238E27FC236}">
              <a16:creationId xmlns:a16="http://schemas.microsoft.com/office/drawing/2014/main" id="{00000000-0008-0000-00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12</xdr:col>
          <xdr:colOff>12700</xdr:colOff>
          <xdr:row>18</xdr:row>
          <xdr:rowOff>50800</xdr:rowOff>
        </xdr:from>
        <xdr:to>
          <xdr:col>13</xdr:col>
          <xdr:colOff>12700</xdr:colOff>
          <xdr:row>20</xdr:row>
          <xdr:rowOff>63500</xdr:rowOff>
        </xdr:to>
        <xdr:sp macro="" textlink="">
          <xdr:nvSpPr>
            <xdr:cNvPr id="1039" name="Zoom In"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pitchFamily="2" charset="0"/>
                  <a:cs typeface="Calibri" pitchFamily="2" charset="0"/>
                </a:rPr>
                <a:t>Zoom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12700</xdr:colOff>
          <xdr:row>20</xdr:row>
          <xdr:rowOff>127000</xdr:rowOff>
        </xdr:from>
        <xdr:to>
          <xdr:col>13</xdr:col>
          <xdr:colOff>12700</xdr:colOff>
          <xdr:row>22</xdr:row>
          <xdr:rowOff>139700</xdr:rowOff>
        </xdr:to>
        <xdr:sp macro="" textlink="">
          <xdr:nvSpPr>
            <xdr:cNvPr id="1040" name="Zoom Out"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pitchFamily="2" charset="0"/>
                  <a:cs typeface="Calibri" pitchFamily="2" charset="0"/>
                </a:rPr>
                <a:t>Zoom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88900</xdr:colOff>
          <xdr:row>23</xdr:row>
          <xdr:rowOff>25400</xdr:rowOff>
        </xdr:from>
        <xdr:to>
          <xdr:col>13</xdr:col>
          <xdr:colOff>12700</xdr:colOff>
          <xdr:row>26</xdr:row>
          <xdr:rowOff>12700</xdr:rowOff>
        </xdr:to>
        <xdr:sp macro="" textlink="">
          <xdr:nvSpPr>
            <xdr:cNvPr id="1041" name="Reset"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pitchFamily="2" charset="0"/>
                  <a:cs typeface="Calibri" pitchFamily="2" charset="0"/>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12700</xdr:colOff>
          <xdr:row>27</xdr:row>
          <xdr:rowOff>25400</xdr:rowOff>
        </xdr:from>
        <xdr:to>
          <xdr:col>13</xdr:col>
          <xdr:colOff>12700</xdr:colOff>
          <xdr:row>29</xdr:row>
          <xdr:rowOff>50800</xdr:rowOff>
        </xdr:to>
        <xdr:sp macro="" textlink="">
          <xdr:nvSpPr>
            <xdr:cNvPr id="1042" name="&gt; &gt; &gt;"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pitchFamily="2" charset="0"/>
                  <a:cs typeface="Calibri" pitchFamily="2" charset="0"/>
                </a:rPr>
                <a:t>&gt; &gt;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12700</xdr:colOff>
          <xdr:row>29</xdr:row>
          <xdr:rowOff>114300</xdr:rowOff>
        </xdr:from>
        <xdr:to>
          <xdr:col>13</xdr:col>
          <xdr:colOff>12700</xdr:colOff>
          <xdr:row>31</xdr:row>
          <xdr:rowOff>127000</xdr:rowOff>
        </xdr:to>
        <xdr:sp macro="" textlink="">
          <xdr:nvSpPr>
            <xdr:cNvPr id="1043" name="&lt; &lt; &lt;"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pitchFamily="2" charset="0"/>
                  <a:cs typeface="Calibri" pitchFamily="2" charset="0"/>
                </a:rPr>
                <a:t>&lt; &lt; &lt;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12700</xdr:colOff>
          <xdr:row>2</xdr:row>
          <xdr:rowOff>12700</xdr:rowOff>
        </xdr:from>
        <xdr:to>
          <xdr:col>13</xdr:col>
          <xdr:colOff>12700</xdr:colOff>
          <xdr:row>4</xdr:row>
          <xdr:rowOff>25400</xdr:rowOff>
        </xdr:to>
        <xdr:sp macro="" textlink="">
          <xdr:nvSpPr>
            <xdr:cNvPr id="1044" name="User Guide"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pitchFamily="2" charset="0"/>
                  <a:cs typeface="Calibri" pitchFamily="2" charset="0"/>
                </a:rPr>
                <a:t>User Guide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12700</xdr:colOff>
          <xdr:row>4</xdr:row>
          <xdr:rowOff>101600</xdr:rowOff>
        </xdr:from>
        <xdr:to>
          <xdr:col>13</xdr:col>
          <xdr:colOff>12700</xdr:colOff>
          <xdr:row>7</xdr:row>
          <xdr:rowOff>76200</xdr:rowOff>
        </xdr:to>
        <xdr:sp macro="" textlink="">
          <xdr:nvSpPr>
            <xdr:cNvPr id="1045" name="Other Calculators"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pitchFamily="2" charset="0"/>
                  <a:cs typeface="Calibri" pitchFamily="2" charset="0"/>
                </a:rPr>
                <a:t>Other Calculators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ctrlProp" Target="../ctrlProps/ctrlProp14.xml"/><Relationship Id="rId3" Type="http://schemas.openxmlformats.org/officeDocument/2006/relationships/drawing" Target="../drawings/drawing1.xml"/><Relationship Id="rId21" Type="http://schemas.openxmlformats.org/officeDocument/2006/relationships/ctrlProp" Target="../ctrlProps/ctrlProp17.x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ctrlProp" Target="../ctrlProps/ctrlProp21.xml"/><Relationship Id="rId2" Type="http://schemas.openxmlformats.org/officeDocument/2006/relationships/printerSettings" Target="../printerSettings/printerSettings1.bin"/><Relationship Id="rId16" Type="http://schemas.openxmlformats.org/officeDocument/2006/relationships/ctrlProp" Target="../ctrlProps/ctrlProp12.xml"/><Relationship Id="rId20" Type="http://schemas.openxmlformats.org/officeDocument/2006/relationships/ctrlProp" Target="../ctrlProps/ctrlProp16.xml"/><Relationship Id="rId1" Type="http://schemas.openxmlformats.org/officeDocument/2006/relationships/hyperlink" Target="https://www.macroption.com/terms/" TargetMode="External"/><Relationship Id="rId6" Type="http://schemas.openxmlformats.org/officeDocument/2006/relationships/ctrlProp" Target="../ctrlProps/ctrlProp2.xml"/><Relationship Id="rId11" Type="http://schemas.openxmlformats.org/officeDocument/2006/relationships/ctrlProp" Target="../ctrlProps/ctrlProp7.xml"/><Relationship Id="rId24" Type="http://schemas.openxmlformats.org/officeDocument/2006/relationships/ctrlProp" Target="../ctrlProps/ctrlProp20.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10" Type="http://schemas.openxmlformats.org/officeDocument/2006/relationships/ctrlProp" Target="../ctrlProps/ctrlProp6.xml"/><Relationship Id="rId19" Type="http://schemas.openxmlformats.org/officeDocument/2006/relationships/ctrlProp" Target="../ctrlProps/ctrlProp15.xml"/><Relationship Id="rId4" Type="http://schemas.openxmlformats.org/officeDocument/2006/relationships/vmlDrawing" Target="../drawings/vmlDrawing1.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92F039-B3BF-4485-897E-1C63FB46480D}">
  <sheetPr codeName="Sheet1"/>
  <dimension ref="A1:Y54"/>
  <sheetViews>
    <sheetView tabSelected="1" zoomScale="150" zoomScaleNormal="150" workbookViewId="0">
      <selection activeCell="G42" sqref="G42"/>
    </sheetView>
  </sheetViews>
  <sheetFormatPr baseColWidth="10" defaultColWidth="8.83203125" defaultRowHeight="15" x14ac:dyDescent="0.2"/>
  <cols>
    <col min="1" max="1" width="1.33203125" customWidth="1"/>
    <col min="2" max="2" width="17.33203125" customWidth="1"/>
    <col min="3" max="3" width="16.6640625" customWidth="1"/>
    <col min="4" max="4" width="4" customWidth="1"/>
    <col min="5" max="10" width="15.1640625" customWidth="1"/>
    <col min="11" max="12" width="1.33203125" customWidth="1"/>
    <col min="13" max="13" width="16.83203125" customWidth="1"/>
    <col min="14" max="14" width="1.33203125" customWidth="1"/>
    <col min="15" max="25" width="15.1640625" customWidth="1"/>
  </cols>
  <sheetData>
    <row r="1" spans="1:25" ht="24" customHeight="1" x14ac:dyDescent="0.3">
      <c r="A1" s="198" t="s">
        <v>39</v>
      </c>
      <c r="B1" s="199"/>
      <c r="C1" s="199"/>
      <c r="D1" s="199"/>
      <c r="E1" s="199"/>
      <c r="F1" s="202"/>
      <c r="G1" s="199"/>
      <c r="H1" s="199"/>
      <c r="I1" s="200"/>
      <c r="J1" s="199"/>
      <c r="K1" s="201"/>
      <c r="L1" s="46"/>
      <c r="M1" s="46"/>
      <c r="N1" s="46"/>
      <c r="O1" s="46"/>
      <c r="P1" s="46"/>
      <c r="Q1" s="46"/>
      <c r="R1" s="46"/>
      <c r="S1" s="46"/>
      <c r="T1" s="46"/>
      <c r="U1" s="46"/>
      <c r="V1" s="46"/>
      <c r="W1" s="46"/>
      <c r="X1" s="46"/>
      <c r="Y1" s="47"/>
    </row>
    <row r="2" spans="1:25" ht="3.5" customHeight="1" x14ac:dyDescent="0.2">
      <c r="A2" s="48"/>
      <c r="B2" s="8"/>
      <c r="C2" s="8"/>
      <c r="D2" s="8"/>
      <c r="E2" s="8"/>
      <c r="F2" s="8"/>
      <c r="G2" s="8"/>
      <c r="H2" s="8"/>
      <c r="I2" s="8"/>
      <c r="J2" s="8"/>
      <c r="K2" s="49"/>
      <c r="L2" s="8"/>
      <c r="M2" s="8"/>
      <c r="N2" s="8"/>
      <c r="O2" s="8"/>
      <c r="P2" s="8"/>
      <c r="Q2" s="8"/>
      <c r="R2" s="8"/>
      <c r="S2" s="8"/>
      <c r="T2" s="8"/>
      <c r="U2" s="8"/>
      <c r="V2" s="8"/>
      <c r="W2" s="8"/>
      <c r="X2" s="8"/>
      <c r="Y2" s="9"/>
    </row>
    <row r="3" spans="1:25" ht="14.5" customHeight="1" x14ac:dyDescent="0.2">
      <c r="A3" s="7"/>
      <c r="B3" s="2" t="s">
        <v>14</v>
      </c>
      <c r="C3" s="188">
        <v>3</v>
      </c>
      <c r="D3" s="8"/>
      <c r="E3" s="13" t="s">
        <v>26</v>
      </c>
      <c r="F3" s="13" t="s">
        <v>27</v>
      </c>
      <c r="G3" s="13" t="s">
        <v>28</v>
      </c>
      <c r="H3" s="13" t="s">
        <v>29</v>
      </c>
      <c r="I3" s="13" t="s">
        <v>30</v>
      </c>
      <c r="J3" s="13" t="s">
        <v>31</v>
      </c>
      <c r="K3" s="50"/>
      <c r="L3" s="8"/>
      <c r="M3" s="8"/>
      <c r="N3" s="8"/>
      <c r="O3" s="8"/>
      <c r="P3" s="8"/>
      <c r="Q3" s="8"/>
      <c r="R3" s="8"/>
      <c r="S3" s="8"/>
      <c r="T3" s="8"/>
      <c r="U3" s="8"/>
      <c r="V3" s="8"/>
      <c r="W3" s="8"/>
      <c r="X3" s="8"/>
      <c r="Y3" s="9"/>
    </row>
    <row r="4" spans="1:25" ht="14.5" customHeight="1" x14ac:dyDescent="0.2">
      <c r="A4" s="7"/>
      <c r="B4" s="2" t="s">
        <v>15</v>
      </c>
      <c r="C4" s="118">
        <v>101</v>
      </c>
      <c r="D4" s="8"/>
      <c r="E4" s="186">
        <f>IF(OR(StatusOK,IsExpired),BinOp(UndPrice,Strike,TimePct,Vol,Yield,IntRate,CallPut,AmEur,Model,Steps,1,DivAmount,ExDivPct),"")</f>
        <v>11.4292091305</v>
      </c>
      <c r="F4" s="186">
        <f>IF(StatusOK,BinOp(UndPrice,Strike,TimePct,Vol,Yield,IntRate,CallPut,AmEur,Model,Steps,2,DivAmount,ExDivPct),"")</f>
        <v>0.56204027229999998</v>
      </c>
      <c r="G4" s="186">
        <f>IF(StatusOK,BinOp(UndPrice,Strike,TimePct,Vol,Yield,IntRate,CallPut,AmEur,Model,Steps,3,DivAmount,ExDivPct),"")</f>
        <v>1.38865753E-2</v>
      </c>
      <c r="H4" s="186">
        <f>IF(StatusOK,BinOp(UndPrice,Strike,TimePct,Vol,Yield,IntRate,CallPut,AmEur,Model,Steps,4,DivAmount,ExDivPct),"")</f>
        <v>-2.13840262E-2</v>
      </c>
      <c r="I4" s="186">
        <f>IF(StatusOK,BinOp(UndPrice,Strike,TimePct,Vol,Yield,IntRate,CallPut,AmEur,Model,Steps,5,DivAmount,ExDivPct),"")</f>
        <v>0.37293619249999999</v>
      </c>
      <c r="J4" s="186">
        <f>IF(StatusOK,BinOp(UndPrice,Strike,TimePct,Vol,Yield,IntRate,CallPut,AmEur,Model,Steps,6,DivAmount,ExDivPct),"")</f>
        <v>0.42391941799999999</v>
      </c>
      <c r="K4" s="50"/>
      <c r="L4" s="8"/>
      <c r="M4" s="8"/>
      <c r="N4" s="8"/>
      <c r="O4" s="74"/>
      <c r="P4" s="8"/>
      <c r="Q4" s="8"/>
      <c r="R4" s="8"/>
      <c r="S4" s="8"/>
      <c r="T4" s="8"/>
      <c r="U4" s="8"/>
      <c r="V4" s="8"/>
      <c r="W4" s="8"/>
      <c r="X4" s="8"/>
      <c r="Y4" s="9"/>
    </row>
    <row r="5" spans="1:25" ht="14.5" customHeight="1" x14ac:dyDescent="0.2">
      <c r="A5" s="7"/>
      <c r="B5" s="8"/>
      <c r="C5" s="8"/>
      <c r="D5" s="8"/>
      <c r="E5" s="73" t="str">
        <f>StatusDesc</f>
        <v/>
      </c>
      <c r="F5" s="8"/>
      <c r="G5" s="8"/>
      <c r="H5" s="8"/>
      <c r="I5" s="8"/>
      <c r="J5" s="8"/>
      <c r="K5" s="50"/>
      <c r="L5" s="8"/>
      <c r="M5" s="8"/>
      <c r="N5" s="8"/>
      <c r="O5" s="8"/>
      <c r="P5" s="8"/>
      <c r="Q5" s="8"/>
      <c r="R5" s="8"/>
      <c r="S5" s="8"/>
      <c r="T5" s="8"/>
      <c r="U5" s="8"/>
      <c r="V5" s="8"/>
      <c r="W5" s="8"/>
      <c r="X5" s="8"/>
      <c r="Y5" s="9"/>
    </row>
    <row r="6" spans="1:25" ht="14.5" customHeight="1" x14ac:dyDescent="0.2">
      <c r="A6" s="7"/>
      <c r="B6" s="2" t="s">
        <v>91</v>
      </c>
      <c r="C6" s="188">
        <v>1</v>
      </c>
      <c r="D6" s="8"/>
      <c r="E6" s="16" t="s">
        <v>47</v>
      </c>
      <c r="F6" s="187">
        <v>1</v>
      </c>
      <c r="G6" s="3"/>
      <c r="H6" s="3"/>
      <c r="I6" s="20" t="str">
        <f>SeriesInputLabel1</f>
        <v/>
      </c>
      <c r="J6" s="21" t="str">
        <f>SeriesInputLabel2</f>
        <v/>
      </c>
      <c r="K6" s="50"/>
      <c r="L6" s="8"/>
      <c r="M6" s="8"/>
      <c r="N6" s="8"/>
      <c r="O6" s="8"/>
      <c r="P6" s="8"/>
      <c r="Q6" s="8"/>
      <c r="R6" s="8"/>
      <c r="S6" s="8"/>
      <c r="T6" s="8"/>
      <c r="U6" s="8"/>
      <c r="V6" s="8"/>
      <c r="W6" s="8"/>
      <c r="X6" s="8"/>
      <c r="Y6" s="9"/>
    </row>
    <row r="7" spans="1:25" ht="3.5" customHeight="1" x14ac:dyDescent="0.2">
      <c r="A7" s="7"/>
      <c r="B7" s="8"/>
      <c r="C7" s="8"/>
      <c r="D7" s="8"/>
      <c r="E7" s="8"/>
      <c r="F7" s="8"/>
      <c r="G7" s="8"/>
      <c r="H7" s="8"/>
      <c r="I7" s="8"/>
      <c r="J7" s="8"/>
      <c r="K7" s="50"/>
      <c r="L7" s="8"/>
      <c r="M7" s="8"/>
      <c r="N7" s="8"/>
      <c r="O7" s="8"/>
      <c r="P7" s="8"/>
      <c r="Q7" s="8"/>
      <c r="R7" s="8"/>
      <c r="S7" s="8"/>
      <c r="T7" s="8"/>
      <c r="U7" s="8"/>
      <c r="V7" s="8"/>
      <c r="W7" s="8"/>
      <c r="X7" s="8"/>
      <c r="Y7" s="9"/>
    </row>
    <row r="8" spans="1:25" ht="14.5" customHeight="1" x14ac:dyDescent="0.2">
      <c r="A8" s="7"/>
      <c r="B8" s="2" t="s">
        <v>298</v>
      </c>
      <c r="C8" s="118">
        <v>100</v>
      </c>
      <c r="D8" s="8"/>
      <c r="E8" s="126" t="s">
        <v>41</v>
      </c>
      <c r="F8" s="128">
        <v>2</v>
      </c>
      <c r="G8" s="8"/>
      <c r="H8" s="130" t="str">
        <f>Series1Name</f>
        <v>Blue</v>
      </c>
      <c r="I8" s="128"/>
      <c r="J8" s="127"/>
      <c r="K8" s="50"/>
      <c r="L8" s="8"/>
      <c r="M8" s="8"/>
      <c r="N8" s="8"/>
      <c r="O8" s="8"/>
      <c r="P8" s="8"/>
      <c r="Q8" s="8"/>
      <c r="R8" s="8"/>
      <c r="S8" s="8"/>
      <c r="T8" s="8"/>
      <c r="U8" s="8"/>
      <c r="V8" s="8"/>
      <c r="W8" s="8"/>
      <c r="X8" s="8"/>
      <c r="Y8" s="9"/>
    </row>
    <row r="9" spans="1:25" ht="3.5" customHeight="1" x14ac:dyDescent="0.2">
      <c r="A9" s="7"/>
      <c r="B9" s="8"/>
      <c r="C9" s="8"/>
      <c r="D9" s="8"/>
      <c r="E9" s="8"/>
      <c r="F9" s="8"/>
      <c r="G9" s="8"/>
      <c r="H9" s="8"/>
      <c r="I9" s="8"/>
      <c r="J9" s="8"/>
      <c r="K9" s="50"/>
      <c r="L9" s="8"/>
      <c r="M9" s="8"/>
      <c r="N9" s="8"/>
      <c r="O9" s="8"/>
      <c r="P9" s="8"/>
      <c r="Q9" s="8"/>
      <c r="R9" s="8"/>
      <c r="S9" s="8"/>
      <c r="T9" s="8"/>
      <c r="U9" s="8"/>
      <c r="V9" s="8"/>
      <c r="W9" s="8"/>
      <c r="X9" s="8"/>
      <c r="Y9" s="9"/>
    </row>
    <row r="10" spans="1:25" ht="14.5" customHeight="1" x14ac:dyDescent="0.2">
      <c r="A10" s="7"/>
      <c r="B10" s="2" t="s">
        <v>16</v>
      </c>
      <c r="C10" s="117">
        <v>0.3</v>
      </c>
      <c r="D10" s="8"/>
      <c r="E10" s="2" t="s">
        <v>42</v>
      </c>
      <c r="F10" s="188">
        <v>1</v>
      </c>
      <c r="G10" s="8"/>
      <c r="H10" s="130" t="str">
        <f>Series2Name</f>
        <v>Green</v>
      </c>
      <c r="I10" s="128"/>
      <c r="J10" s="127"/>
      <c r="K10" s="50"/>
      <c r="L10" s="8"/>
      <c r="M10" s="8"/>
      <c r="N10" s="8"/>
      <c r="O10" s="8"/>
      <c r="P10" s="8"/>
      <c r="Q10" s="8"/>
      <c r="R10" s="8"/>
      <c r="S10" s="8"/>
      <c r="T10" s="8"/>
      <c r="U10" s="8"/>
      <c r="V10" s="8"/>
      <c r="W10" s="8"/>
      <c r="X10" s="8"/>
      <c r="Y10" s="9"/>
    </row>
    <row r="11" spans="1:25" ht="3.5" customHeight="1" x14ac:dyDescent="0.2">
      <c r="A11" s="7"/>
      <c r="B11" s="8"/>
      <c r="C11" s="8"/>
      <c r="D11" s="8"/>
      <c r="E11" s="8"/>
      <c r="F11" s="8"/>
      <c r="G11" s="8"/>
      <c r="H11" s="8"/>
      <c r="I11" s="8"/>
      <c r="J11" s="8"/>
      <c r="K11" s="50"/>
      <c r="L11" s="8"/>
      <c r="M11" s="8"/>
      <c r="N11" s="8"/>
      <c r="O11" s="8"/>
      <c r="P11" s="8"/>
      <c r="Q11" s="8"/>
      <c r="R11" s="8"/>
      <c r="S11" s="8"/>
      <c r="T11" s="8"/>
      <c r="U11" s="8"/>
      <c r="V11" s="8"/>
      <c r="W11" s="8"/>
      <c r="X11" s="8"/>
      <c r="Y11" s="9"/>
    </row>
    <row r="12" spans="1:25" ht="14.5" customHeight="1" x14ac:dyDescent="0.2">
      <c r="A12" s="7"/>
      <c r="B12" s="2" t="s">
        <v>102</v>
      </c>
      <c r="C12" s="188">
        <v>1</v>
      </c>
      <c r="D12" s="8"/>
      <c r="E12" s="2" t="s">
        <v>43</v>
      </c>
      <c r="F12" s="188">
        <v>1</v>
      </c>
      <c r="G12" s="8"/>
      <c r="H12" s="130" t="str">
        <f>Series3Name</f>
        <v>Red</v>
      </c>
      <c r="I12" s="128"/>
      <c r="J12" s="127"/>
      <c r="K12" s="50"/>
      <c r="L12" s="8"/>
      <c r="M12" s="8"/>
      <c r="N12" s="8"/>
      <c r="O12" s="8"/>
      <c r="P12" s="8"/>
      <c r="Q12" s="8"/>
      <c r="R12" s="8"/>
      <c r="S12" s="8"/>
      <c r="T12" s="8"/>
      <c r="U12" s="8"/>
      <c r="V12" s="8"/>
      <c r="W12" s="8"/>
      <c r="X12" s="8"/>
      <c r="Y12" s="9"/>
    </row>
    <row r="13" spans="1:25" ht="3.5" customHeight="1" x14ac:dyDescent="0.2">
      <c r="A13" s="7"/>
      <c r="B13" s="8"/>
      <c r="C13" s="8"/>
      <c r="D13" s="8"/>
      <c r="E13" s="8"/>
      <c r="F13" s="8"/>
      <c r="G13" s="8"/>
      <c r="H13" s="8"/>
      <c r="I13" s="8"/>
      <c r="J13" s="8"/>
      <c r="K13" s="50"/>
      <c r="L13" s="8"/>
      <c r="M13" s="8"/>
      <c r="N13" s="8"/>
      <c r="O13" s="8"/>
      <c r="P13" s="8"/>
      <c r="Q13" s="8"/>
      <c r="R13" s="8"/>
      <c r="S13" s="8"/>
      <c r="T13" s="8"/>
      <c r="U13" s="8"/>
      <c r="V13" s="8"/>
      <c r="W13" s="8"/>
      <c r="X13" s="8"/>
      <c r="Y13" s="9"/>
    </row>
    <row r="14" spans="1:25" ht="14.5" customHeight="1" x14ac:dyDescent="0.2">
      <c r="A14" s="7"/>
      <c r="B14" s="2" t="s">
        <v>17</v>
      </c>
      <c r="C14" s="188">
        <v>1</v>
      </c>
      <c r="D14" s="8"/>
      <c r="E14" s="8"/>
      <c r="F14" s="8"/>
      <c r="G14" s="8"/>
      <c r="H14" s="8"/>
      <c r="I14" s="8"/>
      <c r="J14" s="8"/>
      <c r="K14" s="50"/>
      <c r="L14" s="8"/>
      <c r="M14" s="8"/>
      <c r="N14" s="8"/>
      <c r="O14" s="8"/>
      <c r="P14" s="8"/>
      <c r="Q14" s="8"/>
      <c r="R14" s="8"/>
      <c r="S14" s="8"/>
      <c r="T14" s="8"/>
      <c r="U14" s="8"/>
      <c r="V14" s="8"/>
      <c r="W14" s="8"/>
      <c r="X14" s="8"/>
      <c r="Y14" s="9"/>
    </row>
    <row r="15" spans="1:25" ht="3.5" customHeight="1" x14ac:dyDescent="0.2">
      <c r="A15" s="7"/>
      <c r="B15" s="8"/>
      <c r="C15" s="8"/>
      <c r="D15" s="8"/>
      <c r="E15" s="8"/>
      <c r="F15" s="8"/>
      <c r="G15" s="8"/>
      <c r="H15" s="8"/>
      <c r="I15" s="8"/>
      <c r="J15" s="8"/>
      <c r="K15" s="50"/>
      <c r="L15" s="8"/>
      <c r="M15" s="8"/>
      <c r="N15" s="8"/>
      <c r="O15" s="8"/>
      <c r="P15" s="8"/>
      <c r="Q15" s="8"/>
      <c r="R15" s="8"/>
      <c r="S15" s="8"/>
      <c r="T15" s="8"/>
      <c r="U15" s="8"/>
      <c r="V15" s="8"/>
      <c r="W15" s="8"/>
      <c r="X15" s="8"/>
      <c r="Y15" s="9"/>
    </row>
    <row r="16" spans="1:25" ht="14.5" customHeight="1" x14ac:dyDescent="0.2">
      <c r="A16" s="7"/>
      <c r="B16" s="2" t="s">
        <v>40</v>
      </c>
      <c r="C16" s="118">
        <v>100</v>
      </c>
      <c r="D16" s="8"/>
      <c r="E16" s="8"/>
      <c r="F16" s="8"/>
      <c r="G16" s="8"/>
      <c r="H16" s="8"/>
      <c r="I16" s="8"/>
      <c r="J16" s="8"/>
      <c r="K16" s="50"/>
      <c r="L16" s="8"/>
      <c r="M16" s="8"/>
      <c r="N16" s="8"/>
      <c r="O16" s="8"/>
      <c r="P16" s="8"/>
      <c r="Q16" s="8"/>
      <c r="R16" s="8"/>
      <c r="S16" s="8"/>
      <c r="T16" s="8"/>
      <c r="U16" s="8"/>
      <c r="V16" s="8"/>
      <c r="W16" s="8"/>
      <c r="X16" s="8"/>
      <c r="Y16" s="9"/>
    </row>
    <row r="17" spans="1:25" ht="3.5" customHeight="1" x14ac:dyDescent="0.2">
      <c r="A17" s="7"/>
      <c r="B17" s="8"/>
      <c r="C17" s="8"/>
      <c r="D17" s="8"/>
      <c r="E17" s="8"/>
      <c r="F17" s="8"/>
      <c r="G17" s="8"/>
      <c r="H17" s="8"/>
      <c r="I17" s="8"/>
      <c r="J17" s="8"/>
      <c r="K17" s="50"/>
      <c r="L17" s="8"/>
      <c r="M17" s="8"/>
      <c r="N17" s="8"/>
      <c r="O17" s="8"/>
      <c r="P17" s="8"/>
      <c r="Q17" s="8"/>
      <c r="R17" s="8"/>
      <c r="S17" s="8"/>
      <c r="T17" s="8"/>
      <c r="U17" s="8"/>
      <c r="V17" s="8"/>
      <c r="W17" s="8"/>
      <c r="X17" s="8"/>
      <c r="Y17" s="9"/>
    </row>
    <row r="18" spans="1:25" ht="14.5" customHeight="1" x14ac:dyDescent="0.2">
      <c r="A18" s="7"/>
      <c r="B18" s="2" t="s">
        <v>97</v>
      </c>
      <c r="C18" s="188">
        <v>1</v>
      </c>
      <c r="D18" s="8"/>
      <c r="E18" s="8"/>
      <c r="F18" s="8"/>
      <c r="G18" s="8"/>
      <c r="H18" s="8"/>
      <c r="I18" s="8"/>
      <c r="J18" s="8"/>
      <c r="K18" s="50"/>
      <c r="L18" s="8"/>
      <c r="M18" s="8"/>
      <c r="N18" s="8"/>
      <c r="O18" s="8"/>
      <c r="P18" s="8"/>
      <c r="Q18" s="8"/>
      <c r="R18" s="8"/>
      <c r="S18" s="8"/>
      <c r="T18" s="8"/>
      <c r="U18" s="8"/>
      <c r="V18" s="8"/>
      <c r="W18" s="8"/>
      <c r="X18" s="8"/>
      <c r="Y18" s="9"/>
    </row>
    <row r="19" spans="1:25" ht="14.5" customHeight="1" x14ac:dyDescent="0.2">
      <c r="A19" s="7"/>
      <c r="B19" s="15" t="s">
        <v>92</v>
      </c>
      <c r="C19" s="209">
        <v>45239</v>
      </c>
      <c r="D19" s="8"/>
      <c r="E19" s="8"/>
      <c r="F19" s="8"/>
      <c r="G19" s="8"/>
      <c r="H19" s="8"/>
      <c r="I19" s="8"/>
      <c r="J19" s="8"/>
      <c r="K19" s="50"/>
      <c r="L19" s="8"/>
      <c r="M19" s="8"/>
      <c r="N19" s="8"/>
      <c r="O19" s="8"/>
      <c r="P19" s="8"/>
      <c r="Q19" s="8"/>
      <c r="R19" s="8"/>
      <c r="S19" s="8"/>
      <c r="T19" s="8"/>
      <c r="U19" s="8"/>
      <c r="V19" s="8"/>
      <c r="W19" s="8"/>
      <c r="X19" s="8"/>
      <c r="Y19" s="9"/>
    </row>
    <row r="20" spans="1:25" ht="14.5" customHeight="1" x14ac:dyDescent="0.2">
      <c r="A20" s="7"/>
      <c r="B20" s="15" t="s">
        <v>93</v>
      </c>
      <c r="C20" s="210">
        <v>0.56372685185185178</v>
      </c>
      <c r="D20" s="8"/>
      <c r="E20" s="8"/>
      <c r="F20" s="8"/>
      <c r="G20" s="8"/>
      <c r="H20" s="8"/>
      <c r="I20" s="8"/>
      <c r="J20" s="8"/>
      <c r="K20" s="50"/>
      <c r="L20" s="8"/>
      <c r="M20" s="8"/>
      <c r="N20" s="8"/>
      <c r="O20" s="8"/>
      <c r="P20" s="8"/>
      <c r="Q20" s="8"/>
      <c r="R20" s="8"/>
      <c r="S20" s="8"/>
      <c r="T20" s="8"/>
      <c r="U20" s="8"/>
      <c r="V20" s="8"/>
      <c r="W20" s="8"/>
      <c r="X20" s="8"/>
      <c r="Y20" s="9"/>
    </row>
    <row r="21" spans="1:25" ht="14.5" customHeight="1" x14ac:dyDescent="0.2">
      <c r="A21" s="7"/>
      <c r="B21" s="15" t="s">
        <v>94</v>
      </c>
      <c r="C21" s="209">
        <v>45605</v>
      </c>
      <c r="D21" s="8"/>
      <c r="E21" s="8"/>
      <c r="F21" s="8"/>
      <c r="G21" s="8"/>
      <c r="H21" s="8"/>
      <c r="I21" s="8"/>
      <c r="J21" s="8"/>
      <c r="K21" s="50"/>
      <c r="L21" s="8"/>
      <c r="M21" s="8"/>
      <c r="N21" s="8"/>
      <c r="O21" s="8"/>
      <c r="P21" s="8"/>
      <c r="Q21" s="8"/>
      <c r="R21" s="8"/>
      <c r="S21" s="8"/>
      <c r="T21" s="8"/>
      <c r="U21" s="8"/>
      <c r="V21" s="8"/>
      <c r="W21" s="8"/>
      <c r="X21" s="8"/>
      <c r="Y21" s="9"/>
    </row>
    <row r="22" spans="1:25" ht="14.5" customHeight="1" x14ac:dyDescent="0.2">
      <c r="A22" s="7"/>
      <c r="B22" s="15" t="s">
        <v>95</v>
      </c>
      <c r="C22" s="210">
        <v>0.56372685185488081</v>
      </c>
      <c r="D22" s="8"/>
      <c r="E22" s="8"/>
      <c r="F22" s="8"/>
      <c r="G22" s="8"/>
      <c r="H22" s="8"/>
      <c r="I22" s="8"/>
      <c r="J22" s="8"/>
      <c r="K22" s="50"/>
      <c r="L22" s="8"/>
      <c r="M22" s="8"/>
      <c r="N22" s="8"/>
      <c r="O22" s="8"/>
      <c r="P22" s="8"/>
      <c r="Q22" s="8"/>
      <c r="R22" s="8"/>
      <c r="S22" s="8"/>
      <c r="T22" s="8"/>
      <c r="U22" s="8"/>
      <c r="V22" s="8"/>
      <c r="W22" s="8"/>
      <c r="X22" s="8"/>
      <c r="Y22" s="9"/>
    </row>
    <row r="23" spans="1:25" ht="14.5" customHeight="1" x14ac:dyDescent="0.2">
      <c r="A23" s="7"/>
      <c r="B23" s="15" t="s">
        <v>86</v>
      </c>
      <c r="C23" s="190">
        <f>(ExpDate+ExpTime)-(ValDate+ValTime)</f>
        <v>366</v>
      </c>
      <c r="D23" s="8"/>
      <c r="E23" s="8"/>
      <c r="F23" s="8"/>
      <c r="G23" s="8"/>
      <c r="H23" s="8"/>
      <c r="I23" s="8"/>
      <c r="J23" s="8"/>
      <c r="K23" s="50"/>
      <c r="L23" s="8"/>
      <c r="M23" s="8"/>
      <c r="N23" s="8"/>
      <c r="O23" s="8"/>
      <c r="P23" s="8"/>
      <c r="Q23" s="8"/>
      <c r="R23" s="8"/>
      <c r="S23" s="8"/>
      <c r="T23" s="8"/>
      <c r="U23" s="8"/>
      <c r="V23" s="8"/>
      <c r="W23" s="8"/>
      <c r="X23" s="8"/>
      <c r="Y23" s="9"/>
    </row>
    <row r="24" spans="1:25" ht="14.5" customHeight="1" x14ac:dyDescent="0.2">
      <c r="A24" s="7"/>
      <c r="B24" s="15" t="s">
        <v>96</v>
      </c>
      <c r="C24" s="189">
        <f>TimeDays/DaysPerYear</f>
        <v>1.0027397260273974</v>
      </c>
      <c r="D24" s="8"/>
      <c r="E24" s="8"/>
      <c r="F24" s="8"/>
      <c r="G24" s="8"/>
      <c r="H24" s="8"/>
      <c r="I24" s="8"/>
      <c r="J24" s="8"/>
      <c r="K24" s="50"/>
      <c r="L24" s="8"/>
      <c r="M24" s="8"/>
      <c r="N24" s="8"/>
      <c r="O24" s="8"/>
      <c r="P24" s="8"/>
      <c r="Q24" s="8"/>
      <c r="R24" s="8"/>
      <c r="S24" s="8"/>
      <c r="T24" s="8"/>
      <c r="U24" s="8"/>
      <c r="V24" s="8"/>
      <c r="W24" s="8"/>
      <c r="X24" s="8"/>
      <c r="Y24" s="9"/>
    </row>
    <row r="25" spans="1:25" ht="3.5" customHeight="1" x14ac:dyDescent="0.2">
      <c r="A25" s="7"/>
      <c r="B25" s="8"/>
      <c r="C25" s="8"/>
      <c r="D25" s="8"/>
      <c r="E25" s="8"/>
      <c r="F25" s="8"/>
      <c r="G25" s="8"/>
      <c r="H25" s="8"/>
      <c r="I25" s="8"/>
      <c r="J25" s="8"/>
      <c r="K25" s="50"/>
      <c r="L25" s="8"/>
      <c r="M25" s="8"/>
      <c r="N25" s="8"/>
      <c r="O25" s="8"/>
      <c r="P25" s="8"/>
      <c r="Q25" s="8"/>
      <c r="R25" s="8"/>
      <c r="S25" s="8"/>
      <c r="T25" s="8"/>
      <c r="U25" s="8"/>
      <c r="V25" s="8"/>
      <c r="W25" s="8"/>
      <c r="X25" s="8"/>
      <c r="Y25" s="9"/>
    </row>
    <row r="26" spans="1:25" x14ac:dyDescent="0.2">
      <c r="A26" s="7"/>
      <c r="B26" s="15" t="s">
        <v>170</v>
      </c>
      <c r="C26" s="119">
        <v>5.2999999999999999E-2</v>
      </c>
      <c r="D26" s="8"/>
      <c r="E26" s="8"/>
      <c r="F26" s="8"/>
      <c r="G26" s="8"/>
      <c r="H26" s="8"/>
      <c r="I26" s="8"/>
      <c r="J26" s="8"/>
      <c r="K26" s="50"/>
      <c r="L26" s="8"/>
      <c r="M26" s="8"/>
      <c r="N26" s="8"/>
      <c r="O26" s="8"/>
      <c r="P26" s="8"/>
      <c r="Q26" s="8"/>
      <c r="R26" s="8"/>
      <c r="S26" s="8"/>
      <c r="T26" s="8"/>
      <c r="U26" s="8"/>
      <c r="V26" s="8"/>
      <c r="W26" s="8"/>
      <c r="X26" s="8"/>
      <c r="Y26" s="9"/>
    </row>
    <row r="27" spans="1:25" ht="3.5" customHeight="1" x14ac:dyDescent="0.2">
      <c r="A27" s="7"/>
      <c r="B27" s="8"/>
      <c r="C27" s="8"/>
      <c r="D27" s="8"/>
      <c r="E27" s="8"/>
      <c r="F27" s="8"/>
      <c r="G27" s="8"/>
      <c r="H27" s="8"/>
      <c r="I27" s="8"/>
      <c r="J27" s="8"/>
      <c r="K27" s="50"/>
      <c r="L27" s="8"/>
      <c r="M27" s="8"/>
      <c r="N27" s="8"/>
      <c r="O27" s="8"/>
      <c r="P27" s="8"/>
      <c r="Q27" s="8"/>
      <c r="R27" s="8"/>
      <c r="S27" s="8"/>
      <c r="T27" s="8"/>
      <c r="U27" s="8"/>
      <c r="V27" s="8"/>
      <c r="W27" s="8"/>
      <c r="X27" s="8"/>
      <c r="Y27" s="9"/>
    </row>
    <row r="28" spans="1:25" ht="14.5" customHeight="1" x14ac:dyDescent="0.2">
      <c r="A28" s="7"/>
      <c r="B28" s="15" t="s">
        <v>98</v>
      </c>
      <c r="C28" s="190">
        <v>2</v>
      </c>
      <c r="D28" s="8"/>
      <c r="E28" s="8"/>
      <c r="F28" s="8"/>
      <c r="G28" s="8"/>
      <c r="H28" s="8"/>
      <c r="I28" s="8"/>
      <c r="J28" s="8"/>
      <c r="K28" s="50"/>
      <c r="L28" s="8"/>
      <c r="M28" s="8"/>
      <c r="N28" s="8"/>
      <c r="O28" s="8"/>
      <c r="P28" s="8"/>
      <c r="Q28" s="8"/>
      <c r="R28" s="8"/>
      <c r="S28" s="8"/>
      <c r="T28" s="8"/>
      <c r="U28" s="8"/>
      <c r="V28" s="8"/>
      <c r="W28" s="8"/>
      <c r="X28" s="8"/>
      <c r="Y28" s="9"/>
    </row>
    <row r="29" spans="1:25" x14ac:dyDescent="0.2">
      <c r="A29" s="7"/>
      <c r="B29" s="126" t="s">
        <v>299</v>
      </c>
      <c r="C29" s="129">
        <v>0</v>
      </c>
      <c r="D29" s="8"/>
      <c r="E29" s="8"/>
      <c r="F29" s="8"/>
      <c r="G29" s="8"/>
      <c r="H29" s="8"/>
      <c r="I29" s="8"/>
      <c r="J29" s="8"/>
      <c r="K29" s="50"/>
      <c r="L29" s="8"/>
      <c r="M29" s="8"/>
      <c r="N29" s="8"/>
      <c r="O29" s="8"/>
      <c r="P29" s="8"/>
      <c r="Q29" s="8"/>
      <c r="R29" s="8"/>
      <c r="S29" s="8"/>
      <c r="T29" s="8"/>
      <c r="U29" s="8"/>
      <c r="V29" s="8"/>
      <c r="W29" s="8"/>
      <c r="X29" s="8"/>
      <c r="Y29" s="9"/>
    </row>
    <row r="30" spans="1:25" x14ac:dyDescent="0.2">
      <c r="A30" s="7"/>
      <c r="B30" s="15" t="s">
        <v>88</v>
      </c>
      <c r="C30" s="123">
        <v>5</v>
      </c>
      <c r="D30" s="8"/>
      <c r="E30" s="8"/>
      <c r="F30" s="8"/>
      <c r="G30" s="8"/>
      <c r="H30" s="8"/>
      <c r="I30" s="8"/>
      <c r="J30" s="8"/>
      <c r="K30" s="50"/>
      <c r="L30" s="8"/>
      <c r="M30" s="8"/>
      <c r="N30" s="8"/>
      <c r="O30" s="8"/>
      <c r="P30" s="8"/>
      <c r="Q30" s="8"/>
      <c r="R30" s="8"/>
      <c r="S30" s="8"/>
      <c r="T30" s="8"/>
      <c r="U30" s="8"/>
      <c r="V30" s="8"/>
      <c r="W30" s="8"/>
      <c r="X30" s="8"/>
      <c r="Y30" s="9"/>
    </row>
    <row r="31" spans="1:25" x14ac:dyDescent="0.2">
      <c r="A31" s="7"/>
      <c r="B31" s="15" t="s">
        <v>101</v>
      </c>
      <c r="C31" s="190">
        <v>1</v>
      </c>
      <c r="D31" s="8"/>
      <c r="E31" s="8"/>
      <c r="F31" s="8"/>
      <c r="G31" s="8"/>
      <c r="H31" s="8"/>
      <c r="I31" s="8"/>
      <c r="J31" s="8"/>
      <c r="K31" s="50"/>
      <c r="L31" s="8"/>
      <c r="M31" s="8"/>
      <c r="N31" s="8"/>
      <c r="O31" s="8"/>
      <c r="P31" s="8"/>
      <c r="Q31" s="8"/>
      <c r="R31" s="8"/>
      <c r="S31" s="8"/>
      <c r="T31" s="8"/>
      <c r="U31" s="8"/>
      <c r="V31" s="8"/>
      <c r="W31" s="8"/>
      <c r="X31" s="8"/>
      <c r="Y31" s="9"/>
    </row>
    <row r="32" spans="1:25" x14ac:dyDescent="0.2">
      <c r="A32" s="7"/>
      <c r="B32" s="15" t="s">
        <v>99</v>
      </c>
      <c r="C32" s="209">
        <v>45275</v>
      </c>
      <c r="D32" s="8"/>
      <c r="E32" s="8"/>
      <c r="F32" s="8"/>
      <c r="G32" s="8"/>
      <c r="H32" s="8"/>
      <c r="I32" s="8"/>
      <c r="J32" s="8"/>
      <c r="K32" s="50"/>
      <c r="L32" s="8"/>
      <c r="M32" s="8"/>
      <c r="N32" s="8"/>
      <c r="O32" s="8"/>
      <c r="P32" s="8"/>
      <c r="Q32" s="8"/>
      <c r="R32" s="8"/>
      <c r="S32" s="8"/>
      <c r="T32" s="8"/>
      <c r="U32" s="8"/>
      <c r="V32" s="8"/>
      <c r="W32" s="8"/>
      <c r="X32" s="8"/>
      <c r="Y32" s="9"/>
    </row>
    <row r="33" spans="1:25" ht="14.5" customHeight="1" x14ac:dyDescent="0.2">
      <c r="A33" s="7"/>
      <c r="B33" s="15" t="s">
        <v>100</v>
      </c>
      <c r="C33" s="210">
        <v>0.56372685185488081</v>
      </c>
      <c r="D33" s="8"/>
      <c r="E33" s="8"/>
      <c r="F33" s="8"/>
      <c r="G33" s="8"/>
      <c r="H33" s="8"/>
      <c r="I33" s="8"/>
      <c r="J33" s="8"/>
      <c r="K33" s="50"/>
      <c r="L33" s="8"/>
      <c r="M33" s="8"/>
      <c r="N33" s="8"/>
      <c r="O33" s="8"/>
      <c r="P33" s="8"/>
      <c r="Q33" s="8"/>
      <c r="R33" s="8"/>
      <c r="S33" s="8"/>
      <c r="T33" s="8"/>
      <c r="U33" s="8"/>
      <c r="V33" s="8"/>
      <c r="W33" s="8"/>
      <c r="X33" s="8"/>
      <c r="Y33" s="9"/>
    </row>
    <row r="34" spans="1:25" ht="14.5" customHeight="1" x14ac:dyDescent="0.2">
      <c r="A34" s="7"/>
      <c r="B34" s="15" t="s">
        <v>70</v>
      </c>
      <c r="C34" s="190">
        <f>(ExDivDate+ExDivTime)-(ValDate+ValTime)</f>
        <v>36</v>
      </c>
      <c r="D34" s="8"/>
      <c r="E34" s="8"/>
      <c r="F34" s="8"/>
      <c r="G34" s="8"/>
      <c r="H34" s="8"/>
      <c r="I34" s="8"/>
      <c r="J34" s="8"/>
      <c r="K34" s="50"/>
      <c r="L34" s="8"/>
      <c r="M34" s="8"/>
      <c r="N34" s="8"/>
      <c r="O34" s="8"/>
      <c r="P34" s="8"/>
      <c r="Q34" s="8"/>
      <c r="R34" s="8"/>
      <c r="S34" s="8"/>
      <c r="T34" s="8"/>
      <c r="U34" s="8"/>
      <c r="V34" s="8"/>
      <c r="W34" s="8"/>
      <c r="X34" s="8"/>
      <c r="Y34" s="9"/>
    </row>
    <row r="35" spans="1:25" ht="14.5" customHeight="1" x14ac:dyDescent="0.2">
      <c r="A35" s="7"/>
      <c r="B35" s="15" t="s">
        <v>71</v>
      </c>
      <c r="C35" s="213">
        <f>ExDivDays/DaysPerYear</f>
        <v>9.8630136986301367E-2</v>
      </c>
      <c r="D35" s="8"/>
      <c r="E35" s="8"/>
      <c r="F35" s="8"/>
      <c r="G35" s="8"/>
      <c r="H35" s="8"/>
      <c r="I35" s="8"/>
      <c r="J35" s="8"/>
      <c r="K35" s="50"/>
      <c r="L35" s="8"/>
      <c r="M35" s="8"/>
      <c r="N35" s="8"/>
      <c r="O35" s="8"/>
      <c r="P35" s="8"/>
      <c r="Q35" s="8"/>
      <c r="R35" s="8"/>
      <c r="S35" s="8"/>
      <c r="T35" s="8"/>
      <c r="U35" s="8"/>
      <c r="V35" s="8"/>
      <c r="W35" s="8"/>
      <c r="X35" s="8"/>
      <c r="Y35" s="9"/>
    </row>
    <row r="36" spans="1:25" ht="3.5" customHeight="1" x14ac:dyDescent="0.2">
      <c r="A36" s="98"/>
      <c r="B36" s="99"/>
      <c r="C36" s="99"/>
      <c r="D36" s="99"/>
      <c r="E36" s="99"/>
      <c r="F36" s="99"/>
      <c r="G36" s="99"/>
      <c r="H36" s="99"/>
      <c r="I36" s="99"/>
      <c r="J36" s="99"/>
      <c r="K36" s="100"/>
      <c r="L36" s="8"/>
      <c r="M36" s="8"/>
      <c r="N36" s="8"/>
      <c r="O36" s="8"/>
      <c r="P36" s="8"/>
      <c r="Q36" s="8"/>
      <c r="R36" s="8"/>
      <c r="S36" s="8"/>
      <c r="T36" s="8"/>
      <c r="U36" s="8"/>
      <c r="V36" s="8"/>
      <c r="W36" s="8"/>
      <c r="X36" s="8"/>
      <c r="Y36" s="9"/>
    </row>
    <row r="37" spans="1:25" ht="14.5" customHeight="1" x14ac:dyDescent="0.2">
      <c r="A37" s="7"/>
      <c r="B37" s="8"/>
      <c r="C37" s="8"/>
      <c r="D37" s="8"/>
      <c r="E37" s="8"/>
      <c r="F37" s="8"/>
      <c r="G37" s="8"/>
      <c r="H37" s="8"/>
      <c r="I37" s="8"/>
      <c r="J37" s="8"/>
      <c r="K37" s="50"/>
      <c r="L37" s="8"/>
      <c r="M37" s="8"/>
      <c r="N37" s="8"/>
      <c r="O37" s="8"/>
      <c r="P37" s="8"/>
      <c r="Q37" s="8"/>
      <c r="R37" s="8"/>
      <c r="S37" s="8"/>
      <c r="T37" s="8"/>
      <c r="U37" s="8"/>
      <c r="V37" s="8"/>
      <c r="W37" s="8"/>
      <c r="X37" s="8"/>
      <c r="Y37" s="9"/>
    </row>
    <row r="38" spans="1:25" ht="14.5" customHeight="1" x14ac:dyDescent="0.2">
      <c r="A38" s="7"/>
      <c r="B38" s="196" t="s">
        <v>85</v>
      </c>
      <c r="C38" s="197"/>
      <c r="D38" s="8"/>
      <c r="E38" s="8"/>
      <c r="F38" s="8"/>
      <c r="G38" s="8"/>
      <c r="H38" s="8"/>
      <c r="I38" s="8"/>
      <c r="J38" s="8"/>
      <c r="K38" s="50"/>
      <c r="L38" s="8"/>
      <c r="M38" s="115"/>
      <c r="N38" s="8"/>
      <c r="O38" s="8"/>
      <c r="P38" s="8"/>
      <c r="Q38" s="8"/>
      <c r="R38" s="8"/>
      <c r="S38" s="8"/>
      <c r="T38" s="8"/>
      <c r="U38" s="8"/>
      <c r="V38" s="8"/>
      <c r="W38" s="8"/>
      <c r="X38" s="8"/>
      <c r="Y38" s="9"/>
    </row>
    <row r="39" spans="1:25" ht="14.5" customHeight="1" x14ac:dyDescent="0.2">
      <c r="A39" s="7"/>
      <c r="B39" s="25" t="s">
        <v>15</v>
      </c>
      <c r="C39" s="132">
        <f>IF(AND(Model=3,LRAdjustSteps,MOD(StepsManual,2)=0),StepsManual+1,StepsManual)</f>
        <v>101</v>
      </c>
      <c r="D39" s="8"/>
      <c r="E39" s="8"/>
      <c r="F39" s="8"/>
      <c r="G39" s="8"/>
      <c r="H39" s="8"/>
      <c r="I39" s="8"/>
      <c r="J39" s="8"/>
      <c r="K39" s="50"/>
      <c r="L39" s="8"/>
      <c r="M39" s="115"/>
      <c r="N39" s="8"/>
      <c r="O39" s="8"/>
      <c r="P39" s="8"/>
      <c r="Q39" s="8"/>
      <c r="R39" s="8"/>
      <c r="S39" s="8"/>
      <c r="T39" s="8"/>
      <c r="U39" s="8"/>
      <c r="V39" s="8"/>
      <c r="W39" s="8"/>
      <c r="X39" s="8"/>
      <c r="Y39" s="9"/>
    </row>
    <row r="40" spans="1:25" x14ac:dyDescent="0.2">
      <c r="A40" s="7"/>
      <c r="B40" s="25" t="s">
        <v>72</v>
      </c>
      <c r="C40" s="133">
        <f>IF(AND(ISNUMBER(TimePct),ISNUMBER(Steps)),IF(AND(TimePct&gt;0,Steps&gt;0),TimePct/Steps,""),"")</f>
        <v>9.9281160992811621E-3</v>
      </c>
      <c r="D40" s="8"/>
      <c r="E40" s="8"/>
      <c r="F40" s="8"/>
      <c r="G40" s="8"/>
      <c r="H40" s="8"/>
      <c r="I40" s="8"/>
      <c r="J40" s="8"/>
      <c r="K40" s="50"/>
      <c r="L40" s="8"/>
      <c r="M40" s="115"/>
      <c r="N40" s="8"/>
      <c r="O40" s="8"/>
      <c r="P40" s="8"/>
      <c r="Q40" s="8"/>
      <c r="R40" s="8"/>
      <c r="S40" s="8"/>
      <c r="T40" s="8"/>
      <c r="U40" s="8"/>
      <c r="V40" s="8"/>
      <c r="W40" s="8"/>
      <c r="X40" s="8"/>
      <c r="Y40" s="9"/>
    </row>
    <row r="41" spans="1:25" x14ac:dyDescent="0.2">
      <c r="A41" s="7"/>
      <c r="B41" s="15" t="s">
        <v>73</v>
      </c>
      <c r="C41" s="131">
        <f>IF(AND(ISNUMBER(TimePct),ISNUMBER(Vol)),IF(TimePct&gt;0,Vol*SQRT(TimePct),""),"")</f>
        <v>0.30041067781033642</v>
      </c>
      <c r="D41" s="8"/>
      <c r="E41" s="8"/>
      <c r="F41" s="8"/>
      <c r="G41" s="8"/>
      <c r="H41" s="8"/>
      <c r="I41" s="8"/>
      <c r="J41" s="8"/>
      <c r="K41" s="50"/>
      <c r="L41" s="8"/>
      <c r="M41" s="115"/>
      <c r="N41" s="8"/>
      <c r="O41" s="8"/>
      <c r="P41" s="8"/>
      <c r="Q41" s="8"/>
      <c r="R41" s="8"/>
      <c r="S41" s="8"/>
      <c r="T41" s="8"/>
      <c r="U41" s="8"/>
      <c r="V41" s="8"/>
      <c r="W41" s="8"/>
      <c r="X41" s="8"/>
      <c r="Y41" s="9"/>
    </row>
    <row r="42" spans="1:25" x14ac:dyDescent="0.2">
      <c r="A42" s="7"/>
      <c r="B42" s="15" t="s">
        <v>74</v>
      </c>
      <c r="C42" s="131">
        <f>IF(StepPct="","",Vol*SQRT(StepPct))</f>
        <v>2.9891979675747547E-2</v>
      </c>
      <c r="D42" s="8"/>
      <c r="E42" s="8"/>
      <c r="F42" s="8"/>
      <c r="G42" s="8"/>
      <c r="H42" s="8"/>
      <c r="I42" s="8"/>
      <c r="J42" s="8"/>
      <c r="K42" s="50"/>
      <c r="L42" s="8"/>
      <c r="M42" s="115"/>
      <c r="N42" s="8"/>
      <c r="O42" s="8"/>
      <c r="P42" s="8"/>
      <c r="Q42" s="8"/>
      <c r="R42" s="8"/>
      <c r="S42" s="8"/>
      <c r="T42" s="8"/>
      <c r="U42" s="8"/>
      <c r="V42" s="8"/>
      <c r="W42" s="8"/>
      <c r="X42" s="8"/>
      <c r="Y42" s="9"/>
    </row>
    <row r="43" spans="1:25" x14ac:dyDescent="0.2">
      <c r="A43" s="7"/>
      <c r="B43" s="15" t="s">
        <v>75</v>
      </c>
      <c r="C43" s="131">
        <f>IF(StatusOK,EXP(-IntRate*StepPct),"")</f>
        <v>0.9994739482604984</v>
      </c>
      <c r="D43" s="8"/>
      <c r="E43" s="8"/>
      <c r="F43" s="8"/>
      <c r="G43" s="8"/>
      <c r="H43" s="8"/>
      <c r="I43" s="8"/>
      <c r="J43" s="8"/>
      <c r="K43" s="50"/>
      <c r="L43" s="8"/>
      <c r="M43" s="115"/>
      <c r="N43" s="8"/>
      <c r="O43" s="8"/>
      <c r="P43" s="8"/>
      <c r="Q43" s="8"/>
      <c r="R43" s="8"/>
      <c r="S43" s="8"/>
      <c r="T43" s="8"/>
      <c r="U43" s="8"/>
      <c r="V43" s="8"/>
      <c r="W43" s="8"/>
      <c r="X43" s="8"/>
      <c r="Y43" s="9"/>
    </row>
    <row r="44" spans="1:25" x14ac:dyDescent="0.2">
      <c r="A44" s="7"/>
      <c r="B44" s="15" t="s">
        <v>76</v>
      </c>
      <c r="C44" s="131">
        <f>IF(StatusOK,EXP((IntRate-Yield)*StepPct),"")</f>
        <v>1.0005263286155854</v>
      </c>
      <c r="D44" s="8"/>
      <c r="E44" s="8"/>
      <c r="F44" s="8"/>
      <c r="G44" s="8"/>
      <c r="H44" s="8"/>
      <c r="I44" s="8"/>
      <c r="J44" s="8"/>
      <c r="K44" s="50"/>
      <c r="L44" s="8"/>
      <c r="M44" s="115"/>
      <c r="N44" s="8"/>
      <c r="O44" s="8"/>
      <c r="P44" s="8"/>
      <c r="Q44" s="8"/>
      <c r="R44" s="8"/>
      <c r="S44" s="8"/>
      <c r="T44" s="8"/>
      <c r="U44" s="8"/>
      <c r="V44" s="8"/>
      <c r="W44" s="8"/>
      <c r="X44" s="8"/>
      <c r="Y44" s="9"/>
    </row>
    <row r="45" spans="1:25" x14ac:dyDescent="0.2">
      <c r="A45" s="7"/>
      <c r="B45" s="15" t="s">
        <v>77</v>
      </c>
      <c r="C45" s="134">
        <f>IF(StatusOK,IF(Model=1,EXP(VolSQRTStep),IF(Model=2,EXP((IntRate-Yield-0.5*Vol^2)*StepPct+VolSQRTStep),StepCost*LR_p_d1/UpProb)),"")</f>
        <v>1.0302725602967848</v>
      </c>
      <c r="D45" s="8"/>
      <c r="E45" s="8"/>
      <c r="F45" s="8"/>
      <c r="G45" s="8"/>
      <c r="H45" s="8"/>
      <c r="I45" s="8"/>
      <c r="J45" s="8"/>
      <c r="K45" s="50"/>
      <c r="L45" s="8"/>
      <c r="M45" s="115"/>
      <c r="N45" s="8"/>
      <c r="O45" s="8"/>
      <c r="P45" s="8"/>
      <c r="Q45" s="8"/>
      <c r="R45" s="8"/>
      <c r="S45" s="8"/>
      <c r="T45" s="8"/>
      <c r="U45" s="8"/>
      <c r="V45" s="8"/>
      <c r="W45" s="8"/>
      <c r="X45" s="8"/>
      <c r="Y45" s="9"/>
    </row>
    <row r="46" spans="1:25" x14ac:dyDescent="0.2">
      <c r="A46" s="7"/>
      <c r="B46" s="15" t="s">
        <v>78</v>
      </c>
      <c r="C46" s="131">
        <f>IF(StatusOK,IF(Model=1,1/UpMove,IF(Model=2,EXP((IntRate-Yield-0.5*Vol^2)*StepPct-VolSQRTStep),StepCost*(1-LR_p_d1)/(1-UpProb))),"")</f>
        <v>0.97062199439777375</v>
      </c>
      <c r="D46" s="8"/>
      <c r="E46" s="8"/>
      <c r="F46" s="8"/>
      <c r="G46" s="8"/>
      <c r="H46" s="8"/>
      <c r="I46" s="8"/>
      <c r="J46" s="8"/>
      <c r="K46" s="50"/>
      <c r="L46" s="8"/>
      <c r="M46" s="115"/>
      <c r="N46" s="8"/>
      <c r="O46" s="8"/>
      <c r="P46" s="8"/>
      <c r="Q46" s="8"/>
      <c r="R46" s="8"/>
      <c r="S46" s="8"/>
      <c r="T46" s="8"/>
      <c r="U46" s="8"/>
      <c r="V46" s="8"/>
      <c r="W46" s="8"/>
      <c r="X46" s="8"/>
      <c r="Y46" s="9"/>
    </row>
    <row r="47" spans="1:25" x14ac:dyDescent="0.2">
      <c r="A47" s="7"/>
      <c r="B47" s="15" t="s">
        <v>79</v>
      </c>
      <c r="C47" s="131">
        <f>IF(StatusOK,IF(Model=1,(StepCost-DownMove)/(UpMove-DownMove),IF(Model=2,0.5,0.5+SIGN(BS_d2)/2*SQRT(1-EXP(-((BS_d2/(Steps+1/3+0.1/(Steps+1)))^2*(Steps+1/6)))))),"")</f>
        <v>0.50132523920124905</v>
      </c>
      <c r="D47" s="8"/>
      <c r="E47" s="8"/>
      <c r="F47" s="8"/>
      <c r="G47" s="8"/>
      <c r="H47" s="8"/>
      <c r="I47" s="8"/>
      <c r="J47" s="8"/>
      <c r="K47" s="50"/>
      <c r="L47" s="8"/>
      <c r="M47" s="115"/>
      <c r="N47" s="8"/>
      <c r="O47" s="8"/>
      <c r="P47" s="8"/>
      <c r="Q47" s="8"/>
      <c r="R47" s="8"/>
      <c r="S47" s="8"/>
      <c r="T47" s="8"/>
      <c r="U47" s="8"/>
      <c r="V47" s="8"/>
      <c r="W47" s="8"/>
      <c r="X47" s="8"/>
      <c r="Y47" s="9"/>
    </row>
    <row r="48" spans="1:25" x14ac:dyDescent="0.2">
      <c r="A48" s="7"/>
      <c r="B48" s="15" t="s">
        <v>80</v>
      </c>
      <c r="C48" s="131">
        <f>IF(StatusOK,1-UpProb,"")</f>
        <v>0.49867476079875095</v>
      </c>
      <c r="D48" s="8"/>
      <c r="E48" s="8"/>
      <c r="F48" s="8"/>
      <c r="G48" s="8"/>
      <c r="H48" s="8"/>
      <c r="I48" s="8"/>
      <c r="J48" s="8"/>
      <c r="K48" s="50"/>
      <c r="L48" s="8"/>
      <c r="M48" s="115"/>
      <c r="N48" s="8"/>
      <c r="O48" s="8"/>
      <c r="P48" s="8"/>
      <c r="Q48" s="8"/>
      <c r="R48" s="8"/>
      <c r="S48" s="8"/>
      <c r="T48" s="8"/>
      <c r="U48" s="8"/>
      <c r="V48" s="8"/>
      <c r="W48" s="8"/>
      <c r="X48" s="8"/>
      <c r="Y48" s="9"/>
    </row>
    <row r="49" spans="1:25" x14ac:dyDescent="0.2">
      <c r="A49" s="7"/>
      <c r="B49" s="15" t="s">
        <v>81</v>
      </c>
      <c r="C49" s="131">
        <f>IF(AND(StatusOK,Model=3),(LN(UndPrice/Strike)+(IntRate-Yield+0.5*Vol^2)*TimePct)/VolSQRTTime,"")</f>
        <v>0.32711384917125524</v>
      </c>
      <c r="D49" s="8"/>
      <c r="E49" s="8"/>
      <c r="F49" s="8"/>
      <c r="G49" s="8"/>
      <c r="H49" s="8"/>
      <c r="I49" s="8"/>
      <c r="J49" s="8"/>
      <c r="K49" s="50"/>
      <c r="L49" s="8"/>
      <c r="M49" s="115"/>
      <c r="N49" s="8"/>
      <c r="O49" s="8"/>
      <c r="P49" s="8"/>
      <c r="Q49" s="8"/>
      <c r="R49" s="8"/>
      <c r="S49" s="8"/>
      <c r="T49" s="8"/>
      <c r="U49" s="8"/>
      <c r="V49" s="8"/>
      <c r="W49" s="8"/>
      <c r="X49" s="8"/>
      <c r="Y49" s="9"/>
    </row>
    <row r="50" spans="1:25" x14ac:dyDescent="0.2">
      <c r="A50" s="45"/>
      <c r="B50" s="15" t="s">
        <v>82</v>
      </c>
      <c r="C50" s="131">
        <f>IF(AND(StatusOK,Model=3),BS_d1-VolSQRTTime,"")</f>
        <v>2.670317136091882E-2</v>
      </c>
      <c r="D50" s="8"/>
      <c r="E50" s="8"/>
      <c r="F50" s="8"/>
      <c r="G50" s="8"/>
      <c r="H50" s="8"/>
      <c r="I50" s="8"/>
      <c r="J50" s="8"/>
      <c r="K50" s="50"/>
      <c r="L50" s="8"/>
      <c r="M50" s="115" t="s">
        <v>288</v>
      </c>
      <c r="N50" s="8"/>
      <c r="O50" s="8"/>
      <c r="P50" s="8"/>
      <c r="Q50" s="8"/>
      <c r="R50" s="8"/>
      <c r="S50" s="8"/>
      <c r="T50" s="8"/>
      <c r="U50" s="8"/>
      <c r="V50" s="8"/>
      <c r="W50" s="8"/>
      <c r="X50" s="8"/>
      <c r="Y50" s="9"/>
    </row>
    <row r="51" spans="1:25" x14ac:dyDescent="0.2">
      <c r="A51" s="45"/>
      <c r="B51" s="15" t="s">
        <v>83</v>
      </c>
      <c r="C51" s="131">
        <f>IF(AND(StatusOK,Model=3),0.5+SIGN(BS_d1)/2*SQRT(1-EXP(-((BS_d1/(Steps+1/3+0.1/(Steps+1)))^2*(Steps+1/6)))),"")</f>
        <v>0.51622993114828397</v>
      </c>
      <c r="D51" s="8"/>
      <c r="E51" s="8"/>
      <c r="F51" s="8"/>
      <c r="G51" s="8"/>
      <c r="H51" s="8"/>
      <c r="I51" s="8"/>
      <c r="J51" s="8"/>
      <c r="K51" s="50"/>
      <c r="L51" s="8"/>
      <c r="M51" s="116" t="s">
        <v>289</v>
      </c>
      <c r="N51" s="8"/>
      <c r="O51" s="8"/>
      <c r="P51" s="8"/>
      <c r="Q51" s="8"/>
      <c r="R51" s="8"/>
      <c r="S51" s="8"/>
      <c r="T51" s="8"/>
      <c r="U51" s="8"/>
      <c r="V51" s="8"/>
      <c r="W51" s="8"/>
      <c r="X51" s="8"/>
      <c r="Y51" s="9"/>
    </row>
    <row r="52" spans="1:25" ht="14.5" customHeight="1" x14ac:dyDescent="0.2">
      <c r="A52" s="7"/>
      <c r="B52" s="8"/>
      <c r="C52" s="8"/>
      <c r="D52" s="8"/>
      <c r="E52" s="8"/>
      <c r="F52" s="8"/>
      <c r="G52" s="8"/>
      <c r="H52" s="8"/>
      <c r="I52" s="8"/>
      <c r="J52" s="8"/>
      <c r="K52" s="50"/>
      <c r="L52" s="8"/>
      <c r="M52" s="115"/>
      <c r="N52" s="8"/>
      <c r="O52" s="8"/>
      <c r="P52" s="8"/>
      <c r="Q52" s="8"/>
      <c r="R52" s="8"/>
      <c r="S52" s="8"/>
      <c r="T52" s="8"/>
      <c r="U52" s="8"/>
      <c r="V52" s="8"/>
      <c r="W52" s="8"/>
      <c r="X52" s="8"/>
      <c r="Y52" s="9"/>
    </row>
    <row r="53" spans="1:25" ht="14.5" customHeight="1" x14ac:dyDescent="0.2">
      <c r="A53" s="7"/>
      <c r="B53" s="15" t="s">
        <v>196</v>
      </c>
      <c r="C53" s="135">
        <f>StatusCode</f>
        <v>0</v>
      </c>
      <c r="D53" s="8"/>
      <c r="E53" s="73" t="str">
        <f>StatusDesc</f>
        <v/>
      </c>
      <c r="F53" s="8"/>
      <c r="G53" s="8"/>
      <c r="H53" s="8"/>
      <c r="I53" s="8"/>
      <c r="J53" s="8"/>
      <c r="K53" s="50"/>
      <c r="L53" s="8"/>
      <c r="M53" s="115" t="s">
        <v>312</v>
      </c>
      <c r="N53" s="8"/>
      <c r="O53" s="8"/>
      <c r="P53" s="8"/>
      <c r="Q53" s="8"/>
      <c r="R53" s="8"/>
      <c r="S53" s="8"/>
      <c r="T53" s="8"/>
      <c r="U53" s="8"/>
      <c r="V53" s="8"/>
      <c r="W53" s="8"/>
      <c r="X53" s="8"/>
      <c r="Y53" s="9"/>
    </row>
    <row r="54" spans="1:25" ht="14.5" customHeight="1" x14ac:dyDescent="0.2">
      <c r="A54" s="10"/>
      <c r="B54" s="11"/>
      <c r="C54" s="11"/>
      <c r="D54" s="11"/>
      <c r="E54" s="11"/>
      <c r="F54" s="11"/>
      <c r="G54" s="11"/>
      <c r="H54" s="11"/>
      <c r="I54" s="11"/>
      <c r="J54" s="11"/>
      <c r="K54" s="51"/>
      <c r="L54" s="11"/>
      <c r="M54" s="11"/>
      <c r="N54" s="11"/>
      <c r="O54" s="11"/>
      <c r="P54" s="11"/>
      <c r="Q54" s="11"/>
      <c r="R54" s="11"/>
      <c r="S54" s="11"/>
      <c r="T54" s="11"/>
      <c r="U54" s="11"/>
      <c r="V54" s="11"/>
      <c r="W54" s="11"/>
      <c r="X54" s="11"/>
      <c r="Y54" s="12"/>
    </row>
  </sheetData>
  <mergeCells count="4">
    <mergeCell ref="B38:C38"/>
    <mergeCell ref="A1:E1"/>
    <mergeCell ref="I1:K1"/>
    <mergeCell ref="F1:H1"/>
  </mergeCells>
  <hyperlinks>
    <hyperlink ref="M51" r:id="rId1" xr:uid="{5254A92E-8B5D-4EAC-8D7A-A5EF471202A5}"/>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Select UndType">
              <controlPr defaultSize="0" autoLine="0" autoPict="0" macro="'InputSelect(&quot;UndType&quot;)'">
                <anchor moveWithCells="1">
                  <from>
                    <xdr:col>2</xdr:col>
                    <xdr:colOff>0</xdr:colOff>
                    <xdr:row>4</xdr:row>
                    <xdr:rowOff>177800</xdr:rowOff>
                  </from>
                  <to>
                    <xdr:col>3</xdr:col>
                    <xdr:colOff>0</xdr:colOff>
                    <xdr:row>6</xdr:row>
                    <xdr:rowOff>0</xdr:rowOff>
                  </to>
                </anchor>
              </controlPr>
            </control>
          </mc:Choice>
        </mc:AlternateContent>
        <mc:AlternateContent xmlns:mc="http://schemas.openxmlformats.org/markup-compatibility/2006">
          <mc:Choice Requires="x14">
            <control shapeId="1026" r:id="rId6" name="Select TimeAs">
              <controlPr defaultSize="0" autoLine="0" autoPict="0" macro="'InputSelect(&quot;TimeAs&quot;)'">
                <anchor moveWithCells="1">
                  <from>
                    <xdr:col>2</xdr:col>
                    <xdr:colOff>0</xdr:colOff>
                    <xdr:row>16</xdr:row>
                    <xdr:rowOff>50800</xdr:rowOff>
                  </from>
                  <to>
                    <xdr:col>3</xdr:col>
                    <xdr:colOff>0</xdr:colOff>
                    <xdr:row>18</xdr:row>
                    <xdr:rowOff>0</xdr:rowOff>
                  </to>
                </anchor>
              </controlPr>
            </control>
          </mc:Choice>
        </mc:AlternateContent>
        <mc:AlternateContent xmlns:mc="http://schemas.openxmlformats.org/markup-compatibility/2006">
          <mc:Choice Requires="x14">
            <control shapeId="1027" r:id="rId7" name="Select AmEur">
              <controlPr defaultSize="0" autoLine="0" autoPict="0">
                <anchor moveWithCells="1">
                  <from>
                    <xdr:col>1</xdr:col>
                    <xdr:colOff>1193800</xdr:colOff>
                    <xdr:row>10</xdr:row>
                    <xdr:rowOff>50800</xdr:rowOff>
                  </from>
                  <to>
                    <xdr:col>3</xdr:col>
                    <xdr:colOff>0</xdr:colOff>
                    <xdr:row>12</xdr:row>
                    <xdr:rowOff>0</xdr:rowOff>
                  </to>
                </anchor>
              </controlPr>
            </control>
          </mc:Choice>
        </mc:AlternateContent>
        <mc:AlternateContent xmlns:mc="http://schemas.openxmlformats.org/markup-compatibility/2006">
          <mc:Choice Requires="x14">
            <control shapeId="1028" r:id="rId8" name="Select CallPut">
              <controlPr defaultSize="0" autoLine="0" autoPict="0">
                <anchor moveWithCells="1">
                  <from>
                    <xdr:col>2</xdr:col>
                    <xdr:colOff>0</xdr:colOff>
                    <xdr:row>12</xdr:row>
                    <xdr:rowOff>50800</xdr:rowOff>
                  </from>
                  <to>
                    <xdr:col>3</xdr:col>
                    <xdr:colOff>0</xdr:colOff>
                    <xdr:row>14</xdr:row>
                    <xdr:rowOff>0</xdr:rowOff>
                  </to>
                </anchor>
              </controlPr>
            </control>
          </mc:Choice>
        </mc:AlternateContent>
        <mc:AlternateContent xmlns:mc="http://schemas.openxmlformats.org/markup-compatibility/2006">
          <mc:Choice Requires="x14">
            <control shapeId="1029" r:id="rId9" name="Select Model">
              <controlPr defaultSize="0" autoLine="0" autoPict="0">
                <anchor moveWithCells="1">
                  <from>
                    <xdr:col>2</xdr:col>
                    <xdr:colOff>0</xdr:colOff>
                    <xdr:row>2</xdr:row>
                    <xdr:rowOff>0</xdr:rowOff>
                  </from>
                  <to>
                    <xdr:col>3</xdr:col>
                    <xdr:colOff>0</xdr:colOff>
                    <xdr:row>3</xdr:row>
                    <xdr:rowOff>0</xdr:rowOff>
                  </to>
                </anchor>
              </controlPr>
            </control>
          </mc:Choice>
        </mc:AlternateContent>
        <mc:AlternateContent xmlns:mc="http://schemas.openxmlformats.org/markup-compatibility/2006">
          <mc:Choice Requires="x14">
            <control shapeId="1030" r:id="rId10" name="Select DivAs">
              <controlPr defaultSize="0" autoLine="0" autoPict="0" macro="'InputSelect(&quot;DivAs&quot;)'">
                <anchor moveWithCells="1">
                  <from>
                    <xdr:col>1</xdr:col>
                    <xdr:colOff>1193800</xdr:colOff>
                    <xdr:row>27</xdr:row>
                    <xdr:rowOff>0</xdr:rowOff>
                  </from>
                  <to>
                    <xdr:col>3</xdr:col>
                    <xdr:colOff>0</xdr:colOff>
                    <xdr:row>28</xdr:row>
                    <xdr:rowOff>0</xdr:rowOff>
                  </to>
                </anchor>
              </controlPr>
            </control>
          </mc:Choice>
        </mc:AlternateContent>
        <mc:AlternateContent xmlns:mc="http://schemas.openxmlformats.org/markup-compatibility/2006">
          <mc:Choice Requires="x14">
            <control shapeId="1031" r:id="rId11" name="Select ExDivAs">
              <controlPr defaultSize="0" autoLine="0" autoPict="0" macro="'InputSelect(&quot;ExDivAs&quot;)'">
                <anchor moveWithCells="1">
                  <from>
                    <xdr:col>2</xdr:col>
                    <xdr:colOff>0</xdr:colOff>
                    <xdr:row>29</xdr:row>
                    <xdr:rowOff>177800</xdr:rowOff>
                  </from>
                  <to>
                    <xdr:col>3</xdr:col>
                    <xdr:colOff>0</xdr:colOff>
                    <xdr:row>31</xdr:row>
                    <xdr:rowOff>0</xdr:rowOff>
                  </to>
                </anchor>
              </controlPr>
            </control>
          </mc:Choice>
        </mc:AlternateContent>
        <mc:AlternateContent xmlns:mc="http://schemas.openxmlformats.org/markup-compatibility/2006">
          <mc:Choice Requires="x14">
            <control shapeId="1032" r:id="rId12" name="Check Series1">
              <controlPr defaultSize="0" autoFill="0" autoLine="0" autoPict="0" macro="'CheckSeries(1)'">
                <anchor moveWithCells="1">
                  <from>
                    <xdr:col>7</xdr:col>
                    <xdr:colOff>25400</xdr:colOff>
                    <xdr:row>7</xdr:row>
                    <xdr:rowOff>25400</xdr:rowOff>
                  </from>
                  <to>
                    <xdr:col>7</xdr:col>
                    <xdr:colOff>228600</xdr:colOff>
                    <xdr:row>7</xdr:row>
                    <xdr:rowOff>177800</xdr:rowOff>
                  </to>
                </anchor>
              </controlPr>
            </control>
          </mc:Choice>
        </mc:AlternateContent>
        <mc:AlternateContent xmlns:mc="http://schemas.openxmlformats.org/markup-compatibility/2006">
          <mc:Choice Requires="x14">
            <control shapeId="1033" r:id="rId13" name="Check Series2">
              <controlPr defaultSize="0" autoFill="0" autoLine="0" autoPict="0" macro="'CheckSeries(2)'">
                <anchor moveWithCells="1">
                  <from>
                    <xdr:col>7</xdr:col>
                    <xdr:colOff>38100</xdr:colOff>
                    <xdr:row>9</xdr:row>
                    <xdr:rowOff>12700</xdr:rowOff>
                  </from>
                  <to>
                    <xdr:col>7</xdr:col>
                    <xdr:colOff>241300</xdr:colOff>
                    <xdr:row>9</xdr:row>
                    <xdr:rowOff>165100</xdr:rowOff>
                  </to>
                </anchor>
              </controlPr>
            </control>
          </mc:Choice>
        </mc:AlternateContent>
        <mc:AlternateContent xmlns:mc="http://schemas.openxmlformats.org/markup-compatibility/2006">
          <mc:Choice Requires="x14">
            <control shapeId="1034" r:id="rId14" name="Check Series3">
              <controlPr defaultSize="0" autoFill="0" autoLine="0" autoPict="0" macro="'CheckSeries(3)'">
                <anchor moveWithCells="1">
                  <from>
                    <xdr:col>7</xdr:col>
                    <xdr:colOff>38100</xdr:colOff>
                    <xdr:row>11</xdr:row>
                    <xdr:rowOff>25400</xdr:rowOff>
                  </from>
                  <to>
                    <xdr:col>7</xdr:col>
                    <xdr:colOff>241300</xdr:colOff>
                    <xdr:row>11</xdr:row>
                    <xdr:rowOff>177800</xdr:rowOff>
                  </to>
                </anchor>
              </controlPr>
            </control>
          </mc:Choice>
        </mc:AlternateContent>
        <mc:AlternateContent xmlns:mc="http://schemas.openxmlformats.org/markup-compatibility/2006">
          <mc:Choice Requires="x14">
            <control shapeId="1035" r:id="rId15" name="Select ChartMode">
              <controlPr defaultSize="0" autoLine="0" autoPict="0" macro="[0]!SelectChartMode">
                <anchor moveWithCells="1">
                  <from>
                    <xdr:col>5</xdr:col>
                    <xdr:colOff>0</xdr:colOff>
                    <xdr:row>4</xdr:row>
                    <xdr:rowOff>177800</xdr:rowOff>
                  </from>
                  <to>
                    <xdr:col>6</xdr:col>
                    <xdr:colOff>0</xdr:colOff>
                    <xdr:row>5</xdr:row>
                    <xdr:rowOff>177800</xdr:rowOff>
                  </to>
                </anchor>
              </controlPr>
            </control>
          </mc:Choice>
        </mc:AlternateContent>
        <mc:AlternateContent xmlns:mc="http://schemas.openxmlformats.org/markup-compatibility/2006">
          <mc:Choice Requires="x14">
            <control shapeId="1036" r:id="rId16" name="Select ChartLines">
              <controlPr defaultSize="0" autoLine="0" autoPict="0" macro="[0]!SelectChartLines">
                <anchor moveWithCells="1">
                  <from>
                    <xdr:col>5</xdr:col>
                    <xdr:colOff>0</xdr:colOff>
                    <xdr:row>7</xdr:row>
                    <xdr:rowOff>0</xdr:rowOff>
                  </from>
                  <to>
                    <xdr:col>6</xdr:col>
                    <xdr:colOff>0</xdr:colOff>
                    <xdr:row>8</xdr:row>
                    <xdr:rowOff>0</xdr:rowOff>
                  </to>
                </anchor>
              </controlPr>
            </control>
          </mc:Choice>
        </mc:AlternateContent>
        <mc:AlternateContent xmlns:mc="http://schemas.openxmlformats.org/markup-compatibility/2006">
          <mc:Choice Requires="x14">
            <control shapeId="1037" r:id="rId17" name="Select ChartX">
              <controlPr defaultSize="0" autoLine="0" autoPict="0" macro="[0]!SelectChartX">
                <anchor moveWithCells="1">
                  <from>
                    <xdr:col>5</xdr:col>
                    <xdr:colOff>0</xdr:colOff>
                    <xdr:row>8</xdr:row>
                    <xdr:rowOff>50800</xdr:rowOff>
                  </from>
                  <to>
                    <xdr:col>6</xdr:col>
                    <xdr:colOff>0</xdr:colOff>
                    <xdr:row>9</xdr:row>
                    <xdr:rowOff>177800</xdr:rowOff>
                  </to>
                </anchor>
              </controlPr>
            </control>
          </mc:Choice>
        </mc:AlternateContent>
        <mc:AlternateContent xmlns:mc="http://schemas.openxmlformats.org/markup-compatibility/2006">
          <mc:Choice Requires="x14">
            <control shapeId="1038" r:id="rId18" name="Select ChartY">
              <controlPr defaultSize="0" autoLine="0" autoPict="0">
                <anchor moveWithCells="1">
                  <from>
                    <xdr:col>5</xdr:col>
                    <xdr:colOff>0</xdr:colOff>
                    <xdr:row>11</xdr:row>
                    <xdr:rowOff>0</xdr:rowOff>
                  </from>
                  <to>
                    <xdr:col>6</xdr:col>
                    <xdr:colOff>0</xdr:colOff>
                    <xdr:row>12</xdr:row>
                    <xdr:rowOff>0</xdr:rowOff>
                  </to>
                </anchor>
              </controlPr>
            </control>
          </mc:Choice>
        </mc:AlternateContent>
        <mc:AlternateContent xmlns:mc="http://schemas.openxmlformats.org/markup-compatibility/2006">
          <mc:Choice Requires="x14">
            <control shapeId="1039" r:id="rId19" name="Zoom In">
              <controlPr defaultSize="0" print="0" autoFill="0" autoPict="0" macro="[0]!ChartZoomIn">
                <anchor moveWithCells="1" sizeWithCells="1">
                  <from>
                    <xdr:col>12</xdr:col>
                    <xdr:colOff>12700</xdr:colOff>
                    <xdr:row>18</xdr:row>
                    <xdr:rowOff>50800</xdr:rowOff>
                  </from>
                  <to>
                    <xdr:col>13</xdr:col>
                    <xdr:colOff>12700</xdr:colOff>
                    <xdr:row>20</xdr:row>
                    <xdr:rowOff>63500</xdr:rowOff>
                  </to>
                </anchor>
              </controlPr>
            </control>
          </mc:Choice>
        </mc:AlternateContent>
        <mc:AlternateContent xmlns:mc="http://schemas.openxmlformats.org/markup-compatibility/2006">
          <mc:Choice Requires="x14">
            <control shapeId="1040" r:id="rId20" name="Zoom Out">
              <controlPr defaultSize="0" print="0" autoFill="0" autoPict="0" macro="[0]!ChartZoomOut">
                <anchor moveWithCells="1" sizeWithCells="1">
                  <from>
                    <xdr:col>12</xdr:col>
                    <xdr:colOff>12700</xdr:colOff>
                    <xdr:row>20</xdr:row>
                    <xdr:rowOff>127000</xdr:rowOff>
                  </from>
                  <to>
                    <xdr:col>13</xdr:col>
                    <xdr:colOff>12700</xdr:colOff>
                    <xdr:row>22</xdr:row>
                    <xdr:rowOff>139700</xdr:rowOff>
                  </to>
                </anchor>
              </controlPr>
            </control>
          </mc:Choice>
        </mc:AlternateContent>
        <mc:AlternateContent xmlns:mc="http://schemas.openxmlformats.org/markup-compatibility/2006">
          <mc:Choice Requires="x14">
            <control shapeId="1041" r:id="rId21" name="Reset">
              <controlPr defaultSize="0" print="0" autoFill="0" autoPict="0" macro="[0]!ChartReset">
                <anchor moveWithCells="1" sizeWithCells="1">
                  <from>
                    <xdr:col>11</xdr:col>
                    <xdr:colOff>88900</xdr:colOff>
                    <xdr:row>23</xdr:row>
                    <xdr:rowOff>25400</xdr:rowOff>
                  </from>
                  <to>
                    <xdr:col>13</xdr:col>
                    <xdr:colOff>12700</xdr:colOff>
                    <xdr:row>26</xdr:row>
                    <xdr:rowOff>12700</xdr:rowOff>
                  </to>
                </anchor>
              </controlPr>
            </control>
          </mc:Choice>
        </mc:AlternateContent>
        <mc:AlternateContent xmlns:mc="http://schemas.openxmlformats.org/markup-compatibility/2006">
          <mc:Choice Requires="x14">
            <control shapeId="1042" r:id="rId22" name="&gt; &gt; &gt;">
              <controlPr defaultSize="0" print="0" autoFill="0" autoPict="0" macro="[0]!ChartMoveUp">
                <anchor moveWithCells="1" sizeWithCells="1">
                  <from>
                    <xdr:col>12</xdr:col>
                    <xdr:colOff>12700</xdr:colOff>
                    <xdr:row>27</xdr:row>
                    <xdr:rowOff>25400</xdr:rowOff>
                  </from>
                  <to>
                    <xdr:col>13</xdr:col>
                    <xdr:colOff>12700</xdr:colOff>
                    <xdr:row>29</xdr:row>
                    <xdr:rowOff>50800</xdr:rowOff>
                  </to>
                </anchor>
              </controlPr>
            </control>
          </mc:Choice>
        </mc:AlternateContent>
        <mc:AlternateContent xmlns:mc="http://schemas.openxmlformats.org/markup-compatibility/2006">
          <mc:Choice Requires="x14">
            <control shapeId="1043" r:id="rId23" name="&lt; &lt; &lt;">
              <controlPr defaultSize="0" print="0" autoFill="0" autoPict="0" macro="[0]!ChartMoveDown">
                <anchor moveWithCells="1" sizeWithCells="1">
                  <from>
                    <xdr:col>12</xdr:col>
                    <xdr:colOff>12700</xdr:colOff>
                    <xdr:row>29</xdr:row>
                    <xdr:rowOff>114300</xdr:rowOff>
                  </from>
                  <to>
                    <xdr:col>13</xdr:col>
                    <xdr:colOff>12700</xdr:colOff>
                    <xdr:row>31</xdr:row>
                    <xdr:rowOff>127000</xdr:rowOff>
                  </to>
                </anchor>
              </controlPr>
            </control>
          </mc:Choice>
        </mc:AlternateContent>
        <mc:AlternateContent xmlns:mc="http://schemas.openxmlformats.org/markup-compatibility/2006">
          <mc:Choice Requires="x14">
            <control shapeId="1044" r:id="rId24" name="User Guide">
              <controlPr defaultSize="0" print="0" autoFill="0" autoPict="0" macro="[0]!LinkUserGuide">
                <anchor moveWithCells="1" sizeWithCells="1">
                  <from>
                    <xdr:col>12</xdr:col>
                    <xdr:colOff>12700</xdr:colOff>
                    <xdr:row>2</xdr:row>
                    <xdr:rowOff>12700</xdr:rowOff>
                  </from>
                  <to>
                    <xdr:col>13</xdr:col>
                    <xdr:colOff>12700</xdr:colOff>
                    <xdr:row>4</xdr:row>
                    <xdr:rowOff>25400</xdr:rowOff>
                  </to>
                </anchor>
              </controlPr>
            </control>
          </mc:Choice>
        </mc:AlternateContent>
        <mc:AlternateContent xmlns:mc="http://schemas.openxmlformats.org/markup-compatibility/2006">
          <mc:Choice Requires="x14">
            <control shapeId="1045" r:id="rId25" name="Other Calculators">
              <controlPr defaultSize="0" print="0" autoFill="0" autoPict="0" macro="[0]!LinkCalculators">
                <anchor moveWithCells="1" sizeWithCells="1">
                  <from>
                    <xdr:col>12</xdr:col>
                    <xdr:colOff>12700</xdr:colOff>
                    <xdr:row>4</xdr:row>
                    <xdr:rowOff>101600</xdr:rowOff>
                  </from>
                  <to>
                    <xdr:col>13</xdr:col>
                    <xdr:colOff>12700</xdr:colOff>
                    <xdr:row>7</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12C518-D56C-4926-9060-AF1B188F523D}">
  <sheetPr codeName="Sheet2"/>
  <dimension ref="A1:Z314"/>
  <sheetViews>
    <sheetView workbookViewId="0">
      <pane ySplit="8" topLeftCell="A9" activePane="bottomLeft" state="frozen"/>
      <selection activeCell="E1" sqref="E1"/>
      <selection pane="bottomLeft" activeCell="O3" sqref="O3"/>
    </sheetView>
  </sheetViews>
  <sheetFormatPr baseColWidth="10" defaultColWidth="8.83203125" defaultRowHeight="15" x14ac:dyDescent="0.2"/>
  <cols>
    <col min="1" max="1" width="7.83203125" customWidth="1"/>
    <col min="15" max="15" width="11.6640625" customWidth="1"/>
    <col min="16" max="16" width="17.83203125" customWidth="1"/>
    <col min="17" max="19" width="16.6640625" customWidth="1"/>
    <col min="20" max="20" width="12.83203125" customWidth="1"/>
    <col min="22" max="22" width="13" customWidth="1"/>
    <col min="24" max="26" width="10.5" customWidth="1"/>
  </cols>
  <sheetData>
    <row r="1" spans="1:26" ht="24" customHeight="1" x14ac:dyDescent="0.3">
      <c r="A1" s="207" t="s">
        <v>189</v>
      </c>
      <c r="B1" s="208"/>
      <c r="C1" s="208"/>
      <c r="D1" s="208"/>
      <c r="E1" s="202"/>
      <c r="F1" s="199"/>
      <c r="G1" s="199"/>
      <c r="H1" s="199"/>
      <c r="I1" s="199"/>
      <c r="J1" s="46"/>
      <c r="K1" s="46"/>
      <c r="L1" s="46"/>
      <c r="M1" s="46"/>
      <c r="N1" s="46"/>
      <c r="O1" s="46"/>
      <c r="P1" s="46"/>
      <c r="Q1" s="46"/>
      <c r="R1" s="46"/>
      <c r="S1" s="46"/>
      <c r="T1" s="46"/>
      <c r="U1" s="46"/>
      <c r="V1" s="46"/>
      <c r="W1" s="46"/>
      <c r="X1" s="46"/>
      <c r="Y1" s="46"/>
      <c r="Z1" s="47"/>
    </row>
    <row r="2" spans="1:26" x14ac:dyDescent="0.2">
      <c r="A2" s="68"/>
      <c r="B2" s="3"/>
      <c r="C2" s="3"/>
      <c r="D2" s="3"/>
      <c r="E2" s="3"/>
      <c r="F2" s="3"/>
      <c r="G2" s="3"/>
      <c r="H2" s="3"/>
      <c r="I2" s="3"/>
      <c r="J2" s="3"/>
      <c r="K2" s="3" t="s">
        <v>63</v>
      </c>
      <c r="L2" s="182">
        <f>ChartY</f>
        <v>1</v>
      </c>
      <c r="M2" s="205" t="str">
        <f>INDEX(ListChartY,ModelOutput)</f>
        <v>Option Price</v>
      </c>
      <c r="N2" s="206"/>
      <c r="O2" s="3"/>
      <c r="P2" s="58" t="s">
        <v>164</v>
      </c>
      <c r="Q2" s="4" t="str">
        <f>Series1Name</f>
        <v>Blue</v>
      </c>
      <c r="R2" s="4" t="str">
        <f>Series2Name</f>
        <v>Green</v>
      </c>
      <c r="S2" s="23" t="str">
        <f>Series3Name</f>
        <v>Red</v>
      </c>
      <c r="T2" s="203" t="s">
        <v>120</v>
      </c>
      <c r="U2" s="204"/>
      <c r="V2" s="203" t="s">
        <v>117</v>
      </c>
      <c r="W2" s="204"/>
      <c r="X2" s="3" t="s">
        <v>168</v>
      </c>
      <c r="Y2" s="4" t="s">
        <v>62</v>
      </c>
      <c r="Z2" s="23" t="s">
        <v>116</v>
      </c>
    </row>
    <row r="3" spans="1:26" x14ac:dyDescent="0.2">
      <c r="A3" s="57" t="s">
        <v>115</v>
      </c>
      <c r="B3" s="3" t="s">
        <v>51</v>
      </c>
      <c r="C3" s="3" t="s">
        <v>40</v>
      </c>
      <c r="D3" s="3" t="s">
        <v>65</v>
      </c>
      <c r="E3" s="3" t="s">
        <v>66</v>
      </c>
      <c r="F3" s="3" t="s">
        <v>68</v>
      </c>
      <c r="G3" s="3" t="s">
        <v>290</v>
      </c>
      <c r="H3" s="3" t="s">
        <v>52</v>
      </c>
      <c r="I3" s="3" t="s">
        <v>54</v>
      </c>
      <c r="J3" s="3" t="s">
        <v>53</v>
      </c>
      <c r="K3" s="3" t="s">
        <v>64</v>
      </c>
      <c r="L3" s="3" t="s">
        <v>67</v>
      </c>
      <c r="M3" s="3" t="s">
        <v>69</v>
      </c>
      <c r="N3" s="53" t="s">
        <v>291</v>
      </c>
      <c r="O3" s="75" t="s">
        <v>107</v>
      </c>
      <c r="P3" s="59" t="s">
        <v>165</v>
      </c>
      <c r="Q3" s="180" t="b">
        <v>1</v>
      </c>
      <c r="R3" s="180" t="b">
        <v>0</v>
      </c>
      <c r="S3" s="180" t="b">
        <v>0</v>
      </c>
      <c r="T3" s="59" t="s">
        <v>121</v>
      </c>
      <c r="U3" s="179">
        <f>MIN(ChartXKeyPoints)</f>
        <v>100</v>
      </c>
      <c r="V3" s="59" t="s">
        <v>119</v>
      </c>
      <c r="W3" s="179">
        <f>ChartXKeyMid-ChartXKeyRange*ChartXRangeMult/2</f>
        <v>50</v>
      </c>
      <c r="X3" s="59" t="s">
        <v>59</v>
      </c>
      <c r="Y3" s="185"/>
      <c r="Z3" s="184">
        <f>IF(ChartXMinOverride="",ChartXMinReset,ChartXMinOverride)</f>
        <v>50</v>
      </c>
    </row>
    <row r="4" spans="1:26" ht="16" x14ac:dyDescent="0.2">
      <c r="A4" s="54" t="s">
        <v>114</v>
      </c>
      <c r="B4" s="66">
        <v>1</v>
      </c>
      <c r="C4" s="66">
        <v>2</v>
      </c>
      <c r="D4" s="66">
        <v>3</v>
      </c>
      <c r="E4" s="66">
        <v>4</v>
      </c>
      <c r="F4" s="66">
        <v>5</v>
      </c>
      <c r="G4" s="66">
        <v>6</v>
      </c>
      <c r="H4" s="66">
        <v>7</v>
      </c>
      <c r="I4" s="66">
        <v>8</v>
      </c>
      <c r="J4" s="66">
        <v>9</v>
      </c>
      <c r="K4" s="66">
        <v>10</v>
      </c>
      <c r="L4" s="66">
        <v>11</v>
      </c>
      <c r="M4" s="66">
        <v>12</v>
      </c>
      <c r="N4" s="67">
        <v>13</v>
      </c>
      <c r="O4" s="66"/>
      <c r="P4" s="59" t="s">
        <v>167</v>
      </c>
      <c r="Q4" s="182" t="b">
        <f>OR(ChartMode=1,AND(ChartMode=2,Series1Checked,ISNUMBER(Series1Input)))</f>
        <v>1</v>
      </c>
      <c r="R4" s="178" t="b">
        <f>AND(ChartMode=2,Series2Checked,ISNUMBER(Series2Input))</f>
        <v>0</v>
      </c>
      <c r="S4" s="178" t="b">
        <f>AND(ChartMode=2,Series3Checked,ISNUMBER(Series3Input))</f>
        <v>0</v>
      </c>
      <c r="T4" s="59" t="s">
        <v>122</v>
      </c>
      <c r="U4" s="179">
        <f>MAX(ChartXKeyPoints)</f>
        <v>100</v>
      </c>
      <c r="V4" s="59" t="s">
        <v>118</v>
      </c>
      <c r="W4" s="179">
        <f>ChartXKeyRange*ChartXRangeMult/ChartXN</f>
        <v>1</v>
      </c>
      <c r="X4" s="59" t="s">
        <v>60</v>
      </c>
      <c r="Y4" s="185"/>
      <c r="Z4" s="184">
        <f>IF(ChartXIncrOverride="",ChartXIncrReset,ChartXIncrOverride)</f>
        <v>1</v>
      </c>
    </row>
    <row r="5" spans="1:26" x14ac:dyDescent="0.2">
      <c r="A5" s="55" t="s">
        <v>113</v>
      </c>
      <c r="B5" s="182" t="b">
        <f>OR(ChartX13=1,AND(ChartX13=2,NOT(ChartLines13=1)))</f>
        <v>1</v>
      </c>
      <c r="C5" s="182" t="b">
        <f>OR(ChartX13=2,AND(ChartX13=1,NOT(ChartLines13=2)))</f>
        <v>0</v>
      </c>
      <c r="D5" s="22" t="b">
        <f>OR(ChartX13=3,AND(OR(ChartX13=4,ChartX13=11),NOT(ChartLines13=3)))</f>
        <v>0</v>
      </c>
      <c r="E5" s="22" t="b">
        <f>OR(ChartX13=4,AND(OR(ChartX13=3,ChartX13=11),NOT(ChartLines13=4)))</f>
        <v>0</v>
      </c>
      <c r="F5" s="180" t="b">
        <f t="shared" ref="F5:N5" si="0">ChartX13=F4</f>
        <v>0</v>
      </c>
      <c r="G5" s="180" t="b">
        <f t="shared" si="0"/>
        <v>0</v>
      </c>
      <c r="H5" s="180" t="b">
        <f t="shared" si="0"/>
        <v>0</v>
      </c>
      <c r="I5" s="180" t="b">
        <f t="shared" si="0"/>
        <v>0</v>
      </c>
      <c r="J5" s="180" t="b">
        <f t="shared" si="0"/>
        <v>0</v>
      </c>
      <c r="K5" s="180" t="b">
        <f t="shared" si="0"/>
        <v>0</v>
      </c>
      <c r="L5" s="180" t="b">
        <f t="shared" si="0"/>
        <v>0</v>
      </c>
      <c r="M5" s="180" t="b">
        <f t="shared" si="0"/>
        <v>0</v>
      </c>
      <c r="N5" s="181" t="b">
        <f t="shared" si="0"/>
        <v>0</v>
      </c>
      <c r="O5" s="4"/>
      <c r="P5" s="183" t="b">
        <f>AND(ChartMode=2,OR(ChartLines13=ChartX13,AND(ChartLines13=1,ChartX13=2),AND(ChartLines13=2,ChartX13=1),,AND(ChartLines13=3,ChartX13=4),AND(ChartLines13=4,ChartX13=3)))</f>
        <v>0</v>
      </c>
      <c r="Q5" s="22" t="b">
        <f>AND($P$5,ShowSeries1)</f>
        <v>0</v>
      </c>
      <c r="R5" s="22" t="b">
        <f>AND($P$5,ShowSeries2)</f>
        <v>0</v>
      </c>
      <c r="S5" s="22" t="b">
        <f>AND($P$5,ShowSeries3)</f>
        <v>0</v>
      </c>
      <c r="T5" s="59" t="s">
        <v>123</v>
      </c>
      <c r="U5" s="179">
        <f>AVERAGE(ChartXKeyMin,ChartXKeyMax)</f>
        <v>100</v>
      </c>
      <c r="V5" s="59" t="s">
        <v>111</v>
      </c>
      <c r="W5" s="179">
        <f>RoundIncr(ChartXRawIncr)</f>
        <v>1</v>
      </c>
      <c r="X5" s="59" t="s">
        <v>108</v>
      </c>
      <c r="Y5" s="65"/>
      <c r="Z5" s="184">
        <f>ChartXMin+ChartXIncr*ChartXN/2</f>
        <v>100</v>
      </c>
    </row>
    <row r="6" spans="1:26" x14ac:dyDescent="0.2">
      <c r="A6" s="55" t="s">
        <v>110</v>
      </c>
      <c r="B6" s="19">
        <f t="shared" ref="B6:F6" si="1">IF(B5,B7,"")</f>
        <v>100</v>
      </c>
      <c r="C6" s="19" t="str">
        <f t="shared" si="1"/>
        <v/>
      </c>
      <c r="D6" s="19" t="str">
        <f t="shared" si="1"/>
        <v/>
      </c>
      <c r="E6" s="19" t="str">
        <f t="shared" si="1"/>
        <v/>
      </c>
      <c r="F6" s="19" t="str">
        <f t="shared" si="1"/>
        <v/>
      </c>
      <c r="G6" s="19" t="str">
        <f>IF(G5,G7,"")</f>
        <v/>
      </c>
      <c r="H6" s="19" t="str">
        <f t="shared" ref="H6:N6" si="2">IF(H5,H7,"")</f>
        <v/>
      </c>
      <c r="I6" s="19" t="str">
        <f t="shared" si="2"/>
        <v/>
      </c>
      <c r="J6" s="19" t="str">
        <f t="shared" si="2"/>
        <v/>
      </c>
      <c r="K6" s="19" t="str">
        <f t="shared" si="2"/>
        <v/>
      </c>
      <c r="L6" s="19" t="str">
        <f t="shared" si="2"/>
        <v/>
      </c>
      <c r="M6" s="19" t="str">
        <f t="shared" si="2"/>
        <v/>
      </c>
      <c r="N6" s="24" t="str">
        <f t="shared" si="2"/>
        <v/>
      </c>
      <c r="O6" s="58"/>
      <c r="P6" s="58"/>
      <c r="Q6" s="19" t="str">
        <f t="shared" ref="Q6:S6" si="3">IF(Q5,Q7,"")</f>
        <v/>
      </c>
      <c r="R6" s="19" t="str">
        <f t="shared" si="3"/>
        <v/>
      </c>
      <c r="S6" s="19" t="str">
        <f t="shared" si="3"/>
        <v/>
      </c>
      <c r="T6" s="59" t="s">
        <v>124</v>
      </c>
      <c r="U6" s="179">
        <f>MAX(ChartXKeyMax-ChartXKeyMin,(1-ChartX13IsDate)*ChartXKeyMid*ChartXZeroRangeMult,IF(ChartX13IsDate,ChartXMinRangeDate,IF(ChartX13IsDays,ChartXMinRangeDays,ChartXMinRange)))</f>
        <v>50</v>
      </c>
      <c r="V6" s="59" t="s">
        <v>112</v>
      </c>
      <c r="W6" s="179">
        <f>RoundMin(ChartXRawMin,ChartXIncrReset,ChartXLabelN)</f>
        <v>50</v>
      </c>
      <c r="X6" s="59" t="s">
        <v>61</v>
      </c>
      <c r="Y6" s="65"/>
      <c r="Z6" s="184">
        <f>ChartXMin+ChartXIncr*ChartXN</f>
        <v>150</v>
      </c>
    </row>
    <row r="7" spans="1:26" x14ac:dyDescent="0.2">
      <c r="A7" s="55" t="s">
        <v>109</v>
      </c>
      <c r="B7" s="178">
        <f>UndPrice</f>
        <v>100</v>
      </c>
      <c r="C7" s="178">
        <f>Strike</f>
        <v>100</v>
      </c>
      <c r="D7" s="178">
        <f>ValDate+ValTime</f>
        <v>45239.563726851855</v>
      </c>
      <c r="E7" s="178">
        <f>ExpDate+ExpTime</f>
        <v>45605.563726851855</v>
      </c>
      <c r="F7" s="178">
        <f>TimeDays</f>
        <v>366</v>
      </c>
      <c r="G7" s="178">
        <f>TimePct</f>
        <v>1.0027397260273974</v>
      </c>
      <c r="H7" s="178">
        <f>Vol</f>
        <v>0.3</v>
      </c>
      <c r="I7" s="178">
        <f>IntRate</f>
        <v>5.2999999999999999E-2</v>
      </c>
      <c r="J7" s="178">
        <f>Yield</f>
        <v>0</v>
      </c>
      <c r="K7" s="178">
        <f>DivAmount</f>
        <v>5</v>
      </c>
      <c r="L7" s="178">
        <f>ExDivDate+ExDivTime</f>
        <v>45275.563726851855</v>
      </c>
      <c r="M7" s="178">
        <f>ExDivDays</f>
        <v>36</v>
      </c>
      <c r="N7" s="179">
        <f>ExDivPct</f>
        <v>9.8630136986301367E-2</v>
      </c>
      <c r="O7" s="66"/>
      <c r="P7" s="59" t="s">
        <v>166</v>
      </c>
      <c r="Q7" s="178" t="b">
        <f>IF(Series1Input1="",FALSE,Series1Input1+Series1Input2)</f>
        <v>0</v>
      </c>
      <c r="R7" s="178" t="b">
        <f>IF(Series2Input1="",FALSE,Series2Input1+Series2Input2)</f>
        <v>0</v>
      </c>
      <c r="S7" s="179" t="b">
        <f>IF(Series3Input1="",FALSE,Series3Input1+Series3Input2)</f>
        <v>0</v>
      </c>
      <c r="T7" s="60"/>
      <c r="U7" s="61"/>
      <c r="V7" s="61"/>
      <c r="W7" s="61"/>
      <c r="X7" s="61"/>
      <c r="Y7" s="61"/>
      <c r="Z7" s="62"/>
    </row>
    <row r="8" spans="1:26" x14ac:dyDescent="0.2">
      <c r="A8" s="52" t="s">
        <v>50</v>
      </c>
      <c r="B8" s="3" t="s">
        <v>51</v>
      </c>
      <c r="C8" s="3" t="s">
        <v>40</v>
      </c>
      <c r="D8" s="3" t="s">
        <v>65</v>
      </c>
      <c r="E8" s="3" t="s">
        <v>66</v>
      </c>
      <c r="F8" s="3" t="s">
        <v>68</v>
      </c>
      <c r="G8" s="3" t="s">
        <v>290</v>
      </c>
      <c r="H8" s="3" t="s">
        <v>52</v>
      </c>
      <c r="I8" s="3" t="s">
        <v>54</v>
      </c>
      <c r="J8" s="3" t="s">
        <v>53</v>
      </c>
      <c r="K8" s="3" t="s">
        <v>64</v>
      </c>
      <c r="L8" s="3" t="s">
        <v>67</v>
      </c>
      <c r="M8" s="3" t="s">
        <v>69</v>
      </c>
      <c r="N8" s="53" t="s">
        <v>291</v>
      </c>
      <c r="O8" s="13" t="s">
        <v>200</v>
      </c>
      <c r="P8" s="4" t="s">
        <v>55</v>
      </c>
      <c r="Q8" s="4" t="s">
        <v>56</v>
      </c>
      <c r="R8" s="4" t="s">
        <v>57</v>
      </c>
      <c r="S8" s="23" t="s">
        <v>58</v>
      </c>
      <c r="T8" s="63"/>
      <c r="U8" s="56"/>
      <c r="V8" s="56"/>
      <c r="W8" s="56"/>
      <c r="X8" s="56"/>
      <c r="Y8" s="56"/>
      <c r="Z8" s="64"/>
    </row>
    <row r="9" spans="1:26" x14ac:dyDescent="0.2">
      <c r="A9" s="6">
        <v>1</v>
      </c>
      <c r="B9">
        <f>IF(ShowSeries1,IF(AND(ChartMode=2,ChartLines13=B$4),Series1Input,IF(ChartX13=B$4,$P9,B$7)),"")</f>
        <v>50</v>
      </c>
      <c r="C9">
        <f t="shared" ref="B9:E28" si="4">IF(ShowSeries1,IF(AND(ChartMode=2,ChartLines13=C$4),Series1Input,IF(ChartX13=C$4,$P9,C$7)),"")</f>
        <v>100</v>
      </c>
      <c r="D9">
        <f t="shared" si="4"/>
        <v>45239.563726851855</v>
      </c>
      <c r="E9">
        <f t="shared" si="4"/>
        <v>45605.563726851855</v>
      </c>
      <c r="F9" s="17">
        <f t="shared" ref="F9:F40" si="5">IF(ShowSeries1,IF(AND(ChartMode=2,ChartLines13=F$4),Series1Input,IF(ChartX13=F$4,$P9,IF(TimeAs=1,E9-D9,IF(TimeAs=2,F$7,G9*DaysPerYear)))),"")</f>
        <v>366</v>
      </c>
      <c r="G9" s="18">
        <f t="shared" ref="G9:G40" si="6">IF(ShowSeries1,IF(AND(ChartMode=2,ChartLines13=G$4),Series1Input,IF(ChartX13=G$4,$P9,IF(TimeAs&lt;3,F9/DaysPerYear,G$7))),"")</f>
        <v>1.0027397260273974</v>
      </c>
      <c r="H9">
        <f t="shared" ref="H9:L18" si="7">IF(ShowSeries1,IF(AND(ChartMode=2,ChartLines13=H$4),Series1Input,IF(ChartX13=H$4,$P9,H$7)),"")</f>
        <v>0.3</v>
      </c>
      <c r="I9">
        <f t="shared" si="7"/>
        <v>5.2999999999999999E-2</v>
      </c>
      <c r="J9">
        <f t="shared" si="7"/>
        <v>0</v>
      </c>
      <c r="K9">
        <f t="shared" si="7"/>
        <v>5</v>
      </c>
      <c r="L9">
        <f t="shared" si="7"/>
        <v>45275.563726851855</v>
      </c>
      <c r="M9" s="17">
        <f t="shared" ref="M9:M40" si="8">IF(ShowSeries1,IF(AND(ChartMode=2,ChartLines13=M$4),Series1Input,IF(ChartX13=M$4,$P9,IF(ExDivAs=1,L9-D9,IF(ExDivAs=2,M$7,N9*DaysPerYear)))),"")</f>
        <v>36</v>
      </c>
      <c r="N9" s="18">
        <f t="shared" ref="N9:N40" si="9">IF(ShowSeries1,IF(AND(ChartMode=2,ChartLines13=N$4),Series1Input,IF(ChartX13=N$4,$P9,IF(ExDivAs&lt;3,M9/DaysPerYear,N$7))),"")</f>
        <v>9.8630136986301367E-2</v>
      </c>
      <c r="O9">
        <f>IF(ShowSeries1,BinOp($B9,$C9,$G9,$H9,$J9,$I9,CallPut,AmEur,Model,Steps,ModelOutput,$K9,$N9),NA())</f>
        <v>4.1548021800000001E-2</v>
      </c>
      <c r="P9" s="211">
        <f>ChartXMin</f>
        <v>50</v>
      </c>
      <c r="Q9">
        <f>IF(ISNUMBER(O9),O9,NA())</f>
        <v>4.1548021800000001E-2</v>
      </c>
      <c r="R9" t="e">
        <f>IF(ISNUMBER(O111),O111,NA())</f>
        <v>#N/A</v>
      </c>
      <c r="S9" t="e">
        <f>IF(ISNUMBER(O213),O213,NA())</f>
        <v>#N/A</v>
      </c>
    </row>
    <row r="10" spans="1:26" x14ac:dyDescent="0.2">
      <c r="A10" s="6">
        <f>A9+1</f>
        <v>2</v>
      </c>
      <c r="B10">
        <f t="shared" si="4"/>
        <v>51</v>
      </c>
      <c r="C10">
        <f t="shared" si="4"/>
        <v>100</v>
      </c>
      <c r="D10">
        <f t="shared" si="4"/>
        <v>45239.563726851855</v>
      </c>
      <c r="E10">
        <f t="shared" si="4"/>
        <v>45605.563726851855</v>
      </c>
      <c r="F10" s="17">
        <f t="shared" si="5"/>
        <v>366</v>
      </c>
      <c r="G10" s="18">
        <f t="shared" si="6"/>
        <v>1.0027397260273974</v>
      </c>
      <c r="H10">
        <f t="shared" si="7"/>
        <v>0.3</v>
      </c>
      <c r="I10">
        <f t="shared" si="7"/>
        <v>5.2999999999999999E-2</v>
      </c>
      <c r="J10">
        <f t="shared" si="7"/>
        <v>0</v>
      </c>
      <c r="K10">
        <f t="shared" si="7"/>
        <v>5</v>
      </c>
      <c r="L10">
        <f t="shared" si="7"/>
        <v>45275.563726851855</v>
      </c>
      <c r="M10" s="17">
        <f t="shared" si="8"/>
        <v>36</v>
      </c>
      <c r="N10" s="18">
        <f t="shared" si="9"/>
        <v>9.8630136986301367E-2</v>
      </c>
      <c r="O10">
        <f t="shared" ref="O10:O40" si="10">IF(ShowSeries1,BinOp($B10,$C10,$G10,$H10,$J10,$I10,CallPut,AmEur,Model,Steps,ModelOutput,$K10,$N10),NA())</f>
        <v>5.2334244199999998E-2</v>
      </c>
      <c r="P10" s="212">
        <f t="shared" ref="P10:P41" si="11">ROUND(P9+ChartXIncr,RoundDigits)</f>
        <v>51</v>
      </c>
      <c r="Q10">
        <f t="shared" ref="Q10:Q73" si="12">IF(ISNUMBER(O10),O10,NA())</f>
        <v>5.2334244199999998E-2</v>
      </c>
      <c r="R10" t="e">
        <f t="shared" ref="R10:R73" si="13">IF(ISNUMBER(O112),O112,NA())</f>
        <v>#N/A</v>
      </c>
      <c r="S10" t="e">
        <f t="shared" ref="S10:S73" si="14">IF(ISNUMBER(O214),O214,NA())</f>
        <v>#N/A</v>
      </c>
    </row>
    <row r="11" spans="1:26" x14ac:dyDescent="0.2">
      <c r="A11" s="6">
        <f t="shared" ref="A11:A74" si="15">A10+1</f>
        <v>3</v>
      </c>
      <c r="B11">
        <f t="shared" si="4"/>
        <v>52</v>
      </c>
      <c r="C11">
        <f t="shared" si="4"/>
        <v>100</v>
      </c>
      <c r="D11">
        <f t="shared" si="4"/>
        <v>45239.563726851855</v>
      </c>
      <c r="E11">
        <f t="shared" si="4"/>
        <v>45605.563726851855</v>
      </c>
      <c r="F11" s="17">
        <f t="shared" si="5"/>
        <v>366</v>
      </c>
      <c r="G11" s="18">
        <f t="shared" si="6"/>
        <v>1.0027397260273974</v>
      </c>
      <c r="H11">
        <f t="shared" si="7"/>
        <v>0.3</v>
      </c>
      <c r="I11">
        <f t="shared" si="7"/>
        <v>5.2999999999999999E-2</v>
      </c>
      <c r="J11">
        <f t="shared" si="7"/>
        <v>0</v>
      </c>
      <c r="K11">
        <f t="shared" si="7"/>
        <v>5</v>
      </c>
      <c r="L11">
        <f t="shared" si="7"/>
        <v>45275.563726851855</v>
      </c>
      <c r="M11" s="17">
        <f t="shared" si="8"/>
        <v>36</v>
      </c>
      <c r="N11" s="18">
        <f t="shared" si="9"/>
        <v>9.8630136986301367E-2</v>
      </c>
      <c r="O11">
        <f t="shared" si="10"/>
        <v>6.5309412400000003E-2</v>
      </c>
      <c r="P11" s="212">
        <f t="shared" si="11"/>
        <v>52</v>
      </c>
      <c r="Q11">
        <f t="shared" si="12"/>
        <v>6.5309412400000003E-2</v>
      </c>
      <c r="R11" t="e">
        <f t="shared" si="13"/>
        <v>#N/A</v>
      </c>
      <c r="S11" t="e">
        <f t="shared" si="14"/>
        <v>#N/A</v>
      </c>
    </row>
    <row r="12" spans="1:26" x14ac:dyDescent="0.2">
      <c r="A12" s="6">
        <f t="shared" si="15"/>
        <v>4</v>
      </c>
      <c r="B12">
        <f t="shared" si="4"/>
        <v>53</v>
      </c>
      <c r="C12">
        <f t="shared" si="4"/>
        <v>100</v>
      </c>
      <c r="D12">
        <f t="shared" si="4"/>
        <v>45239.563726851855</v>
      </c>
      <c r="E12">
        <f t="shared" si="4"/>
        <v>45605.563726851855</v>
      </c>
      <c r="F12" s="17">
        <f t="shared" si="5"/>
        <v>366</v>
      </c>
      <c r="G12" s="18">
        <f t="shared" si="6"/>
        <v>1.0027397260273974</v>
      </c>
      <c r="H12">
        <f t="shared" si="7"/>
        <v>0.3</v>
      </c>
      <c r="I12">
        <f t="shared" si="7"/>
        <v>5.2999999999999999E-2</v>
      </c>
      <c r="J12">
        <f t="shared" si="7"/>
        <v>0</v>
      </c>
      <c r="K12">
        <f t="shared" si="7"/>
        <v>5</v>
      </c>
      <c r="L12">
        <f t="shared" si="7"/>
        <v>45275.563726851855</v>
      </c>
      <c r="M12" s="17">
        <f t="shared" si="8"/>
        <v>36</v>
      </c>
      <c r="N12" s="18">
        <f t="shared" si="9"/>
        <v>9.8630136986301367E-2</v>
      </c>
      <c r="O12">
        <f t="shared" si="10"/>
        <v>8.0789362099999998E-2</v>
      </c>
      <c r="P12" s="212">
        <f t="shared" si="11"/>
        <v>53</v>
      </c>
      <c r="Q12">
        <f t="shared" si="12"/>
        <v>8.0789362099999998E-2</v>
      </c>
      <c r="R12" t="e">
        <f t="shared" si="13"/>
        <v>#N/A</v>
      </c>
      <c r="S12" t="e">
        <f t="shared" si="14"/>
        <v>#N/A</v>
      </c>
    </row>
    <row r="13" spans="1:26" x14ac:dyDescent="0.2">
      <c r="A13" s="6">
        <f t="shared" si="15"/>
        <v>5</v>
      </c>
      <c r="B13">
        <f t="shared" si="4"/>
        <v>54</v>
      </c>
      <c r="C13">
        <f t="shared" si="4"/>
        <v>100</v>
      </c>
      <c r="D13">
        <f t="shared" si="4"/>
        <v>45239.563726851855</v>
      </c>
      <c r="E13">
        <f t="shared" si="4"/>
        <v>45605.563726851855</v>
      </c>
      <c r="F13" s="17">
        <f t="shared" si="5"/>
        <v>366</v>
      </c>
      <c r="G13" s="18">
        <f t="shared" si="6"/>
        <v>1.0027397260273974</v>
      </c>
      <c r="H13">
        <f t="shared" si="7"/>
        <v>0.3</v>
      </c>
      <c r="I13">
        <f t="shared" si="7"/>
        <v>5.2999999999999999E-2</v>
      </c>
      <c r="J13">
        <f t="shared" si="7"/>
        <v>0</v>
      </c>
      <c r="K13">
        <f t="shared" si="7"/>
        <v>5</v>
      </c>
      <c r="L13">
        <f t="shared" si="7"/>
        <v>45275.563726851855</v>
      </c>
      <c r="M13" s="17">
        <f t="shared" si="8"/>
        <v>36</v>
      </c>
      <c r="N13" s="18">
        <f t="shared" si="9"/>
        <v>9.8630136986301367E-2</v>
      </c>
      <c r="O13">
        <f t="shared" si="10"/>
        <v>9.9114217599999999E-2</v>
      </c>
      <c r="P13" s="212">
        <f t="shared" si="11"/>
        <v>54</v>
      </c>
      <c r="Q13">
        <f t="shared" si="12"/>
        <v>9.9114217599999999E-2</v>
      </c>
      <c r="R13" t="e">
        <f t="shared" si="13"/>
        <v>#N/A</v>
      </c>
      <c r="S13" t="e">
        <f t="shared" si="14"/>
        <v>#N/A</v>
      </c>
    </row>
    <row r="14" spans="1:26" x14ac:dyDescent="0.2">
      <c r="A14" s="6">
        <f t="shared" si="15"/>
        <v>6</v>
      </c>
      <c r="B14">
        <f t="shared" si="4"/>
        <v>55</v>
      </c>
      <c r="C14">
        <f t="shared" si="4"/>
        <v>100</v>
      </c>
      <c r="D14">
        <f t="shared" si="4"/>
        <v>45239.563726851855</v>
      </c>
      <c r="E14">
        <f t="shared" si="4"/>
        <v>45605.563726851855</v>
      </c>
      <c r="F14" s="17">
        <f t="shared" si="5"/>
        <v>366</v>
      </c>
      <c r="G14" s="18">
        <f t="shared" si="6"/>
        <v>1.0027397260273974</v>
      </c>
      <c r="H14">
        <f t="shared" si="7"/>
        <v>0.3</v>
      </c>
      <c r="I14">
        <f t="shared" si="7"/>
        <v>5.2999999999999999E-2</v>
      </c>
      <c r="J14">
        <f t="shared" si="7"/>
        <v>0</v>
      </c>
      <c r="K14">
        <f t="shared" si="7"/>
        <v>5</v>
      </c>
      <c r="L14">
        <f t="shared" si="7"/>
        <v>45275.563726851855</v>
      </c>
      <c r="M14" s="17">
        <f t="shared" si="8"/>
        <v>36</v>
      </c>
      <c r="N14" s="18">
        <f t="shared" si="9"/>
        <v>9.8630136986301367E-2</v>
      </c>
      <c r="O14">
        <f t="shared" si="10"/>
        <v>0.1206475856</v>
      </c>
      <c r="P14" s="212">
        <f t="shared" si="11"/>
        <v>55</v>
      </c>
      <c r="Q14">
        <f t="shared" si="12"/>
        <v>0.1206475856</v>
      </c>
      <c r="R14" t="e">
        <f t="shared" si="13"/>
        <v>#N/A</v>
      </c>
      <c r="S14" t="e">
        <f t="shared" si="14"/>
        <v>#N/A</v>
      </c>
    </row>
    <row r="15" spans="1:26" x14ac:dyDescent="0.2">
      <c r="A15" s="6">
        <f t="shared" si="15"/>
        <v>7</v>
      </c>
      <c r="B15">
        <f t="shared" si="4"/>
        <v>56</v>
      </c>
      <c r="C15">
        <f t="shared" si="4"/>
        <v>100</v>
      </c>
      <c r="D15">
        <f t="shared" si="4"/>
        <v>45239.563726851855</v>
      </c>
      <c r="E15">
        <f t="shared" si="4"/>
        <v>45605.563726851855</v>
      </c>
      <c r="F15" s="17">
        <f t="shared" si="5"/>
        <v>366</v>
      </c>
      <c r="G15" s="18">
        <f t="shared" si="6"/>
        <v>1.0027397260273974</v>
      </c>
      <c r="H15">
        <f t="shared" si="7"/>
        <v>0.3</v>
      </c>
      <c r="I15">
        <f t="shared" si="7"/>
        <v>5.2999999999999999E-2</v>
      </c>
      <c r="J15">
        <f t="shared" si="7"/>
        <v>0</v>
      </c>
      <c r="K15">
        <f t="shared" si="7"/>
        <v>5</v>
      </c>
      <c r="L15">
        <f t="shared" si="7"/>
        <v>45275.563726851855</v>
      </c>
      <c r="M15" s="17">
        <f t="shared" si="8"/>
        <v>36</v>
      </c>
      <c r="N15" s="18">
        <f t="shared" si="9"/>
        <v>9.8630136986301367E-2</v>
      </c>
      <c r="O15">
        <f t="shared" si="10"/>
        <v>0.1457754557</v>
      </c>
      <c r="P15" s="212">
        <f t="shared" si="11"/>
        <v>56</v>
      </c>
      <c r="Q15">
        <f t="shared" si="12"/>
        <v>0.1457754557</v>
      </c>
      <c r="R15" t="e">
        <f t="shared" si="13"/>
        <v>#N/A</v>
      </c>
      <c r="S15" t="e">
        <f t="shared" si="14"/>
        <v>#N/A</v>
      </c>
    </row>
    <row r="16" spans="1:26" x14ac:dyDescent="0.2">
      <c r="A16" s="6">
        <f t="shared" si="15"/>
        <v>8</v>
      </c>
      <c r="B16">
        <f t="shared" si="4"/>
        <v>57</v>
      </c>
      <c r="C16">
        <f t="shared" si="4"/>
        <v>100</v>
      </c>
      <c r="D16">
        <f t="shared" si="4"/>
        <v>45239.563726851855</v>
      </c>
      <c r="E16">
        <f t="shared" si="4"/>
        <v>45605.563726851855</v>
      </c>
      <c r="F16" s="17">
        <f t="shared" si="5"/>
        <v>366</v>
      </c>
      <c r="G16" s="18">
        <f t="shared" si="6"/>
        <v>1.0027397260273974</v>
      </c>
      <c r="H16">
        <f t="shared" si="7"/>
        <v>0.3</v>
      </c>
      <c r="I16">
        <f t="shared" si="7"/>
        <v>5.2999999999999999E-2</v>
      </c>
      <c r="J16">
        <f t="shared" si="7"/>
        <v>0</v>
      </c>
      <c r="K16">
        <f t="shared" si="7"/>
        <v>5</v>
      </c>
      <c r="L16">
        <f t="shared" si="7"/>
        <v>45275.563726851855</v>
      </c>
      <c r="M16" s="17">
        <f t="shared" si="8"/>
        <v>36</v>
      </c>
      <c r="N16" s="18">
        <f t="shared" si="9"/>
        <v>9.8630136986301367E-2</v>
      </c>
      <c r="O16">
        <f t="shared" si="10"/>
        <v>0.1749048262</v>
      </c>
      <c r="P16" s="212">
        <f t="shared" si="11"/>
        <v>57</v>
      </c>
      <c r="Q16">
        <f t="shared" si="12"/>
        <v>0.1749048262</v>
      </c>
      <c r="R16" t="e">
        <f t="shared" si="13"/>
        <v>#N/A</v>
      </c>
      <c r="S16" t="e">
        <f t="shared" si="14"/>
        <v>#N/A</v>
      </c>
    </row>
    <row r="17" spans="1:19" x14ac:dyDescent="0.2">
      <c r="A17" s="6">
        <f t="shared" si="15"/>
        <v>9</v>
      </c>
      <c r="B17">
        <f t="shared" si="4"/>
        <v>58</v>
      </c>
      <c r="C17">
        <f t="shared" si="4"/>
        <v>100</v>
      </c>
      <c r="D17">
        <f t="shared" si="4"/>
        <v>45239.563726851855</v>
      </c>
      <c r="E17">
        <f t="shared" si="4"/>
        <v>45605.563726851855</v>
      </c>
      <c r="F17" s="17">
        <f t="shared" si="5"/>
        <v>366</v>
      </c>
      <c r="G17" s="18">
        <f t="shared" si="6"/>
        <v>1.0027397260273974</v>
      </c>
      <c r="H17">
        <f t="shared" si="7"/>
        <v>0.3</v>
      </c>
      <c r="I17">
        <f t="shared" si="7"/>
        <v>5.2999999999999999E-2</v>
      </c>
      <c r="J17">
        <f t="shared" si="7"/>
        <v>0</v>
      </c>
      <c r="K17">
        <f t="shared" si="7"/>
        <v>5</v>
      </c>
      <c r="L17">
        <f t="shared" si="7"/>
        <v>45275.563726851855</v>
      </c>
      <c r="M17" s="17">
        <f t="shared" si="8"/>
        <v>36</v>
      </c>
      <c r="N17" s="18">
        <f t="shared" si="9"/>
        <v>9.8630136986301367E-2</v>
      </c>
      <c r="O17">
        <f t="shared" si="10"/>
        <v>0.20846207180000001</v>
      </c>
      <c r="P17" s="212">
        <f t="shared" si="11"/>
        <v>58</v>
      </c>
      <c r="Q17">
        <f t="shared" si="12"/>
        <v>0.20846207180000001</v>
      </c>
      <c r="R17" t="e">
        <f t="shared" si="13"/>
        <v>#N/A</v>
      </c>
      <c r="S17" t="e">
        <f t="shared" si="14"/>
        <v>#N/A</v>
      </c>
    </row>
    <row r="18" spans="1:19" x14ac:dyDescent="0.2">
      <c r="A18" s="6">
        <f t="shared" si="15"/>
        <v>10</v>
      </c>
      <c r="B18">
        <f t="shared" si="4"/>
        <v>59</v>
      </c>
      <c r="C18">
        <f t="shared" si="4"/>
        <v>100</v>
      </c>
      <c r="D18">
        <f t="shared" si="4"/>
        <v>45239.563726851855</v>
      </c>
      <c r="E18">
        <f t="shared" si="4"/>
        <v>45605.563726851855</v>
      </c>
      <c r="F18" s="17">
        <f t="shared" si="5"/>
        <v>366</v>
      </c>
      <c r="G18" s="18">
        <f t="shared" si="6"/>
        <v>1.0027397260273974</v>
      </c>
      <c r="H18">
        <f t="shared" si="7"/>
        <v>0.3</v>
      </c>
      <c r="I18">
        <f t="shared" si="7"/>
        <v>5.2999999999999999E-2</v>
      </c>
      <c r="J18">
        <f t="shared" si="7"/>
        <v>0</v>
      </c>
      <c r="K18">
        <f t="shared" si="7"/>
        <v>5</v>
      </c>
      <c r="L18">
        <f t="shared" si="7"/>
        <v>45275.563726851855</v>
      </c>
      <c r="M18" s="17">
        <f t="shared" si="8"/>
        <v>36</v>
      </c>
      <c r="N18" s="18">
        <f t="shared" si="9"/>
        <v>9.8630136986301367E-2</v>
      </c>
      <c r="O18">
        <f t="shared" si="10"/>
        <v>0.24689107900000001</v>
      </c>
      <c r="P18" s="212">
        <f t="shared" si="11"/>
        <v>59</v>
      </c>
      <c r="Q18">
        <f t="shared" si="12"/>
        <v>0.24689107900000001</v>
      </c>
      <c r="R18" t="e">
        <f t="shared" si="13"/>
        <v>#N/A</v>
      </c>
      <c r="S18" t="e">
        <f t="shared" si="14"/>
        <v>#N/A</v>
      </c>
    </row>
    <row r="19" spans="1:19" x14ac:dyDescent="0.2">
      <c r="A19" s="6">
        <f t="shared" si="15"/>
        <v>11</v>
      </c>
      <c r="B19">
        <f t="shared" si="4"/>
        <v>60</v>
      </c>
      <c r="C19">
        <f t="shared" si="4"/>
        <v>100</v>
      </c>
      <c r="D19">
        <f t="shared" si="4"/>
        <v>45239.563726851855</v>
      </c>
      <c r="E19">
        <f t="shared" si="4"/>
        <v>45605.563726851855</v>
      </c>
      <c r="F19" s="17">
        <f t="shared" si="5"/>
        <v>366</v>
      </c>
      <c r="G19" s="18">
        <f t="shared" si="6"/>
        <v>1.0027397260273974</v>
      </c>
      <c r="H19">
        <f t="shared" ref="H19:L28" si="16">IF(ShowSeries1,IF(AND(ChartMode=2,ChartLines13=H$4),Series1Input,IF(ChartX13=H$4,$P19,H$7)),"")</f>
        <v>0.3</v>
      </c>
      <c r="I19">
        <f t="shared" si="16"/>
        <v>5.2999999999999999E-2</v>
      </c>
      <c r="J19">
        <f t="shared" si="16"/>
        <v>0</v>
      </c>
      <c r="K19">
        <f t="shared" si="16"/>
        <v>5</v>
      </c>
      <c r="L19">
        <f t="shared" si="16"/>
        <v>45275.563726851855</v>
      </c>
      <c r="M19" s="17">
        <f t="shared" si="8"/>
        <v>36</v>
      </c>
      <c r="N19" s="18">
        <f t="shared" si="9"/>
        <v>9.8630136986301367E-2</v>
      </c>
      <c r="O19">
        <f t="shared" si="10"/>
        <v>0.29191265449999998</v>
      </c>
      <c r="P19" s="212">
        <f t="shared" si="11"/>
        <v>60</v>
      </c>
      <c r="Q19">
        <f t="shared" si="12"/>
        <v>0.29191265449999998</v>
      </c>
      <c r="R19" t="e">
        <f t="shared" si="13"/>
        <v>#N/A</v>
      </c>
      <c r="S19" t="e">
        <f t="shared" si="14"/>
        <v>#N/A</v>
      </c>
    </row>
    <row r="20" spans="1:19" x14ac:dyDescent="0.2">
      <c r="A20" s="6">
        <f t="shared" si="15"/>
        <v>12</v>
      </c>
      <c r="B20">
        <f t="shared" si="4"/>
        <v>61</v>
      </c>
      <c r="C20">
        <f t="shared" si="4"/>
        <v>100</v>
      </c>
      <c r="D20">
        <f t="shared" si="4"/>
        <v>45239.563726851855</v>
      </c>
      <c r="E20">
        <f t="shared" si="4"/>
        <v>45605.563726851855</v>
      </c>
      <c r="F20" s="17">
        <f t="shared" si="5"/>
        <v>366</v>
      </c>
      <c r="G20" s="18">
        <f t="shared" si="6"/>
        <v>1.0027397260273974</v>
      </c>
      <c r="H20">
        <f t="shared" si="16"/>
        <v>0.3</v>
      </c>
      <c r="I20">
        <f t="shared" si="16"/>
        <v>5.2999999999999999E-2</v>
      </c>
      <c r="J20">
        <f t="shared" si="16"/>
        <v>0</v>
      </c>
      <c r="K20">
        <f t="shared" si="16"/>
        <v>5</v>
      </c>
      <c r="L20">
        <f t="shared" si="16"/>
        <v>45275.563726851855</v>
      </c>
      <c r="M20" s="17">
        <f t="shared" si="8"/>
        <v>36</v>
      </c>
      <c r="N20" s="18">
        <f t="shared" si="9"/>
        <v>9.8630136986301367E-2</v>
      </c>
      <c r="O20">
        <f t="shared" si="10"/>
        <v>0.34345896370000001</v>
      </c>
      <c r="P20" s="212">
        <f t="shared" si="11"/>
        <v>61</v>
      </c>
      <c r="Q20">
        <f t="shared" si="12"/>
        <v>0.34345896370000001</v>
      </c>
      <c r="R20" t="e">
        <f t="shared" si="13"/>
        <v>#N/A</v>
      </c>
      <c r="S20" t="e">
        <f t="shared" si="14"/>
        <v>#N/A</v>
      </c>
    </row>
    <row r="21" spans="1:19" x14ac:dyDescent="0.2">
      <c r="A21" s="6">
        <f t="shared" si="15"/>
        <v>13</v>
      </c>
      <c r="B21">
        <f t="shared" si="4"/>
        <v>62</v>
      </c>
      <c r="C21">
        <f t="shared" si="4"/>
        <v>100</v>
      </c>
      <c r="D21">
        <f t="shared" si="4"/>
        <v>45239.563726851855</v>
      </c>
      <c r="E21">
        <f t="shared" si="4"/>
        <v>45605.563726851855</v>
      </c>
      <c r="F21" s="17">
        <f t="shared" si="5"/>
        <v>366</v>
      </c>
      <c r="G21" s="18">
        <f t="shared" si="6"/>
        <v>1.0027397260273974</v>
      </c>
      <c r="H21">
        <f t="shared" si="16"/>
        <v>0.3</v>
      </c>
      <c r="I21">
        <f t="shared" si="16"/>
        <v>5.2999999999999999E-2</v>
      </c>
      <c r="J21">
        <f t="shared" si="16"/>
        <v>0</v>
      </c>
      <c r="K21">
        <f t="shared" si="16"/>
        <v>5</v>
      </c>
      <c r="L21">
        <f t="shared" si="16"/>
        <v>45275.563726851855</v>
      </c>
      <c r="M21" s="17">
        <f t="shared" si="8"/>
        <v>36</v>
      </c>
      <c r="N21" s="18">
        <f t="shared" si="9"/>
        <v>9.8630136986301367E-2</v>
      </c>
      <c r="O21">
        <f t="shared" si="10"/>
        <v>0.40163311289999998</v>
      </c>
      <c r="P21" s="212">
        <f t="shared" si="11"/>
        <v>62</v>
      </c>
      <c r="Q21">
        <f t="shared" si="12"/>
        <v>0.40163311289999998</v>
      </c>
      <c r="R21" t="e">
        <f t="shared" si="13"/>
        <v>#N/A</v>
      </c>
      <c r="S21" t="e">
        <f t="shared" si="14"/>
        <v>#N/A</v>
      </c>
    </row>
    <row r="22" spans="1:19" x14ac:dyDescent="0.2">
      <c r="A22" s="6">
        <f t="shared" si="15"/>
        <v>14</v>
      </c>
      <c r="B22">
        <f t="shared" si="4"/>
        <v>63</v>
      </c>
      <c r="C22">
        <f t="shared" si="4"/>
        <v>100</v>
      </c>
      <c r="D22">
        <f t="shared" si="4"/>
        <v>45239.563726851855</v>
      </c>
      <c r="E22">
        <f t="shared" si="4"/>
        <v>45605.563726851855</v>
      </c>
      <c r="F22" s="17">
        <f t="shared" si="5"/>
        <v>366</v>
      </c>
      <c r="G22" s="18">
        <f t="shared" si="6"/>
        <v>1.0027397260273974</v>
      </c>
      <c r="H22">
        <f t="shared" si="16"/>
        <v>0.3</v>
      </c>
      <c r="I22">
        <f t="shared" si="16"/>
        <v>5.2999999999999999E-2</v>
      </c>
      <c r="J22">
        <f t="shared" si="16"/>
        <v>0</v>
      </c>
      <c r="K22">
        <f t="shared" si="16"/>
        <v>5</v>
      </c>
      <c r="L22">
        <f t="shared" si="16"/>
        <v>45275.563726851855</v>
      </c>
      <c r="M22" s="17">
        <f t="shared" si="8"/>
        <v>36</v>
      </c>
      <c r="N22" s="18">
        <f t="shared" si="9"/>
        <v>9.8630136986301367E-2</v>
      </c>
      <c r="O22">
        <f t="shared" si="10"/>
        <v>0.4669437957</v>
      </c>
      <c r="P22" s="212">
        <f t="shared" si="11"/>
        <v>63</v>
      </c>
      <c r="Q22">
        <f t="shared" si="12"/>
        <v>0.4669437957</v>
      </c>
      <c r="R22" t="e">
        <f t="shared" si="13"/>
        <v>#N/A</v>
      </c>
      <c r="S22" t="e">
        <f t="shared" si="14"/>
        <v>#N/A</v>
      </c>
    </row>
    <row r="23" spans="1:19" x14ac:dyDescent="0.2">
      <c r="A23" s="6">
        <f t="shared" si="15"/>
        <v>15</v>
      </c>
      <c r="B23">
        <f t="shared" si="4"/>
        <v>64</v>
      </c>
      <c r="C23">
        <f t="shared" si="4"/>
        <v>100</v>
      </c>
      <c r="D23">
        <f t="shared" si="4"/>
        <v>45239.563726851855</v>
      </c>
      <c r="E23">
        <f t="shared" si="4"/>
        <v>45605.563726851855</v>
      </c>
      <c r="F23" s="17">
        <f t="shared" si="5"/>
        <v>366</v>
      </c>
      <c r="G23" s="18">
        <f t="shared" si="6"/>
        <v>1.0027397260273974</v>
      </c>
      <c r="H23">
        <f t="shared" si="16"/>
        <v>0.3</v>
      </c>
      <c r="I23">
        <f t="shared" si="16"/>
        <v>5.2999999999999999E-2</v>
      </c>
      <c r="J23">
        <f t="shared" si="16"/>
        <v>0</v>
      </c>
      <c r="K23">
        <f t="shared" si="16"/>
        <v>5</v>
      </c>
      <c r="L23">
        <f t="shared" si="16"/>
        <v>45275.563726851855</v>
      </c>
      <c r="M23" s="17">
        <f t="shared" si="8"/>
        <v>36</v>
      </c>
      <c r="N23" s="18">
        <f t="shared" si="9"/>
        <v>9.8630136986301367E-2</v>
      </c>
      <c r="O23">
        <f t="shared" si="10"/>
        <v>0.53990294920000004</v>
      </c>
      <c r="P23" s="212">
        <f t="shared" si="11"/>
        <v>64</v>
      </c>
      <c r="Q23">
        <f t="shared" si="12"/>
        <v>0.53990294920000004</v>
      </c>
      <c r="R23" t="e">
        <f t="shared" si="13"/>
        <v>#N/A</v>
      </c>
      <c r="S23" t="e">
        <f t="shared" si="14"/>
        <v>#N/A</v>
      </c>
    </row>
    <row r="24" spans="1:19" x14ac:dyDescent="0.2">
      <c r="A24" s="6">
        <f t="shared" si="15"/>
        <v>16</v>
      </c>
      <c r="B24">
        <f t="shared" si="4"/>
        <v>65</v>
      </c>
      <c r="C24">
        <f t="shared" si="4"/>
        <v>100</v>
      </c>
      <c r="D24">
        <f t="shared" si="4"/>
        <v>45239.563726851855</v>
      </c>
      <c r="E24">
        <f t="shared" si="4"/>
        <v>45605.563726851855</v>
      </c>
      <c r="F24" s="17">
        <f t="shared" si="5"/>
        <v>366</v>
      </c>
      <c r="G24" s="18">
        <f t="shared" si="6"/>
        <v>1.0027397260273974</v>
      </c>
      <c r="H24">
        <f t="shared" si="16"/>
        <v>0.3</v>
      </c>
      <c r="I24">
        <f t="shared" si="16"/>
        <v>5.2999999999999999E-2</v>
      </c>
      <c r="J24">
        <f t="shared" si="16"/>
        <v>0</v>
      </c>
      <c r="K24">
        <f t="shared" si="16"/>
        <v>5</v>
      </c>
      <c r="L24">
        <f t="shared" si="16"/>
        <v>45275.563726851855</v>
      </c>
      <c r="M24" s="17">
        <f t="shared" si="8"/>
        <v>36</v>
      </c>
      <c r="N24" s="18">
        <f t="shared" si="9"/>
        <v>9.8630136986301367E-2</v>
      </c>
      <c r="O24">
        <f t="shared" si="10"/>
        <v>0.62102290630000001</v>
      </c>
      <c r="P24" s="212">
        <f t="shared" si="11"/>
        <v>65</v>
      </c>
      <c r="Q24">
        <f t="shared" si="12"/>
        <v>0.62102290630000001</v>
      </c>
      <c r="R24" t="e">
        <f t="shared" si="13"/>
        <v>#N/A</v>
      </c>
      <c r="S24" t="e">
        <f t="shared" si="14"/>
        <v>#N/A</v>
      </c>
    </row>
    <row r="25" spans="1:19" x14ac:dyDescent="0.2">
      <c r="A25" s="6">
        <f t="shared" si="15"/>
        <v>17</v>
      </c>
      <c r="B25">
        <f t="shared" si="4"/>
        <v>66</v>
      </c>
      <c r="C25">
        <f t="shared" si="4"/>
        <v>100</v>
      </c>
      <c r="D25">
        <f t="shared" si="4"/>
        <v>45239.563726851855</v>
      </c>
      <c r="E25">
        <f t="shared" si="4"/>
        <v>45605.563726851855</v>
      </c>
      <c r="F25" s="17">
        <f t="shared" si="5"/>
        <v>366</v>
      </c>
      <c r="G25" s="18">
        <f t="shared" si="6"/>
        <v>1.0027397260273974</v>
      </c>
      <c r="H25">
        <f t="shared" si="16"/>
        <v>0.3</v>
      </c>
      <c r="I25">
        <f t="shared" si="16"/>
        <v>5.2999999999999999E-2</v>
      </c>
      <c r="J25">
        <f t="shared" si="16"/>
        <v>0</v>
      </c>
      <c r="K25">
        <f t="shared" si="16"/>
        <v>5</v>
      </c>
      <c r="L25">
        <f t="shared" si="16"/>
        <v>45275.563726851855</v>
      </c>
      <c r="M25" s="17">
        <f t="shared" si="8"/>
        <v>36</v>
      </c>
      <c r="N25" s="18">
        <f t="shared" si="9"/>
        <v>9.8630136986301367E-2</v>
      </c>
      <c r="O25">
        <f t="shared" si="10"/>
        <v>0.71081357430000003</v>
      </c>
      <c r="P25" s="212">
        <f t="shared" si="11"/>
        <v>66</v>
      </c>
      <c r="Q25">
        <f t="shared" si="12"/>
        <v>0.71081357430000003</v>
      </c>
      <c r="R25" t="e">
        <f t="shared" si="13"/>
        <v>#N/A</v>
      </c>
      <c r="S25" t="e">
        <f t="shared" si="14"/>
        <v>#N/A</v>
      </c>
    </row>
    <row r="26" spans="1:19" x14ac:dyDescent="0.2">
      <c r="A26" s="6">
        <f t="shared" si="15"/>
        <v>18</v>
      </c>
      <c r="B26">
        <f t="shared" si="4"/>
        <v>67</v>
      </c>
      <c r="C26">
        <f t="shared" si="4"/>
        <v>100</v>
      </c>
      <c r="D26">
        <f t="shared" si="4"/>
        <v>45239.563726851855</v>
      </c>
      <c r="E26">
        <f t="shared" si="4"/>
        <v>45605.563726851855</v>
      </c>
      <c r="F26" s="17">
        <f t="shared" si="5"/>
        <v>366</v>
      </c>
      <c r="G26" s="18">
        <f t="shared" si="6"/>
        <v>1.0027397260273974</v>
      </c>
      <c r="H26">
        <f t="shared" si="16"/>
        <v>0.3</v>
      </c>
      <c r="I26">
        <f t="shared" si="16"/>
        <v>5.2999999999999999E-2</v>
      </c>
      <c r="J26">
        <f t="shared" si="16"/>
        <v>0</v>
      </c>
      <c r="K26">
        <f t="shared" si="16"/>
        <v>5</v>
      </c>
      <c r="L26">
        <f t="shared" si="16"/>
        <v>45275.563726851855</v>
      </c>
      <c r="M26" s="17">
        <f t="shared" si="8"/>
        <v>36</v>
      </c>
      <c r="N26" s="18">
        <f t="shared" si="9"/>
        <v>9.8630136986301367E-2</v>
      </c>
      <c r="O26">
        <f t="shared" si="10"/>
        <v>0.80977966970000004</v>
      </c>
      <c r="P26" s="212">
        <f t="shared" si="11"/>
        <v>67</v>
      </c>
      <c r="Q26">
        <f t="shared" si="12"/>
        <v>0.80977966970000004</v>
      </c>
      <c r="R26" t="e">
        <f t="shared" si="13"/>
        <v>#N/A</v>
      </c>
      <c r="S26" t="e">
        <f t="shared" si="14"/>
        <v>#N/A</v>
      </c>
    </row>
    <row r="27" spans="1:19" x14ac:dyDescent="0.2">
      <c r="A27" s="6">
        <f t="shared" si="15"/>
        <v>19</v>
      </c>
      <c r="B27">
        <f t="shared" si="4"/>
        <v>68</v>
      </c>
      <c r="C27">
        <f t="shared" si="4"/>
        <v>100</v>
      </c>
      <c r="D27">
        <f t="shared" si="4"/>
        <v>45239.563726851855</v>
      </c>
      <c r="E27">
        <f t="shared" si="4"/>
        <v>45605.563726851855</v>
      </c>
      <c r="F27" s="17">
        <f t="shared" si="5"/>
        <v>366</v>
      </c>
      <c r="G27" s="18">
        <f t="shared" si="6"/>
        <v>1.0027397260273974</v>
      </c>
      <c r="H27">
        <f t="shared" si="16"/>
        <v>0.3</v>
      </c>
      <c r="I27">
        <f t="shared" si="16"/>
        <v>5.2999999999999999E-2</v>
      </c>
      <c r="J27">
        <f t="shared" si="16"/>
        <v>0</v>
      </c>
      <c r="K27">
        <f t="shared" si="16"/>
        <v>5</v>
      </c>
      <c r="L27">
        <f t="shared" si="16"/>
        <v>45275.563726851855</v>
      </c>
      <c r="M27" s="17">
        <f t="shared" si="8"/>
        <v>36</v>
      </c>
      <c r="N27" s="18">
        <f t="shared" si="9"/>
        <v>9.8630136986301367E-2</v>
      </c>
      <c r="O27">
        <f t="shared" si="10"/>
        <v>0.91841803889999996</v>
      </c>
      <c r="P27" s="212">
        <f t="shared" si="11"/>
        <v>68</v>
      </c>
      <c r="Q27">
        <f t="shared" si="12"/>
        <v>0.91841803889999996</v>
      </c>
      <c r="R27" t="e">
        <f t="shared" si="13"/>
        <v>#N/A</v>
      </c>
      <c r="S27" t="e">
        <f t="shared" si="14"/>
        <v>#N/A</v>
      </c>
    </row>
    <row r="28" spans="1:19" x14ac:dyDescent="0.2">
      <c r="A28" s="6">
        <f t="shared" si="15"/>
        <v>20</v>
      </c>
      <c r="B28">
        <f t="shared" si="4"/>
        <v>69</v>
      </c>
      <c r="C28">
        <f t="shared" si="4"/>
        <v>100</v>
      </c>
      <c r="D28">
        <f t="shared" si="4"/>
        <v>45239.563726851855</v>
      </c>
      <c r="E28">
        <f t="shared" si="4"/>
        <v>45605.563726851855</v>
      </c>
      <c r="F28" s="17">
        <f t="shared" si="5"/>
        <v>366</v>
      </c>
      <c r="G28" s="18">
        <f t="shared" si="6"/>
        <v>1.0027397260273974</v>
      </c>
      <c r="H28">
        <f t="shared" si="16"/>
        <v>0.3</v>
      </c>
      <c r="I28">
        <f t="shared" si="16"/>
        <v>5.2999999999999999E-2</v>
      </c>
      <c r="J28">
        <f t="shared" si="16"/>
        <v>0</v>
      </c>
      <c r="K28">
        <f t="shared" si="16"/>
        <v>5</v>
      </c>
      <c r="L28">
        <f t="shared" si="16"/>
        <v>45275.563726851855</v>
      </c>
      <c r="M28" s="17">
        <f t="shared" si="8"/>
        <v>36</v>
      </c>
      <c r="N28" s="18">
        <f t="shared" si="9"/>
        <v>9.8630136986301367E-2</v>
      </c>
      <c r="O28">
        <f t="shared" si="10"/>
        <v>1.0372150899000001</v>
      </c>
      <c r="P28" s="212">
        <f t="shared" si="11"/>
        <v>69</v>
      </c>
      <c r="Q28">
        <f t="shared" si="12"/>
        <v>1.0372150899000001</v>
      </c>
      <c r="R28" t="e">
        <f t="shared" si="13"/>
        <v>#N/A</v>
      </c>
      <c r="S28" t="e">
        <f t="shared" si="14"/>
        <v>#N/A</v>
      </c>
    </row>
    <row r="29" spans="1:19" x14ac:dyDescent="0.2">
      <c r="A29" s="6">
        <f t="shared" si="15"/>
        <v>21</v>
      </c>
      <c r="B29">
        <f t="shared" ref="B29:E48" si="17">IF(ShowSeries1,IF(AND(ChartMode=2,ChartLines13=B$4),Series1Input,IF(ChartX13=B$4,$P29,B$7)),"")</f>
        <v>70</v>
      </c>
      <c r="C29">
        <f t="shared" si="17"/>
        <v>100</v>
      </c>
      <c r="D29">
        <f t="shared" si="17"/>
        <v>45239.563726851855</v>
      </c>
      <c r="E29">
        <f t="shared" si="17"/>
        <v>45605.563726851855</v>
      </c>
      <c r="F29" s="17">
        <f t="shared" si="5"/>
        <v>366</v>
      </c>
      <c r="G29" s="18">
        <f t="shared" si="6"/>
        <v>1.0027397260273974</v>
      </c>
      <c r="H29">
        <f t="shared" ref="H29:L38" si="18">IF(ShowSeries1,IF(AND(ChartMode=2,ChartLines13=H$4),Series1Input,IF(ChartX13=H$4,$P29,H$7)),"")</f>
        <v>0.3</v>
      </c>
      <c r="I29">
        <f t="shared" si="18"/>
        <v>5.2999999999999999E-2</v>
      </c>
      <c r="J29">
        <f t="shared" si="18"/>
        <v>0</v>
      </c>
      <c r="K29">
        <f t="shared" si="18"/>
        <v>5</v>
      </c>
      <c r="L29">
        <f t="shared" si="18"/>
        <v>45275.563726851855</v>
      </c>
      <c r="M29" s="17">
        <f t="shared" si="8"/>
        <v>36</v>
      </c>
      <c r="N29" s="18">
        <f t="shared" si="9"/>
        <v>9.8630136986301367E-2</v>
      </c>
      <c r="O29">
        <f t="shared" si="10"/>
        <v>1.1666443580000001</v>
      </c>
      <c r="P29" s="212">
        <f t="shared" si="11"/>
        <v>70</v>
      </c>
      <c r="Q29">
        <f t="shared" si="12"/>
        <v>1.1666443580000001</v>
      </c>
      <c r="R29" t="e">
        <f t="shared" si="13"/>
        <v>#N/A</v>
      </c>
      <c r="S29" t="e">
        <f t="shared" si="14"/>
        <v>#N/A</v>
      </c>
    </row>
    <row r="30" spans="1:19" x14ac:dyDescent="0.2">
      <c r="A30" s="6">
        <f t="shared" si="15"/>
        <v>22</v>
      </c>
      <c r="B30">
        <f t="shared" si="17"/>
        <v>71</v>
      </c>
      <c r="C30">
        <f t="shared" si="17"/>
        <v>100</v>
      </c>
      <c r="D30">
        <f t="shared" si="17"/>
        <v>45239.563726851855</v>
      </c>
      <c r="E30">
        <f t="shared" si="17"/>
        <v>45605.563726851855</v>
      </c>
      <c r="F30" s="17">
        <f t="shared" si="5"/>
        <v>366</v>
      </c>
      <c r="G30" s="18">
        <f t="shared" si="6"/>
        <v>1.0027397260273974</v>
      </c>
      <c r="H30">
        <f t="shared" si="18"/>
        <v>0.3</v>
      </c>
      <c r="I30">
        <f t="shared" si="18"/>
        <v>5.2999999999999999E-2</v>
      </c>
      <c r="J30">
        <f t="shared" si="18"/>
        <v>0</v>
      </c>
      <c r="K30">
        <f t="shared" si="18"/>
        <v>5</v>
      </c>
      <c r="L30">
        <f t="shared" si="18"/>
        <v>45275.563726851855</v>
      </c>
      <c r="M30" s="17">
        <f t="shared" si="8"/>
        <v>36</v>
      </c>
      <c r="N30" s="18">
        <f t="shared" si="9"/>
        <v>9.8630136986301367E-2</v>
      </c>
      <c r="O30">
        <f t="shared" si="10"/>
        <v>1.3071642242999999</v>
      </c>
      <c r="P30" s="212">
        <f t="shared" si="11"/>
        <v>71</v>
      </c>
      <c r="Q30">
        <f t="shared" si="12"/>
        <v>1.3071642242999999</v>
      </c>
      <c r="R30" t="e">
        <f t="shared" si="13"/>
        <v>#N/A</v>
      </c>
      <c r="S30" t="e">
        <f t="shared" si="14"/>
        <v>#N/A</v>
      </c>
    </row>
    <row r="31" spans="1:19" x14ac:dyDescent="0.2">
      <c r="A31" s="6">
        <f t="shared" si="15"/>
        <v>23</v>
      </c>
      <c r="B31">
        <f t="shared" si="17"/>
        <v>72</v>
      </c>
      <c r="C31">
        <f t="shared" si="17"/>
        <v>100</v>
      </c>
      <c r="D31">
        <f t="shared" si="17"/>
        <v>45239.563726851855</v>
      </c>
      <c r="E31">
        <f t="shared" si="17"/>
        <v>45605.563726851855</v>
      </c>
      <c r="F31" s="17">
        <f t="shared" si="5"/>
        <v>366</v>
      </c>
      <c r="G31" s="18">
        <f t="shared" si="6"/>
        <v>1.0027397260273974</v>
      </c>
      <c r="H31">
        <f t="shared" si="18"/>
        <v>0.3</v>
      </c>
      <c r="I31">
        <f t="shared" si="18"/>
        <v>5.2999999999999999E-2</v>
      </c>
      <c r="J31">
        <f t="shared" si="18"/>
        <v>0</v>
      </c>
      <c r="K31">
        <f t="shared" si="18"/>
        <v>5</v>
      </c>
      <c r="L31">
        <f t="shared" si="18"/>
        <v>45275.563726851855</v>
      </c>
      <c r="M31" s="17">
        <f t="shared" si="8"/>
        <v>36</v>
      </c>
      <c r="N31" s="18">
        <f t="shared" si="9"/>
        <v>9.8630136986301367E-2</v>
      </c>
      <c r="O31">
        <f t="shared" si="10"/>
        <v>1.4592158031</v>
      </c>
      <c r="P31" s="212">
        <f t="shared" si="11"/>
        <v>72</v>
      </c>
      <c r="Q31">
        <f t="shared" si="12"/>
        <v>1.4592158031</v>
      </c>
      <c r="R31" t="e">
        <f t="shared" si="13"/>
        <v>#N/A</v>
      </c>
      <c r="S31" t="e">
        <f t="shared" si="14"/>
        <v>#N/A</v>
      </c>
    </row>
    <row r="32" spans="1:19" x14ac:dyDescent="0.2">
      <c r="A32" s="6">
        <f t="shared" si="15"/>
        <v>24</v>
      </c>
      <c r="B32">
        <f t="shared" si="17"/>
        <v>73</v>
      </c>
      <c r="C32">
        <f t="shared" si="17"/>
        <v>100</v>
      </c>
      <c r="D32">
        <f t="shared" si="17"/>
        <v>45239.563726851855</v>
      </c>
      <c r="E32">
        <f t="shared" si="17"/>
        <v>45605.563726851855</v>
      </c>
      <c r="F32" s="17">
        <f t="shared" si="5"/>
        <v>366</v>
      </c>
      <c r="G32" s="18">
        <f t="shared" si="6"/>
        <v>1.0027397260273974</v>
      </c>
      <c r="H32">
        <f t="shared" si="18"/>
        <v>0.3</v>
      </c>
      <c r="I32">
        <f t="shared" si="18"/>
        <v>5.2999999999999999E-2</v>
      </c>
      <c r="J32">
        <f t="shared" si="18"/>
        <v>0</v>
      </c>
      <c r="K32">
        <f t="shared" si="18"/>
        <v>5</v>
      </c>
      <c r="L32">
        <f t="shared" si="18"/>
        <v>45275.563726851855</v>
      </c>
      <c r="M32" s="17">
        <f t="shared" si="8"/>
        <v>36</v>
      </c>
      <c r="N32" s="18">
        <f t="shared" si="9"/>
        <v>9.8630136986301367E-2</v>
      </c>
      <c r="O32">
        <f t="shared" si="10"/>
        <v>1.623221011</v>
      </c>
      <c r="P32" s="212">
        <f t="shared" si="11"/>
        <v>73</v>
      </c>
      <c r="Q32">
        <f t="shared" si="12"/>
        <v>1.623221011</v>
      </c>
      <c r="R32" t="e">
        <f t="shared" si="13"/>
        <v>#N/A</v>
      </c>
      <c r="S32" t="e">
        <f t="shared" si="14"/>
        <v>#N/A</v>
      </c>
    </row>
    <row r="33" spans="1:19" x14ac:dyDescent="0.2">
      <c r="A33" s="6">
        <f t="shared" si="15"/>
        <v>25</v>
      </c>
      <c r="B33">
        <f t="shared" si="17"/>
        <v>74</v>
      </c>
      <c r="C33">
        <f t="shared" si="17"/>
        <v>100</v>
      </c>
      <c r="D33">
        <f t="shared" si="17"/>
        <v>45239.563726851855</v>
      </c>
      <c r="E33">
        <f t="shared" si="17"/>
        <v>45605.563726851855</v>
      </c>
      <c r="F33" s="17">
        <f t="shared" si="5"/>
        <v>366</v>
      </c>
      <c r="G33" s="18">
        <f t="shared" si="6"/>
        <v>1.0027397260273974</v>
      </c>
      <c r="H33">
        <f t="shared" si="18"/>
        <v>0.3</v>
      </c>
      <c r="I33">
        <f t="shared" si="18"/>
        <v>5.2999999999999999E-2</v>
      </c>
      <c r="J33">
        <f t="shared" si="18"/>
        <v>0</v>
      </c>
      <c r="K33">
        <f t="shared" si="18"/>
        <v>5</v>
      </c>
      <c r="L33">
        <f t="shared" si="18"/>
        <v>45275.563726851855</v>
      </c>
      <c r="M33" s="17">
        <f t="shared" si="8"/>
        <v>36</v>
      </c>
      <c r="N33" s="18">
        <f t="shared" si="9"/>
        <v>9.8630136986301367E-2</v>
      </c>
      <c r="O33">
        <f t="shared" si="10"/>
        <v>1.799580827</v>
      </c>
      <c r="P33" s="212">
        <f t="shared" si="11"/>
        <v>74</v>
      </c>
      <c r="Q33">
        <f t="shared" si="12"/>
        <v>1.799580827</v>
      </c>
      <c r="R33" t="e">
        <f t="shared" si="13"/>
        <v>#N/A</v>
      </c>
      <c r="S33" t="e">
        <f t="shared" si="14"/>
        <v>#N/A</v>
      </c>
    </row>
    <row r="34" spans="1:19" x14ac:dyDescent="0.2">
      <c r="A34" s="6">
        <f t="shared" si="15"/>
        <v>26</v>
      </c>
      <c r="B34">
        <f t="shared" si="17"/>
        <v>75</v>
      </c>
      <c r="C34">
        <f t="shared" si="17"/>
        <v>100</v>
      </c>
      <c r="D34">
        <f t="shared" si="17"/>
        <v>45239.563726851855</v>
      </c>
      <c r="E34">
        <f t="shared" si="17"/>
        <v>45605.563726851855</v>
      </c>
      <c r="F34" s="17">
        <f t="shared" si="5"/>
        <v>366</v>
      </c>
      <c r="G34" s="18">
        <f t="shared" si="6"/>
        <v>1.0027397260273974</v>
      </c>
      <c r="H34">
        <f t="shared" si="18"/>
        <v>0.3</v>
      </c>
      <c r="I34">
        <f t="shared" si="18"/>
        <v>5.2999999999999999E-2</v>
      </c>
      <c r="J34">
        <f t="shared" si="18"/>
        <v>0</v>
      </c>
      <c r="K34">
        <f t="shared" si="18"/>
        <v>5</v>
      </c>
      <c r="L34">
        <f t="shared" si="18"/>
        <v>45275.563726851855</v>
      </c>
      <c r="M34" s="17">
        <f t="shared" si="8"/>
        <v>36</v>
      </c>
      <c r="N34" s="18">
        <f t="shared" si="9"/>
        <v>9.8630136986301367E-2</v>
      </c>
      <c r="O34">
        <f t="shared" si="10"/>
        <v>1.9886737499</v>
      </c>
      <c r="P34" s="212">
        <f t="shared" si="11"/>
        <v>75</v>
      </c>
      <c r="Q34">
        <f t="shared" si="12"/>
        <v>1.9886737499</v>
      </c>
      <c r="R34" t="e">
        <f t="shared" si="13"/>
        <v>#N/A</v>
      </c>
      <c r="S34" t="e">
        <f t="shared" si="14"/>
        <v>#N/A</v>
      </c>
    </row>
    <row r="35" spans="1:19" x14ac:dyDescent="0.2">
      <c r="A35" s="6">
        <f t="shared" si="15"/>
        <v>27</v>
      </c>
      <c r="B35">
        <f t="shared" si="17"/>
        <v>76</v>
      </c>
      <c r="C35">
        <f t="shared" si="17"/>
        <v>100</v>
      </c>
      <c r="D35">
        <f t="shared" si="17"/>
        <v>45239.563726851855</v>
      </c>
      <c r="E35">
        <f t="shared" si="17"/>
        <v>45605.563726851855</v>
      </c>
      <c r="F35" s="17">
        <f t="shared" si="5"/>
        <v>366</v>
      </c>
      <c r="G35" s="18">
        <f t="shared" si="6"/>
        <v>1.0027397260273974</v>
      </c>
      <c r="H35">
        <f t="shared" si="18"/>
        <v>0.3</v>
      </c>
      <c r="I35">
        <f t="shared" si="18"/>
        <v>5.2999999999999999E-2</v>
      </c>
      <c r="J35">
        <f t="shared" si="18"/>
        <v>0</v>
      </c>
      <c r="K35">
        <f t="shared" si="18"/>
        <v>5</v>
      </c>
      <c r="L35">
        <f t="shared" si="18"/>
        <v>45275.563726851855</v>
      </c>
      <c r="M35" s="17">
        <f t="shared" si="8"/>
        <v>36</v>
      </c>
      <c r="N35" s="18">
        <f t="shared" si="9"/>
        <v>9.8630136986301367E-2</v>
      </c>
      <c r="O35">
        <f t="shared" si="10"/>
        <v>2.1908544578</v>
      </c>
      <c r="P35" s="212">
        <f t="shared" si="11"/>
        <v>76</v>
      </c>
      <c r="Q35">
        <f t="shared" si="12"/>
        <v>2.1908544578</v>
      </c>
      <c r="R35" t="e">
        <f t="shared" si="13"/>
        <v>#N/A</v>
      </c>
      <c r="S35" t="e">
        <f t="shared" si="14"/>
        <v>#N/A</v>
      </c>
    </row>
    <row r="36" spans="1:19" x14ac:dyDescent="0.2">
      <c r="A36" s="6">
        <f t="shared" si="15"/>
        <v>28</v>
      </c>
      <c r="B36">
        <f t="shared" si="17"/>
        <v>77</v>
      </c>
      <c r="C36">
        <f t="shared" si="17"/>
        <v>100</v>
      </c>
      <c r="D36">
        <f t="shared" si="17"/>
        <v>45239.563726851855</v>
      </c>
      <c r="E36">
        <f t="shared" si="17"/>
        <v>45605.563726851855</v>
      </c>
      <c r="F36" s="17">
        <f t="shared" si="5"/>
        <v>366</v>
      </c>
      <c r="G36" s="18">
        <f t="shared" si="6"/>
        <v>1.0027397260273974</v>
      </c>
      <c r="H36">
        <f t="shared" si="18"/>
        <v>0.3</v>
      </c>
      <c r="I36">
        <f t="shared" si="18"/>
        <v>5.2999999999999999E-2</v>
      </c>
      <c r="J36">
        <f t="shared" si="18"/>
        <v>0</v>
      </c>
      <c r="K36">
        <f t="shared" si="18"/>
        <v>5</v>
      </c>
      <c r="L36">
        <f t="shared" si="18"/>
        <v>45275.563726851855</v>
      </c>
      <c r="M36" s="17">
        <f t="shared" si="8"/>
        <v>36</v>
      </c>
      <c r="N36" s="18">
        <f t="shared" si="9"/>
        <v>9.8630136986301367E-2</v>
      </c>
      <c r="O36">
        <f t="shared" si="10"/>
        <v>2.4064526691000001</v>
      </c>
      <c r="P36" s="212">
        <f t="shared" si="11"/>
        <v>77</v>
      </c>
      <c r="Q36">
        <f t="shared" si="12"/>
        <v>2.4064526691000001</v>
      </c>
      <c r="R36" t="e">
        <f t="shared" si="13"/>
        <v>#N/A</v>
      </c>
      <c r="S36" t="e">
        <f t="shared" si="14"/>
        <v>#N/A</v>
      </c>
    </row>
    <row r="37" spans="1:19" x14ac:dyDescent="0.2">
      <c r="A37" s="6">
        <f t="shared" si="15"/>
        <v>29</v>
      </c>
      <c r="B37">
        <f t="shared" si="17"/>
        <v>78</v>
      </c>
      <c r="C37">
        <f t="shared" si="17"/>
        <v>100</v>
      </c>
      <c r="D37">
        <f t="shared" si="17"/>
        <v>45239.563726851855</v>
      </c>
      <c r="E37">
        <f t="shared" si="17"/>
        <v>45605.563726851855</v>
      </c>
      <c r="F37" s="17">
        <f t="shared" si="5"/>
        <v>366</v>
      </c>
      <c r="G37" s="18">
        <f t="shared" si="6"/>
        <v>1.0027397260273974</v>
      </c>
      <c r="H37">
        <f t="shared" si="18"/>
        <v>0.3</v>
      </c>
      <c r="I37">
        <f t="shared" si="18"/>
        <v>5.2999999999999999E-2</v>
      </c>
      <c r="J37">
        <f t="shared" si="18"/>
        <v>0</v>
      </c>
      <c r="K37">
        <f t="shared" si="18"/>
        <v>5</v>
      </c>
      <c r="L37">
        <f t="shared" si="18"/>
        <v>45275.563726851855</v>
      </c>
      <c r="M37" s="17">
        <f t="shared" si="8"/>
        <v>36</v>
      </c>
      <c r="N37" s="18">
        <f t="shared" si="9"/>
        <v>9.8630136986301367E-2</v>
      </c>
      <c r="O37">
        <f t="shared" si="10"/>
        <v>2.6357722054999999</v>
      </c>
      <c r="P37" s="212">
        <f t="shared" si="11"/>
        <v>78</v>
      </c>
      <c r="Q37">
        <f t="shared" si="12"/>
        <v>2.6357722054999999</v>
      </c>
      <c r="R37" t="e">
        <f t="shared" si="13"/>
        <v>#N/A</v>
      </c>
      <c r="S37" t="e">
        <f t="shared" si="14"/>
        <v>#N/A</v>
      </c>
    </row>
    <row r="38" spans="1:19" x14ac:dyDescent="0.2">
      <c r="A38" s="6">
        <f t="shared" si="15"/>
        <v>30</v>
      </c>
      <c r="B38">
        <f t="shared" si="17"/>
        <v>79</v>
      </c>
      <c r="C38">
        <f t="shared" si="17"/>
        <v>100</v>
      </c>
      <c r="D38">
        <f t="shared" si="17"/>
        <v>45239.563726851855</v>
      </c>
      <c r="E38">
        <f t="shared" si="17"/>
        <v>45605.563726851855</v>
      </c>
      <c r="F38" s="17">
        <f t="shared" si="5"/>
        <v>366</v>
      </c>
      <c r="G38" s="18">
        <f t="shared" si="6"/>
        <v>1.0027397260273974</v>
      </c>
      <c r="H38">
        <f t="shared" si="18"/>
        <v>0.3</v>
      </c>
      <c r="I38">
        <f t="shared" si="18"/>
        <v>5.2999999999999999E-2</v>
      </c>
      <c r="J38">
        <f t="shared" si="18"/>
        <v>0</v>
      </c>
      <c r="K38">
        <f t="shared" si="18"/>
        <v>5</v>
      </c>
      <c r="L38">
        <f t="shared" si="18"/>
        <v>45275.563726851855</v>
      </c>
      <c r="M38" s="17">
        <f t="shared" si="8"/>
        <v>36</v>
      </c>
      <c r="N38" s="18">
        <f t="shared" si="9"/>
        <v>9.8630136986301367E-2</v>
      </c>
      <c r="O38">
        <f t="shared" si="10"/>
        <v>2.8790902518000001</v>
      </c>
      <c r="P38" s="212">
        <f t="shared" si="11"/>
        <v>79</v>
      </c>
      <c r="Q38">
        <f t="shared" si="12"/>
        <v>2.8790902518000001</v>
      </c>
      <c r="R38" t="e">
        <f t="shared" si="13"/>
        <v>#N/A</v>
      </c>
      <c r="S38" t="e">
        <f t="shared" si="14"/>
        <v>#N/A</v>
      </c>
    </row>
    <row r="39" spans="1:19" x14ac:dyDescent="0.2">
      <c r="A39" s="6">
        <f t="shared" si="15"/>
        <v>31</v>
      </c>
      <c r="B39">
        <f t="shared" si="17"/>
        <v>80</v>
      </c>
      <c r="C39">
        <f t="shared" si="17"/>
        <v>100</v>
      </c>
      <c r="D39">
        <f t="shared" si="17"/>
        <v>45239.563726851855</v>
      </c>
      <c r="E39">
        <f t="shared" si="17"/>
        <v>45605.563726851855</v>
      </c>
      <c r="F39" s="17">
        <f t="shared" si="5"/>
        <v>366</v>
      </c>
      <c r="G39" s="18">
        <f t="shared" si="6"/>
        <v>1.0027397260273974</v>
      </c>
      <c r="H39">
        <f t="shared" ref="H39:L48" si="19">IF(ShowSeries1,IF(AND(ChartMode=2,ChartLines13=H$4),Series1Input,IF(ChartX13=H$4,$P39,H$7)),"")</f>
        <v>0.3</v>
      </c>
      <c r="I39">
        <f t="shared" si="19"/>
        <v>5.2999999999999999E-2</v>
      </c>
      <c r="J39">
        <f t="shared" si="19"/>
        <v>0</v>
      </c>
      <c r="K39">
        <f t="shared" si="19"/>
        <v>5</v>
      </c>
      <c r="L39">
        <f t="shared" si="19"/>
        <v>45275.563726851855</v>
      </c>
      <c r="M39" s="17">
        <f t="shared" si="8"/>
        <v>36</v>
      </c>
      <c r="N39" s="18">
        <f t="shared" si="9"/>
        <v>9.8630136986301367E-2</v>
      </c>
      <c r="O39">
        <f t="shared" si="10"/>
        <v>3.1366568088000002</v>
      </c>
      <c r="P39" s="212">
        <f t="shared" si="11"/>
        <v>80</v>
      </c>
      <c r="Q39">
        <f t="shared" si="12"/>
        <v>3.1366568088000002</v>
      </c>
      <c r="R39" t="e">
        <f t="shared" si="13"/>
        <v>#N/A</v>
      </c>
      <c r="S39" t="e">
        <f t="shared" si="14"/>
        <v>#N/A</v>
      </c>
    </row>
    <row r="40" spans="1:19" x14ac:dyDescent="0.2">
      <c r="A40" s="6">
        <f t="shared" si="15"/>
        <v>32</v>
      </c>
      <c r="B40">
        <f t="shared" si="17"/>
        <v>81</v>
      </c>
      <c r="C40">
        <f t="shared" si="17"/>
        <v>100</v>
      </c>
      <c r="D40">
        <f t="shared" si="17"/>
        <v>45239.563726851855</v>
      </c>
      <c r="E40">
        <f t="shared" si="17"/>
        <v>45605.563726851855</v>
      </c>
      <c r="F40" s="17">
        <f t="shared" si="5"/>
        <v>366</v>
      </c>
      <c r="G40" s="18">
        <f t="shared" si="6"/>
        <v>1.0027397260273974</v>
      </c>
      <c r="H40">
        <f t="shared" si="19"/>
        <v>0.3</v>
      </c>
      <c r="I40">
        <f t="shared" si="19"/>
        <v>5.2999999999999999E-2</v>
      </c>
      <c r="J40">
        <f t="shared" si="19"/>
        <v>0</v>
      </c>
      <c r="K40">
        <f t="shared" si="19"/>
        <v>5</v>
      </c>
      <c r="L40">
        <f t="shared" si="19"/>
        <v>45275.563726851855</v>
      </c>
      <c r="M40" s="17">
        <f t="shared" si="8"/>
        <v>36</v>
      </c>
      <c r="N40" s="18">
        <f t="shared" si="9"/>
        <v>9.8630136986301367E-2</v>
      </c>
      <c r="O40">
        <f t="shared" si="10"/>
        <v>3.4086943315</v>
      </c>
      <c r="P40" s="212">
        <f t="shared" si="11"/>
        <v>81</v>
      </c>
      <c r="Q40">
        <f t="shared" si="12"/>
        <v>3.4086943315</v>
      </c>
      <c r="R40" t="e">
        <f t="shared" si="13"/>
        <v>#N/A</v>
      </c>
      <c r="S40" t="e">
        <f t="shared" si="14"/>
        <v>#N/A</v>
      </c>
    </row>
    <row r="41" spans="1:19" x14ac:dyDescent="0.2">
      <c r="A41" s="6">
        <f t="shared" si="15"/>
        <v>33</v>
      </c>
      <c r="B41">
        <f t="shared" si="17"/>
        <v>82</v>
      </c>
      <c r="C41">
        <f t="shared" si="17"/>
        <v>100</v>
      </c>
      <c r="D41">
        <f t="shared" si="17"/>
        <v>45239.563726851855</v>
      </c>
      <c r="E41">
        <f t="shared" si="17"/>
        <v>45605.563726851855</v>
      </c>
      <c r="F41" s="17">
        <f t="shared" ref="F41:F72" si="20">IF(ShowSeries1,IF(AND(ChartMode=2,ChartLines13=F$4),Series1Input,IF(ChartX13=F$4,$P41,IF(TimeAs=1,E41-D41,IF(TimeAs=2,F$7,G41*DaysPerYear)))),"")</f>
        <v>366</v>
      </c>
      <c r="G41" s="18">
        <f t="shared" ref="G41:G72" si="21">IF(ShowSeries1,IF(AND(ChartMode=2,ChartLines13=G$4),Series1Input,IF(ChartX13=G$4,$P41,IF(TimeAs&lt;3,F41/DaysPerYear,G$7))),"")</f>
        <v>1.0027397260273974</v>
      </c>
      <c r="H41">
        <f t="shared" si="19"/>
        <v>0.3</v>
      </c>
      <c r="I41">
        <f t="shared" si="19"/>
        <v>5.2999999999999999E-2</v>
      </c>
      <c r="J41">
        <f t="shared" si="19"/>
        <v>0</v>
      </c>
      <c r="K41">
        <f t="shared" si="19"/>
        <v>5</v>
      </c>
      <c r="L41">
        <f t="shared" si="19"/>
        <v>45275.563726851855</v>
      </c>
      <c r="M41" s="17">
        <f t="shared" ref="M41:M72" si="22">IF(ShowSeries1,IF(AND(ChartMode=2,ChartLines13=M$4),Series1Input,IF(ChartX13=M$4,$P41,IF(ExDivAs=1,L41-D41,IF(ExDivAs=2,M$7,N41*DaysPerYear)))),"")</f>
        <v>36</v>
      </c>
      <c r="N41" s="18">
        <f t="shared" ref="N41:N72" si="23">IF(ShowSeries1,IF(AND(ChartMode=2,ChartLines13=N$4),Series1Input,IF(ChartX13=N$4,$P41,IF(ExDivAs&lt;3,M41/DaysPerYear,N$7))),"")</f>
        <v>9.8630136986301367E-2</v>
      </c>
      <c r="O41">
        <f t="shared" ref="O41:O72" si="24">IF(ShowSeries1,BinOp($B41,$C41,$G41,$H41,$J41,$I41,CallPut,AmEur,Model,Steps,ModelOutput,$K41,$N41),NA())</f>
        <v>3.6953975437</v>
      </c>
      <c r="P41" s="212">
        <f t="shared" si="11"/>
        <v>82</v>
      </c>
      <c r="Q41">
        <f t="shared" si="12"/>
        <v>3.6953975437</v>
      </c>
      <c r="R41" t="e">
        <f t="shared" si="13"/>
        <v>#N/A</v>
      </c>
      <c r="S41" t="e">
        <f t="shared" si="14"/>
        <v>#N/A</v>
      </c>
    </row>
    <row r="42" spans="1:19" x14ac:dyDescent="0.2">
      <c r="A42" s="6">
        <f t="shared" si="15"/>
        <v>34</v>
      </c>
      <c r="B42">
        <f t="shared" si="17"/>
        <v>83</v>
      </c>
      <c r="C42">
        <f t="shared" si="17"/>
        <v>100</v>
      </c>
      <c r="D42">
        <f t="shared" si="17"/>
        <v>45239.563726851855</v>
      </c>
      <c r="E42">
        <f t="shared" si="17"/>
        <v>45605.563726851855</v>
      </c>
      <c r="F42" s="17">
        <f t="shared" si="20"/>
        <v>366</v>
      </c>
      <c r="G42" s="18">
        <f t="shared" si="21"/>
        <v>1.0027397260273974</v>
      </c>
      <c r="H42">
        <f t="shared" si="19"/>
        <v>0.3</v>
      </c>
      <c r="I42">
        <f t="shared" si="19"/>
        <v>5.2999999999999999E-2</v>
      </c>
      <c r="J42">
        <f t="shared" si="19"/>
        <v>0</v>
      </c>
      <c r="K42">
        <f t="shared" si="19"/>
        <v>5</v>
      </c>
      <c r="L42">
        <f t="shared" si="19"/>
        <v>45275.563726851855</v>
      </c>
      <c r="M42" s="17">
        <f t="shared" si="22"/>
        <v>36</v>
      </c>
      <c r="N42" s="18">
        <f t="shared" si="23"/>
        <v>9.8630136986301367E-2</v>
      </c>
      <c r="O42">
        <f t="shared" si="24"/>
        <v>3.9969334211000001</v>
      </c>
      <c r="P42" s="212">
        <f t="shared" ref="P42:P73" si="25">ROUND(P41+ChartXIncr,RoundDigits)</f>
        <v>83</v>
      </c>
      <c r="Q42">
        <f t="shared" si="12"/>
        <v>3.9969334211000001</v>
      </c>
      <c r="R42" t="e">
        <f t="shared" si="13"/>
        <v>#N/A</v>
      </c>
      <c r="S42" t="e">
        <f t="shared" si="14"/>
        <v>#N/A</v>
      </c>
    </row>
    <row r="43" spans="1:19" x14ac:dyDescent="0.2">
      <c r="A43" s="6">
        <f t="shared" si="15"/>
        <v>35</v>
      </c>
      <c r="B43">
        <f t="shared" si="17"/>
        <v>84</v>
      </c>
      <c r="C43">
        <f t="shared" si="17"/>
        <v>100</v>
      </c>
      <c r="D43">
        <f t="shared" si="17"/>
        <v>45239.563726851855</v>
      </c>
      <c r="E43">
        <f t="shared" si="17"/>
        <v>45605.563726851855</v>
      </c>
      <c r="F43" s="17">
        <f t="shared" si="20"/>
        <v>366</v>
      </c>
      <c r="G43" s="18">
        <f t="shared" si="21"/>
        <v>1.0027397260273974</v>
      </c>
      <c r="H43">
        <f t="shared" si="19"/>
        <v>0.3</v>
      </c>
      <c r="I43">
        <f t="shared" si="19"/>
        <v>5.2999999999999999E-2</v>
      </c>
      <c r="J43">
        <f t="shared" si="19"/>
        <v>0</v>
      </c>
      <c r="K43">
        <f t="shared" si="19"/>
        <v>5</v>
      </c>
      <c r="L43">
        <f t="shared" si="19"/>
        <v>45275.563726851855</v>
      </c>
      <c r="M43" s="17">
        <f t="shared" si="22"/>
        <v>36</v>
      </c>
      <c r="N43" s="18">
        <f t="shared" si="23"/>
        <v>9.8630136986301367E-2</v>
      </c>
      <c r="O43">
        <f t="shared" si="24"/>
        <v>4.3134413314</v>
      </c>
      <c r="P43" s="212">
        <f t="shared" si="25"/>
        <v>84</v>
      </c>
      <c r="Q43">
        <f t="shared" si="12"/>
        <v>4.3134413314</v>
      </c>
      <c r="R43" t="e">
        <f t="shared" si="13"/>
        <v>#N/A</v>
      </c>
      <c r="S43" t="e">
        <f t="shared" si="14"/>
        <v>#N/A</v>
      </c>
    </row>
    <row r="44" spans="1:19" x14ac:dyDescent="0.2">
      <c r="A44" s="6">
        <f t="shared" si="15"/>
        <v>36</v>
      </c>
      <c r="B44">
        <f t="shared" si="17"/>
        <v>85</v>
      </c>
      <c r="C44">
        <f t="shared" si="17"/>
        <v>100</v>
      </c>
      <c r="D44">
        <f t="shared" si="17"/>
        <v>45239.563726851855</v>
      </c>
      <c r="E44">
        <f t="shared" si="17"/>
        <v>45605.563726851855</v>
      </c>
      <c r="F44" s="17">
        <f t="shared" si="20"/>
        <v>366</v>
      </c>
      <c r="G44" s="18">
        <f t="shared" si="21"/>
        <v>1.0027397260273974</v>
      </c>
      <c r="H44">
        <f t="shared" si="19"/>
        <v>0.3</v>
      </c>
      <c r="I44">
        <f t="shared" si="19"/>
        <v>5.2999999999999999E-2</v>
      </c>
      <c r="J44">
        <f t="shared" si="19"/>
        <v>0</v>
      </c>
      <c r="K44">
        <f t="shared" si="19"/>
        <v>5</v>
      </c>
      <c r="L44">
        <f t="shared" si="19"/>
        <v>45275.563726851855</v>
      </c>
      <c r="M44" s="17">
        <f t="shared" si="22"/>
        <v>36</v>
      </c>
      <c r="N44" s="18">
        <f t="shared" si="23"/>
        <v>9.8630136986301367E-2</v>
      </c>
      <c r="O44">
        <f t="shared" si="24"/>
        <v>4.6450333198999996</v>
      </c>
      <c r="P44" s="212">
        <f t="shared" si="25"/>
        <v>85</v>
      </c>
      <c r="Q44">
        <f t="shared" si="12"/>
        <v>4.6450333198999996</v>
      </c>
      <c r="R44" t="e">
        <f t="shared" si="13"/>
        <v>#N/A</v>
      </c>
      <c r="S44" t="e">
        <f t="shared" si="14"/>
        <v>#N/A</v>
      </c>
    </row>
    <row r="45" spans="1:19" x14ac:dyDescent="0.2">
      <c r="A45" s="6">
        <f t="shared" si="15"/>
        <v>37</v>
      </c>
      <c r="B45">
        <f t="shared" si="17"/>
        <v>86</v>
      </c>
      <c r="C45">
        <f t="shared" si="17"/>
        <v>100</v>
      </c>
      <c r="D45">
        <f t="shared" si="17"/>
        <v>45239.563726851855</v>
      </c>
      <c r="E45">
        <f t="shared" si="17"/>
        <v>45605.563726851855</v>
      </c>
      <c r="F45" s="17">
        <f t="shared" si="20"/>
        <v>366</v>
      </c>
      <c r="G45" s="18">
        <f t="shared" si="21"/>
        <v>1.0027397260273974</v>
      </c>
      <c r="H45">
        <f t="shared" si="19"/>
        <v>0.3</v>
      </c>
      <c r="I45">
        <f t="shared" si="19"/>
        <v>5.2999999999999999E-2</v>
      </c>
      <c r="J45">
        <f t="shared" si="19"/>
        <v>0</v>
      </c>
      <c r="K45">
        <f t="shared" si="19"/>
        <v>5</v>
      </c>
      <c r="L45">
        <f t="shared" si="19"/>
        <v>45275.563726851855</v>
      </c>
      <c r="M45" s="17">
        <f t="shared" si="22"/>
        <v>36</v>
      </c>
      <c r="N45" s="18">
        <f t="shared" si="23"/>
        <v>9.8630136986301367E-2</v>
      </c>
      <c r="O45">
        <f t="shared" si="24"/>
        <v>4.9917945304</v>
      </c>
      <c r="P45" s="212">
        <f t="shared" si="25"/>
        <v>86</v>
      </c>
      <c r="Q45">
        <f t="shared" si="12"/>
        <v>4.9917945304</v>
      </c>
      <c r="R45" t="e">
        <f t="shared" si="13"/>
        <v>#N/A</v>
      </c>
      <c r="S45" t="e">
        <f t="shared" si="14"/>
        <v>#N/A</v>
      </c>
    </row>
    <row r="46" spans="1:19" x14ac:dyDescent="0.2">
      <c r="A46" s="6">
        <f t="shared" si="15"/>
        <v>38</v>
      </c>
      <c r="B46">
        <f t="shared" si="17"/>
        <v>87</v>
      </c>
      <c r="C46">
        <f t="shared" si="17"/>
        <v>100</v>
      </c>
      <c r="D46">
        <f t="shared" si="17"/>
        <v>45239.563726851855</v>
      </c>
      <c r="E46">
        <f t="shared" si="17"/>
        <v>45605.563726851855</v>
      </c>
      <c r="F46" s="17">
        <f t="shared" si="20"/>
        <v>366</v>
      </c>
      <c r="G46" s="18">
        <f t="shared" si="21"/>
        <v>1.0027397260273974</v>
      </c>
      <c r="H46">
        <f t="shared" si="19"/>
        <v>0.3</v>
      </c>
      <c r="I46">
        <f t="shared" si="19"/>
        <v>5.2999999999999999E-2</v>
      </c>
      <c r="J46">
        <f t="shared" si="19"/>
        <v>0</v>
      </c>
      <c r="K46">
        <f t="shared" si="19"/>
        <v>5</v>
      </c>
      <c r="L46">
        <f t="shared" si="19"/>
        <v>45275.563726851855</v>
      </c>
      <c r="M46" s="17">
        <f t="shared" si="22"/>
        <v>36</v>
      </c>
      <c r="N46" s="18">
        <f t="shared" si="23"/>
        <v>9.8630136986301367E-2</v>
      </c>
      <c r="O46">
        <f t="shared" si="24"/>
        <v>5.3537837480999997</v>
      </c>
      <c r="P46" s="212">
        <f t="shared" si="25"/>
        <v>87</v>
      </c>
      <c r="Q46">
        <f t="shared" si="12"/>
        <v>5.3537837480999997</v>
      </c>
      <c r="R46" t="e">
        <f t="shared" si="13"/>
        <v>#N/A</v>
      </c>
      <c r="S46" t="e">
        <f t="shared" si="14"/>
        <v>#N/A</v>
      </c>
    </row>
    <row r="47" spans="1:19" x14ac:dyDescent="0.2">
      <c r="A47" s="6">
        <f t="shared" si="15"/>
        <v>39</v>
      </c>
      <c r="B47">
        <f t="shared" si="17"/>
        <v>88</v>
      </c>
      <c r="C47">
        <f t="shared" si="17"/>
        <v>100</v>
      </c>
      <c r="D47">
        <f t="shared" si="17"/>
        <v>45239.563726851855</v>
      </c>
      <c r="E47">
        <f t="shared" si="17"/>
        <v>45605.563726851855</v>
      </c>
      <c r="F47" s="17">
        <f t="shared" si="20"/>
        <v>366</v>
      </c>
      <c r="G47" s="18">
        <f t="shared" si="21"/>
        <v>1.0027397260273974</v>
      </c>
      <c r="H47">
        <f t="shared" si="19"/>
        <v>0.3</v>
      </c>
      <c r="I47">
        <f t="shared" si="19"/>
        <v>5.2999999999999999E-2</v>
      </c>
      <c r="J47">
        <f t="shared" si="19"/>
        <v>0</v>
      </c>
      <c r="K47">
        <f t="shared" si="19"/>
        <v>5</v>
      </c>
      <c r="L47">
        <f t="shared" si="19"/>
        <v>45275.563726851855</v>
      </c>
      <c r="M47" s="17">
        <f t="shared" si="22"/>
        <v>36</v>
      </c>
      <c r="N47" s="18">
        <f t="shared" si="23"/>
        <v>9.8630136986301367E-2</v>
      </c>
      <c r="O47">
        <f t="shared" si="24"/>
        <v>5.7310340538000002</v>
      </c>
      <c r="P47" s="212">
        <f t="shared" si="25"/>
        <v>88</v>
      </c>
      <c r="Q47">
        <f t="shared" si="12"/>
        <v>5.7310340538000002</v>
      </c>
      <c r="R47" t="e">
        <f t="shared" si="13"/>
        <v>#N/A</v>
      </c>
      <c r="S47" t="e">
        <f t="shared" si="14"/>
        <v>#N/A</v>
      </c>
    </row>
    <row r="48" spans="1:19" x14ac:dyDescent="0.2">
      <c r="A48" s="6">
        <f t="shared" si="15"/>
        <v>40</v>
      </c>
      <c r="B48">
        <f t="shared" si="17"/>
        <v>89</v>
      </c>
      <c r="C48">
        <f t="shared" si="17"/>
        <v>100</v>
      </c>
      <c r="D48">
        <f t="shared" si="17"/>
        <v>45239.563726851855</v>
      </c>
      <c r="E48">
        <f t="shared" si="17"/>
        <v>45605.563726851855</v>
      </c>
      <c r="F48" s="17">
        <f t="shared" si="20"/>
        <v>366</v>
      </c>
      <c r="G48" s="18">
        <f t="shared" si="21"/>
        <v>1.0027397260273974</v>
      </c>
      <c r="H48">
        <f t="shared" si="19"/>
        <v>0.3</v>
      </c>
      <c r="I48">
        <f t="shared" si="19"/>
        <v>5.2999999999999999E-2</v>
      </c>
      <c r="J48">
        <f t="shared" si="19"/>
        <v>0</v>
      </c>
      <c r="K48">
        <f t="shared" si="19"/>
        <v>5</v>
      </c>
      <c r="L48">
        <f t="shared" si="19"/>
        <v>45275.563726851855</v>
      </c>
      <c r="M48" s="17">
        <f t="shared" si="22"/>
        <v>36</v>
      </c>
      <c r="N48" s="18">
        <f t="shared" si="23"/>
        <v>9.8630136986301367E-2</v>
      </c>
      <c r="O48">
        <f t="shared" si="24"/>
        <v>6.1235535757999999</v>
      </c>
      <c r="P48" s="212">
        <f t="shared" si="25"/>
        <v>89</v>
      </c>
      <c r="Q48">
        <f t="shared" si="12"/>
        <v>6.1235535757999999</v>
      </c>
      <c r="R48" t="e">
        <f t="shared" si="13"/>
        <v>#N/A</v>
      </c>
      <c r="S48" t="e">
        <f t="shared" si="14"/>
        <v>#N/A</v>
      </c>
    </row>
    <row r="49" spans="1:19" x14ac:dyDescent="0.2">
      <c r="A49" s="6">
        <f t="shared" si="15"/>
        <v>41</v>
      </c>
      <c r="B49">
        <f t="shared" ref="B49:E68" si="26">IF(ShowSeries1,IF(AND(ChartMode=2,ChartLines13=B$4),Series1Input,IF(ChartX13=B$4,$P49,B$7)),"")</f>
        <v>90</v>
      </c>
      <c r="C49">
        <f t="shared" si="26"/>
        <v>100</v>
      </c>
      <c r="D49">
        <f t="shared" si="26"/>
        <v>45239.563726851855</v>
      </c>
      <c r="E49">
        <f t="shared" si="26"/>
        <v>45605.563726851855</v>
      </c>
      <c r="F49" s="17">
        <f t="shared" si="20"/>
        <v>366</v>
      </c>
      <c r="G49" s="18">
        <f t="shared" si="21"/>
        <v>1.0027397260273974</v>
      </c>
      <c r="H49">
        <f t="shared" ref="H49:L58" si="27">IF(ShowSeries1,IF(AND(ChartMode=2,ChartLines13=H$4),Series1Input,IF(ChartX13=H$4,$P49,H$7)),"")</f>
        <v>0.3</v>
      </c>
      <c r="I49">
        <f t="shared" si="27"/>
        <v>5.2999999999999999E-2</v>
      </c>
      <c r="J49">
        <f t="shared" si="27"/>
        <v>0</v>
      </c>
      <c r="K49">
        <f t="shared" si="27"/>
        <v>5</v>
      </c>
      <c r="L49">
        <f t="shared" si="27"/>
        <v>45275.563726851855</v>
      </c>
      <c r="M49" s="17">
        <f t="shared" si="22"/>
        <v>36</v>
      </c>
      <c r="N49" s="18">
        <f t="shared" si="23"/>
        <v>9.8630136986301367E-2</v>
      </c>
      <c r="O49">
        <f t="shared" si="24"/>
        <v>6.5313263289999997</v>
      </c>
      <c r="P49" s="212">
        <f t="shared" si="25"/>
        <v>90</v>
      </c>
      <c r="Q49">
        <f t="shared" si="12"/>
        <v>6.5313263289999997</v>
      </c>
      <c r="R49" t="e">
        <f t="shared" si="13"/>
        <v>#N/A</v>
      </c>
      <c r="S49" t="e">
        <f t="shared" si="14"/>
        <v>#N/A</v>
      </c>
    </row>
    <row r="50" spans="1:19" x14ac:dyDescent="0.2">
      <c r="A50" s="6">
        <f t="shared" si="15"/>
        <v>42</v>
      </c>
      <c r="B50">
        <f t="shared" si="26"/>
        <v>91</v>
      </c>
      <c r="C50">
        <f t="shared" si="26"/>
        <v>100</v>
      </c>
      <c r="D50">
        <f t="shared" si="26"/>
        <v>45239.563726851855</v>
      </c>
      <c r="E50">
        <f t="shared" si="26"/>
        <v>45605.563726851855</v>
      </c>
      <c r="F50" s="17">
        <f t="shared" si="20"/>
        <v>366</v>
      </c>
      <c r="G50" s="18">
        <f t="shared" si="21"/>
        <v>1.0027397260273974</v>
      </c>
      <c r="H50">
        <f t="shared" si="27"/>
        <v>0.3</v>
      </c>
      <c r="I50">
        <f t="shared" si="27"/>
        <v>5.2999999999999999E-2</v>
      </c>
      <c r="J50">
        <f t="shared" si="27"/>
        <v>0</v>
      </c>
      <c r="K50">
        <f t="shared" si="27"/>
        <v>5</v>
      </c>
      <c r="L50">
        <f t="shared" si="27"/>
        <v>45275.563726851855</v>
      </c>
      <c r="M50" s="17">
        <f t="shared" si="22"/>
        <v>36</v>
      </c>
      <c r="N50" s="18">
        <f t="shared" si="23"/>
        <v>9.8630136986301367E-2</v>
      </c>
      <c r="O50">
        <f t="shared" si="24"/>
        <v>6.954313129</v>
      </c>
      <c r="P50" s="212">
        <f t="shared" si="25"/>
        <v>91</v>
      </c>
      <c r="Q50">
        <f t="shared" si="12"/>
        <v>6.954313129</v>
      </c>
      <c r="R50" t="e">
        <f t="shared" si="13"/>
        <v>#N/A</v>
      </c>
      <c r="S50" t="e">
        <f t="shared" si="14"/>
        <v>#N/A</v>
      </c>
    </row>
    <row r="51" spans="1:19" x14ac:dyDescent="0.2">
      <c r="A51" s="6">
        <f t="shared" si="15"/>
        <v>43</v>
      </c>
      <c r="B51">
        <f t="shared" si="26"/>
        <v>92</v>
      </c>
      <c r="C51">
        <f t="shared" si="26"/>
        <v>100</v>
      </c>
      <c r="D51">
        <f t="shared" si="26"/>
        <v>45239.563726851855</v>
      </c>
      <c r="E51">
        <f t="shared" si="26"/>
        <v>45605.563726851855</v>
      </c>
      <c r="F51" s="17">
        <f t="shared" si="20"/>
        <v>366</v>
      </c>
      <c r="G51" s="18">
        <f t="shared" si="21"/>
        <v>1.0027397260273974</v>
      </c>
      <c r="H51">
        <f t="shared" si="27"/>
        <v>0.3</v>
      </c>
      <c r="I51">
        <f t="shared" si="27"/>
        <v>5.2999999999999999E-2</v>
      </c>
      <c r="J51">
        <f t="shared" si="27"/>
        <v>0</v>
      </c>
      <c r="K51">
        <f t="shared" si="27"/>
        <v>5</v>
      </c>
      <c r="L51">
        <f t="shared" si="27"/>
        <v>45275.563726851855</v>
      </c>
      <c r="M51" s="17">
        <f t="shared" si="22"/>
        <v>36</v>
      </c>
      <c r="N51" s="18">
        <f t="shared" si="23"/>
        <v>9.8630136986301367E-2</v>
      </c>
      <c r="O51">
        <f t="shared" si="24"/>
        <v>7.3924525693999996</v>
      </c>
      <c r="P51" s="212">
        <f t="shared" si="25"/>
        <v>92</v>
      </c>
      <c r="Q51">
        <f t="shared" si="12"/>
        <v>7.3924525693999996</v>
      </c>
      <c r="R51" t="e">
        <f t="shared" si="13"/>
        <v>#N/A</v>
      </c>
      <c r="S51" t="e">
        <f t="shared" si="14"/>
        <v>#N/A</v>
      </c>
    </row>
    <row r="52" spans="1:19" x14ac:dyDescent="0.2">
      <c r="A52" s="6">
        <f t="shared" si="15"/>
        <v>44</v>
      </c>
      <c r="B52">
        <f t="shared" si="26"/>
        <v>93</v>
      </c>
      <c r="C52">
        <f t="shared" si="26"/>
        <v>100</v>
      </c>
      <c r="D52">
        <f t="shared" si="26"/>
        <v>45239.563726851855</v>
      </c>
      <c r="E52">
        <f t="shared" si="26"/>
        <v>45605.563726851855</v>
      </c>
      <c r="F52" s="17">
        <f t="shared" si="20"/>
        <v>366</v>
      </c>
      <c r="G52" s="18">
        <f t="shared" si="21"/>
        <v>1.0027397260273974</v>
      </c>
      <c r="H52">
        <f t="shared" si="27"/>
        <v>0.3</v>
      </c>
      <c r="I52">
        <f t="shared" si="27"/>
        <v>5.2999999999999999E-2</v>
      </c>
      <c r="J52">
        <f t="shared" si="27"/>
        <v>0</v>
      </c>
      <c r="K52">
        <f t="shared" si="27"/>
        <v>5</v>
      </c>
      <c r="L52">
        <f t="shared" si="27"/>
        <v>45275.563726851855</v>
      </c>
      <c r="M52" s="17">
        <f t="shared" si="22"/>
        <v>36</v>
      </c>
      <c r="N52" s="18">
        <f t="shared" si="23"/>
        <v>9.8630136986301367E-2</v>
      </c>
      <c r="O52">
        <f t="shared" si="24"/>
        <v>7.8456620525999998</v>
      </c>
      <c r="P52" s="212">
        <f t="shared" si="25"/>
        <v>93</v>
      </c>
      <c r="Q52">
        <f t="shared" si="12"/>
        <v>7.8456620525999998</v>
      </c>
      <c r="R52" t="e">
        <f t="shared" si="13"/>
        <v>#N/A</v>
      </c>
      <c r="S52" t="e">
        <f t="shared" si="14"/>
        <v>#N/A</v>
      </c>
    </row>
    <row r="53" spans="1:19" x14ac:dyDescent="0.2">
      <c r="A53" s="6">
        <f t="shared" si="15"/>
        <v>45</v>
      </c>
      <c r="B53">
        <f t="shared" si="26"/>
        <v>94</v>
      </c>
      <c r="C53">
        <f t="shared" si="26"/>
        <v>100</v>
      </c>
      <c r="D53">
        <f t="shared" si="26"/>
        <v>45239.563726851855</v>
      </c>
      <c r="E53">
        <f t="shared" si="26"/>
        <v>45605.563726851855</v>
      </c>
      <c r="F53" s="17">
        <f t="shared" si="20"/>
        <v>366</v>
      </c>
      <c r="G53" s="18">
        <f t="shared" si="21"/>
        <v>1.0027397260273974</v>
      </c>
      <c r="H53">
        <f t="shared" si="27"/>
        <v>0.3</v>
      </c>
      <c r="I53">
        <f t="shared" si="27"/>
        <v>5.2999999999999999E-2</v>
      </c>
      <c r="J53">
        <f t="shared" si="27"/>
        <v>0</v>
      </c>
      <c r="K53">
        <f t="shared" si="27"/>
        <v>5</v>
      </c>
      <c r="L53">
        <f t="shared" si="27"/>
        <v>45275.563726851855</v>
      </c>
      <c r="M53" s="17">
        <f t="shared" si="22"/>
        <v>36</v>
      </c>
      <c r="N53" s="18">
        <f t="shared" si="23"/>
        <v>9.8630136986301367E-2</v>
      </c>
      <c r="O53">
        <f t="shared" si="24"/>
        <v>8.3138388627000008</v>
      </c>
      <c r="P53" s="212">
        <f t="shared" si="25"/>
        <v>94</v>
      </c>
      <c r="Q53">
        <f t="shared" si="12"/>
        <v>8.3138388627000008</v>
      </c>
      <c r="R53" t="e">
        <f t="shared" si="13"/>
        <v>#N/A</v>
      </c>
      <c r="S53" t="e">
        <f t="shared" si="14"/>
        <v>#N/A</v>
      </c>
    </row>
    <row r="54" spans="1:19" x14ac:dyDescent="0.2">
      <c r="A54" s="6">
        <f t="shared" si="15"/>
        <v>46</v>
      </c>
      <c r="B54">
        <f t="shared" si="26"/>
        <v>95</v>
      </c>
      <c r="C54">
        <f t="shared" si="26"/>
        <v>100</v>
      </c>
      <c r="D54">
        <f t="shared" si="26"/>
        <v>45239.563726851855</v>
      </c>
      <c r="E54">
        <f t="shared" si="26"/>
        <v>45605.563726851855</v>
      </c>
      <c r="F54" s="17">
        <f t="shared" si="20"/>
        <v>366</v>
      </c>
      <c r="G54" s="18">
        <f t="shared" si="21"/>
        <v>1.0027397260273974</v>
      </c>
      <c r="H54">
        <f t="shared" si="27"/>
        <v>0.3</v>
      </c>
      <c r="I54">
        <f t="shared" si="27"/>
        <v>5.2999999999999999E-2</v>
      </c>
      <c r="J54">
        <f t="shared" si="27"/>
        <v>0</v>
      </c>
      <c r="K54">
        <f t="shared" si="27"/>
        <v>5</v>
      </c>
      <c r="L54">
        <f t="shared" si="27"/>
        <v>45275.563726851855</v>
      </c>
      <c r="M54" s="17">
        <f t="shared" si="22"/>
        <v>36</v>
      </c>
      <c r="N54" s="18">
        <f t="shared" si="23"/>
        <v>9.8630136986301367E-2</v>
      </c>
      <c r="O54">
        <f t="shared" si="24"/>
        <v>8.7968612708999991</v>
      </c>
      <c r="P54" s="212">
        <f t="shared" si="25"/>
        <v>95</v>
      </c>
      <c r="Q54">
        <f t="shared" si="12"/>
        <v>8.7968612708999991</v>
      </c>
      <c r="R54" t="e">
        <f t="shared" si="13"/>
        <v>#N/A</v>
      </c>
      <c r="S54" t="e">
        <f t="shared" si="14"/>
        <v>#N/A</v>
      </c>
    </row>
    <row r="55" spans="1:19" x14ac:dyDescent="0.2">
      <c r="A55" s="6">
        <f t="shared" si="15"/>
        <v>47</v>
      </c>
      <c r="B55">
        <f t="shared" si="26"/>
        <v>96</v>
      </c>
      <c r="C55">
        <f t="shared" si="26"/>
        <v>100</v>
      </c>
      <c r="D55">
        <f t="shared" si="26"/>
        <v>45239.563726851855</v>
      </c>
      <c r="E55">
        <f t="shared" si="26"/>
        <v>45605.563726851855</v>
      </c>
      <c r="F55" s="17">
        <f t="shared" si="20"/>
        <v>366</v>
      </c>
      <c r="G55" s="18">
        <f t="shared" si="21"/>
        <v>1.0027397260273974</v>
      </c>
      <c r="H55">
        <f t="shared" si="27"/>
        <v>0.3</v>
      </c>
      <c r="I55">
        <f t="shared" si="27"/>
        <v>5.2999999999999999E-2</v>
      </c>
      <c r="J55">
        <f t="shared" si="27"/>
        <v>0</v>
      </c>
      <c r="K55">
        <f t="shared" si="27"/>
        <v>5</v>
      </c>
      <c r="L55">
        <f t="shared" si="27"/>
        <v>45275.563726851855</v>
      </c>
      <c r="M55" s="17">
        <f t="shared" si="22"/>
        <v>36</v>
      </c>
      <c r="N55" s="18">
        <f t="shared" si="23"/>
        <v>9.8630136986301367E-2</v>
      </c>
      <c r="O55">
        <f t="shared" si="24"/>
        <v>9.2945896650000002</v>
      </c>
      <c r="P55" s="212">
        <f t="shared" si="25"/>
        <v>96</v>
      </c>
      <c r="Q55">
        <f t="shared" si="12"/>
        <v>9.2945896650000002</v>
      </c>
      <c r="R55" t="e">
        <f t="shared" si="13"/>
        <v>#N/A</v>
      </c>
      <c r="S55" t="e">
        <f t="shared" si="14"/>
        <v>#N/A</v>
      </c>
    </row>
    <row r="56" spans="1:19" x14ac:dyDescent="0.2">
      <c r="A56" s="6">
        <f t="shared" si="15"/>
        <v>48</v>
      </c>
      <c r="B56">
        <f t="shared" si="26"/>
        <v>97</v>
      </c>
      <c r="C56">
        <f t="shared" si="26"/>
        <v>100</v>
      </c>
      <c r="D56">
        <f t="shared" si="26"/>
        <v>45239.563726851855</v>
      </c>
      <c r="E56">
        <f t="shared" si="26"/>
        <v>45605.563726851855</v>
      </c>
      <c r="F56" s="17">
        <f t="shared" si="20"/>
        <v>366</v>
      </c>
      <c r="G56" s="18">
        <f t="shared" si="21"/>
        <v>1.0027397260273974</v>
      </c>
      <c r="H56">
        <f t="shared" si="27"/>
        <v>0.3</v>
      </c>
      <c r="I56">
        <f t="shared" si="27"/>
        <v>5.2999999999999999E-2</v>
      </c>
      <c r="J56">
        <f t="shared" si="27"/>
        <v>0</v>
      </c>
      <c r="K56">
        <f t="shared" si="27"/>
        <v>5</v>
      </c>
      <c r="L56">
        <f t="shared" si="27"/>
        <v>45275.563726851855</v>
      </c>
      <c r="M56" s="17">
        <f t="shared" si="22"/>
        <v>36</v>
      </c>
      <c r="N56" s="18">
        <f t="shared" si="23"/>
        <v>9.8630136986301367E-2</v>
      </c>
      <c r="O56">
        <f t="shared" si="24"/>
        <v>9.8068676931999992</v>
      </c>
      <c r="P56" s="212">
        <f t="shared" si="25"/>
        <v>97</v>
      </c>
      <c r="Q56">
        <f t="shared" si="12"/>
        <v>9.8068676931999992</v>
      </c>
      <c r="R56" t="e">
        <f t="shared" si="13"/>
        <v>#N/A</v>
      </c>
      <c r="S56" t="e">
        <f t="shared" si="14"/>
        <v>#N/A</v>
      </c>
    </row>
    <row r="57" spans="1:19" x14ac:dyDescent="0.2">
      <c r="A57" s="6">
        <f t="shared" si="15"/>
        <v>49</v>
      </c>
      <c r="B57">
        <f t="shared" si="26"/>
        <v>98</v>
      </c>
      <c r="C57">
        <f t="shared" si="26"/>
        <v>100</v>
      </c>
      <c r="D57">
        <f t="shared" si="26"/>
        <v>45239.563726851855</v>
      </c>
      <c r="E57">
        <f t="shared" si="26"/>
        <v>45605.563726851855</v>
      </c>
      <c r="F57" s="17">
        <f t="shared" si="20"/>
        <v>366</v>
      </c>
      <c r="G57" s="18">
        <f t="shared" si="21"/>
        <v>1.0027397260273974</v>
      </c>
      <c r="H57">
        <f t="shared" si="27"/>
        <v>0.3</v>
      </c>
      <c r="I57">
        <f t="shared" si="27"/>
        <v>5.2999999999999999E-2</v>
      </c>
      <c r="J57">
        <f t="shared" si="27"/>
        <v>0</v>
      </c>
      <c r="K57">
        <f t="shared" si="27"/>
        <v>5</v>
      </c>
      <c r="L57">
        <f t="shared" si="27"/>
        <v>45275.563726851855</v>
      </c>
      <c r="M57" s="17">
        <f t="shared" si="22"/>
        <v>36</v>
      </c>
      <c r="N57" s="18">
        <f t="shared" si="23"/>
        <v>9.8630136986301367E-2</v>
      </c>
      <c r="O57">
        <f t="shared" si="24"/>
        <v>10.333523415</v>
      </c>
      <c r="P57" s="212">
        <f t="shared" si="25"/>
        <v>98</v>
      </c>
      <c r="Q57">
        <f t="shared" si="12"/>
        <v>10.333523415</v>
      </c>
      <c r="R57" t="e">
        <f t="shared" si="13"/>
        <v>#N/A</v>
      </c>
      <c r="S57" t="e">
        <f t="shared" si="14"/>
        <v>#N/A</v>
      </c>
    </row>
    <row r="58" spans="1:19" x14ac:dyDescent="0.2">
      <c r="A58" s="6">
        <f t="shared" si="15"/>
        <v>50</v>
      </c>
      <c r="B58">
        <f t="shared" si="26"/>
        <v>99</v>
      </c>
      <c r="C58">
        <f t="shared" si="26"/>
        <v>100</v>
      </c>
      <c r="D58">
        <f t="shared" si="26"/>
        <v>45239.563726851855</v>
      </c>
      <c r="E58">
        <f t="shared" si="26"/>
        <v>45605.563726851855</v>
      </c>
      <c r="F58" s="17">
        <f t="shared" si="20"/>
        <v>366</v>
      </c>
      <c r="G58" s="18">
        <f t="shared" si="21"/>
        <v>1.0027397260273974</v>
      </c>
      <c r="H58">
        <f t="shared" si="27"/>
        <v>0.3</v>
      </c>
      <c r="I58">
        <f t="shared" si="27"/>
        <v>5.2999999999999999E-2</v>
      </c>
      <c r="J58">
        <f t="shared" si="27"/>
        <v>0</v>
      </c>
      <c r="K58">
        <f t="shared" si="27"/>
        <v>5</v>
      </c>
      <c r="L58">
        <f t="shared" si="27"/>
        <v>45275.563726851855</v>
      </c>
      <c r="M58" s="17">
        <f t="shared" si="22"/>
        <v>36</v>
      </c>
      <c r="N58" s="18">
        <f t="shared" si="23"/>
        <v>9.8630136986301367E-2</v>
      </c>
      <c r="O58">
        <f t="shared" si="24"/>
        <v>10.874370451800001</v>
      </c>
      <c r="P58" s="212">
        <f t="shared" si="25"/>
        <v>99</v>
      </c>
      <c r="Q58">
        <f t="shared" si="12"/>
        <v>10.874370451800001</v>
      </c>
      <c r="R58" t="e">
        <f t="shared" si="13"/>
        <v>#N/A</v>
      </c>
      <c r="S58" t="e">
        <f t="shared" si="14"/>
        <v>#N/A</v>
      </c>
    </row>
    <row r="59" spans="1:19" x14ac:dyDescent="0.2">
      <c r="A59" s="6">
        <f t="shared" si="15"/>
        <v>51</v>
      </c>
      <c r="B59">
        <f t="shared" si="26"/>
        <v>100</v>
      </c>
      <c r="C59">
        <f t="shared" si="26"/>
        <v>100</v>
      </c>
      <c r="D59">
        <f t="shared" si="26"/>
        <v>45239.563726851855</v>
      </c>
      <c r="E59">
        <f t="shared" si="26"/>
        <v>45605.563726851855</v>
      </c>
      <c r="F59" s="17">
        <f t="shared" si="20"/>
        <v>366</v>
      </c>
      <c r="G59" s="18">
        <f t="shared" si="21"/>
        <v>1.0027397260273974</v>
      </c>
      <c r="H59">
        <f t="shared" ref="H59:L68" si="28">IF(ShowSeries1,IF(AND(ChartMode=2,ChartLines13=H$4),Series1Input,IF(ChartX13=H$4,$P59,H$7)),"")</f>
        <v>0.3</v>
      </c>
      <c r="I59">
        <f t="shared" si="28"/>
        <v>5.2999999999999999E-2</v>
      </c>
      <c r="J59">
        <f t="shared" si="28"/>
        <v>0</v>
      </c>
      <c r="K59">
        <f t="shared" si="28"/>
        <v>5</v>
      </c>
      <c r="L59">
        <f t="shared" si="28"/>
        <v>45275.563726851855</v>
      </c>
      <c r="M59" s="17">
        <f t="shared" si="22"/>
        <v>36</v>
      </c>
      <c r="N59" s="18">
        <f t="shared" si="23"/>
        <v>9.8630136986301367E-2</v>
      </c>
      <c r="O59">
        <f t="shared" si="24"/>
        <v>11.4292091305</v>
      </c>
      <c r="P59" s="212">
        <f t="shared" si="25"/>
        <v>100</v>
      </c>
      <c r="Q59">
        <f t="shared" si="12"/>
        <v>11.4292091305</v>
      </c>
      <c r="R59" t="e">
        <f t="shared" si="13"/>
        <v>#N/A</v>
      </c>
      <c r="S59" t="e">
        <f t="shared" si="14"/>
        <v>#N/A</v>
      </c>
    </row>
    <row r="60" spans="1:19" x14ac:dyDescent="0.2">
      <c r="A60" s="6">
        <f t="shared" si="15"/>
        <v>52</v>
      </c>
      <c r="B60">
        <f t="shared" si="26"/>
        <v>101</v>
      </c>
      <c r="C60">
        <f t="shared" si="26"/>
        <v>100</v>
      </c>
      <c r="D60">
        <f t="shared" si="26"/>
        <v>45239.563726851855</v>
      </c>
      <c r="E60">
        <f t="shared" si="26"/>
        <v>45605.563726851855</v>
      </c>
      <c r="F60" s="17">
        <f t="shared" si="20"/>
        <v>366</v>
      </c>
      <c r="G60" s="18">
        <f t="shared" si="21"/>
        <v>1.0027397260273974</v>
      </c>
      <c r="H60">
        <f t="shared" si="28"/>
        <v>0.3</v>
      </c>
      <c r="I60">
        <f t="shared" si="28"/>
        <v>5.2999999999999999E-2</v>
      </c>
      <c r="J60">
        <f t="shared" si="28"/>
        <v>0</v>
      </c>
      <c r="K60">
        <f t="shared" si="28"/>
        <v>5</v>
      </c>
      <c r="L60">
        <f t="shared" si="28"/>
        <v>45275.563726851855</v>
      </c>
      <c r="M60" s="17">
        <f t="shared" si="22"/>
        <v>36</v>
      </c>
      <c r="N60" s="18">
        <f t="shared" si="23"/>
        <v>9.8630136986301367E-2</v>
      </c>
      <c r="O60">
        <f t="shared" si="24"/>
        <v>11.997827614</v>
      </c>
      <c r="P60" s="212">
        <f t="shared" si="25"/>
        <v>101</v>
      </c>
      <c r="Q60">
        <f t="shared" si="12"/>
        <v>11.997827614</v>
      </c>
      <c r="R60" t="e">
        <f t="shared" si="13"/>
        <v>#N/A</v>
      </c>
      <c r="S60" t="e">
        <f t="shared" si="14"/>
        <v>#N/A</v>
      </c>
    </row>
    <row r="61" spans="1:19" x14ac:dyDescent="0.2">
      <c r="A61" s="6">
        <f t="shared" si="15"/>
        <v>53</v>
      </c>
      <c r="B61">
        <f t="shared" si="26"/>
        <v>102</v>
      </c>
      <c r="C61">
        <f t="shared" si="26"/>
        <v>100</v>
      </c>
      <c r="D61">
        <f t="shared" si="26"/>
        <v>45239.563726851855</v>
      </c>
      <c r="E61">
        <f t="shared" si="26"/>
        <v>45605.563726851855</v>
      </c>
      <c r="F61" s="17">
        <f t="shared" si="20"/>
        <v>366</v>
      </c>
      <c r="G61" s="18">
        <f t="shared" si="21"/>
        <v>1.0027397260273974</v>
      </c>
      <c r="H61">
        <f t="shared" si="28"/>
        <v>0.3</v>
      </c>
      <c r="I61">
        <f t="shared" si="28"/>
        <v>5.2999999999999999E-2</v>
      </c>
      <c r="J61">
        <f t="shared" si="28"/>
        <v>0</v>
      </c>
      <c r="K61">
        <f t="shared" si="28"/>
        <v>5</v>
      </c>
      <c r="L61">
        <f t="shared" si="28"/>
        <v>45275.563726851855</v>
      </c>
      <c r="M61" s="17">
        <f t="shared" si="22"/>
        <v>36</v>
      </c>
      <c r="N61" s="18">
        <f t="shared" si="23"/>
        <v>9.8630136986301367E-2</v>
      </c>
      <c r="O61">
        <f t="shared" si="24"/>
        <v>12.580003013700001</v>
      </c>
      <c r="P61" s="212">
        <f t="shared" si="25"/>
        <v>102</v>
      </c>
      <c r="Q61">
        <f t="shared" si="12"/>
        <v>12.580003013700001</v>
      </c>
      <c r="R61" t="e">
        <f t="shared" si="13"/>
        <v>#N/A</v>
      </c>
      <c r="S61" t="e">
        <f t="shared" si="14"/>
        <v>#N/A</v>
      </c>
    </row>
    <row r="62" spans="1:19" x14ac:dyDescent="0.2">
      <c r="A62" s="6">
        <f t="shared" si="15"/>
        <v>54</v>
      </c>
      <c r="B62">
        <f t="shared" si="26"/>
        <v>103</v>
      </c>
      <c r="C62">
        <f t="shared" si="26"/>
        <v>100</v>
      </c>
      <c r="D62">
        <f t="shared" si="26"/>
        <v>45239.563726851855</v>
      </c>
      <c r="E62">
        <f t="shared" si="26"/>
        <v>45605.563726851855</v>
      </c>
      <c r="F62" s="17">
        <f t="shared" si="20"/>
        <v>366</v>
      </c>
      <c r="G62" s="18">
        <f t="shared" si="21"/>
        <v>1.0027397260273974</v>
      </c>
      <c r="H62">
        <f t="shared" si="28"/>
        <v>0.3</v>
      </c>
      <c r="I62">
        <f t="shared" si="28"/>
        <v>5.2999999999999999E-2</v>
      </c>
      <c r="J62">
        <f t="shared" si="28"/>
        <v>0</v>
      </c>
      <c r="K62">
        <f t="shared" si="28"/>
        <v>5</v>
      </c>
      <c r="L62">
        <f t="shared" si="28"/>
        <v>45275.563726851855</v>
      </c>
      <c r="M62" s="17">
        <f t="shared" si="22"/>
        <v>36</v>
      </c>
      <c r="N62" s="18">
        <f t="shared" si="23"/>
        <v>9.8630136986301367E-2</v>
      </c>
      <c r="O62">
        <f t="shared" si="24"/>
        <v>13.1755024778</v>
      </c>
      <c r="P62" s="212">
        <f t="shared" si="25"/>
        <v>103</v>
      </c>
      <c r="Q62">
        <f t="shared" si="12"/>
        <v>13.1755024778</v>
      </c>
      <c r="R62" t="e">
        <f t="shared" si="13"/>
        <v>#N/A</v>
      </c>
      <c r="S62" t="e">
        <f t="shared" si="14"/>
        <v>#N/A</v>
      </c>
    </row>
    <row r="63" spans="1:19" x14ac:dyDescent="0.2">
      <c r="A63" s="6">
        <f t="shared" si="15"/>
        <v>55</v>
      </c>
      <c r="B63">
        <f t="shared" si="26"/>
        <v>104</v>
      </c>
      <c r="C63">
        <f t="shared" si="26"/>
        <v>100</v>
      </c>
      <c r="D63">
        <f t="shared" si="26"/>
        <v>45239.563726851855</v>
      </c>
      <c r="E63">
        <f t="shared" si="26"/>
        <v>45605.563726851855</v>
      </c>
      <c r="F63" s="17">
        <f t="shared" si="20"/>
        <v>366</v>
      </c>
      <c r="G63" s="18">
        <f t="shared" si="21"/>
        <v>1.0027397260273974</v>
      </c>
      <c r="H63">
        <f t="shared" si="28"/>
        <v>0.3</v>
      </c>
      <c r="I63">
        <f t="shared" si="28"/>
        <v>5.2999999999999999E-2</v>
      </c>
      <c r="J63">
        <f t="shared" si="28"/>
        <v>0</v>
      </c>
      <c r="K63">
        <f t="shared" si="28"/>
        <v>5</v>
      </c>
      <c r="L63">
        <f t="shared" si="28"/>
        <v>45275.563726851855</v>
      </c>
      <c r="M63" s="17">
        <f t="shared" si="22"/>
        <v>36</v>
      </c>
      <c r="N63" s="18">
        <f t="shared" si="23"/>
        <v>9.8630136986301367E-2</v>
      </c>
      <c r="O63">
        <f t="shared" si="24"/>
        <v>13.7840842539</v>
      </c>
      <c r="P63" s="212">
        <f t="shared" si="25"/>
        <v>104</v>
      </c>
      <c r="Q63">
        <f t="shared" si="12"/>
        <v>13.7840842539</v>
      </c>
      <c r="R63" t="e">
        <f t="shared" si="13"/>
        <v>#N/A</v>
      </c>
      <c r="S63" t="e">
        <f t="shared" si="14"/>
        <v>#N/A</v>
      </c>
    </row>
    <row r="64" spans="1:19" x14ac:dyDescent="0.2">
      <c r="A64" s="6">
        <f t="shared" si="15"/>
        <v>56</v>
      </c>
      <c r="B64">
        <f t="shared" si="26"/>
        <v>105</v>
      </c>
      <c r="C64">
        <f t="shared" si="26"/>
        <v>100</v>
      </c>
      <c r="D64">
        <f t="shared" si="26"/>
        <v>45239.563726851855</v>
      </c>
      <c r="E64">
        <f t="shared" si="26"/>
        <v>45605.563726851855</v>
      </c>
      <c r="F64" s="17">
        <f t="shared" si="20"/>
        <v>366</v>
      </c>
      <c r="G64" s="18">
        <f t="shared" si="21"/>
        <v>1.0027397260273974</v>
      </c>
      <c r="H64">
        <f t="shared" si="28"/>
        <v>0.3</v>
      </c>
      <c r="I64">
        <f t="shared" si="28"/>
        <v>5.2999999999999999E-2</v>
      </c>
      <c r="J64">
        <f t="shared" si="28"/>
        <v>0</v>
      </c>
      <c r="K64">
        <f t="shared" si="28"/>
        <v>5</v>
      </c>
      <c r="L64">
        <f t="shared" si="28"/>
        <v>45275.563726851855</v>
      </c>
      <c r="M64" s="17">
        <f t="shared" si="22"/>
        <v>36</v>
      </c>
      <c r="N64" s="18">
        <f t="shared" si="23"/>
        <v>9.8630136986301367E-2</v>
      </c>
      <c r="O64">
        <f t="shared" si="24"/>
        <v>14.405498719000001</v>
      </c>
      <c r="P64" s="212">
        <f t="shared" si="25"/>
        <v>105</v>
      </c>
      <c r="Q64">
        <f t="shared" si="12"/>
        <v>14.405498719000001</v>
      </c>
      <c r="R64" t="e">
        <f t="shared" si="13"/>
        <v>#N/A</v>
      </c>
      <c r="S64" t="e">
        <f t="shared" si="14"/>
        <v>#N/A</v>
      </c>
    </row>
    <row r="65" spans="1:19" x14ac:dyDescent="0.2">
      <c r="A65" s="6">
        <f t="shared" si="15"/>
        <v>57</v>
      </c>
      <c r="B65">
        <f t="shared" si="26"/>
        <v>106</v>
      </c>
      <c r="C65">
        <f t="shared" si="26"/>
        <v>100</v>
      </c>
      <c r="D65">
        <f t="shared" si="26"/>
        <v>45239.563726851855</v>
      </c>
      <c r="E65">
        <f t="shared" si="26"/>
        <v>45605.563726851855</v>
      </c>
      <c r="F65" s="17">
        <f t="shared" si="20"/>
        <v>366</v>
      </c>
      <c r="G65" s="18">
        <f t="shared" si="21"/>
        <v>1.0027397260273974</v>
      </c>
      <c r="H65">
        <f t="shared" si="28"/>
        <v>0.3</v>
      </c>
      <c r="I65">
        <f t="shared" si="28"/>
        <v>5.2999999999999999E-2</v>
      </c>
      <c r="J65">
        <f t="shared" si="28"/>
        <v>0</v>
      </c>
      <c r="K65">
        <f t="shared" si="28"/>
        <v>5</v>
      </c>
      <c r="L65">
        <f t="shared" si="28"/>
        <v>45275.563726851855</v>
      </c>
      <c r="M65" s="17">
        <f t="shared" si="22"/>
        <v>36</v>
      </c>
      <c r="N65" s="18">
        <f t="shared" si="23"/>
        <v>9.8630136986301367E-2</v>
      </c>
      <c r="O65">
        <f t="shared" si="24"/>
        <v>15.039489376700001</v>
      </c>
      <c r="P65" s="212">
        <f t="shared" si="25"/>
        <v>106</v>
      </c>
      <c r="Q65">
        <f t="shared" si="12"/>
        <v>15.039489376700001</v>
      </c>
      <c r="R65" t="e">
        <f t="shared" si="13"/>
        <v>#N/A</v>
      </c>
      <c r="S65" t="e">
        <f t="shared" si="14"/>
        <v>#N/A</v>
      </c>
    </row>
    <row r="66" spans="1:19" x14ac:dyDescent="0.2">
      <c r="A66" s="6">
        <f t="shared" si="15"/>
        <v>58</v>
      </c>
      <c r="B66">
        <f t="shared" si="26"/>
        <v>107</v>
      </c>
      <c r="C66">
        <f t="shared" si="26"/>
        <v>100</v>
      </c>
      <c r="D66">
        <f t="shared" si="26"/>
        <v>45239.563726851855</v>
      </c>
      <c r="E66">
        <f t="shared" si="26"/>
        <v>45605.563726851855</v>
      </c>
      <c r="F66" s="17">
        <f t="shared" si="20"/>
        <v>366</v>
      </c>
      <c r="G66" s="18">
        <f t="shared" si="21"/>
        <v>1.0027397260273974</v>
      </c>
      <c r="H66">
        <f t="shared" si="28"/>
        <v>0.3</v>
      </c>
      <c r="I66">
        <f t="shared" si="28"/>
        <v>5.2999999999999999E-2</v>
      </c>
      <c r="J66">
        <f t="shared" si="28"/>
        <v>0</v>
      </c>
      <c r="K66">
        <f t="shared" si="28"/>
        <v>5</v>
      </c>
      <c r="L66">
        <f t="shared" si="28"/>
        <v>45275.563726851855</v>
      </c>
      <c r="M66" s="17">
        <f t="shared" si="22"/>
        <v>36</v>
      </c>
      <c r="N66" s="18">
        <f t="shared" si="23"/>
        <v>9.8630136986301367E-2</v>
      </c>
      <c r="O66">
        <f t="shared" si="24"/>
        <v>15.6857938177</v>
      </c>
      <c r="P66" s="212">
        <f t="shared" si="25"/>
        <v>107</v>
      </c>
      <c r="Q66">
        <f t="shared" si="12"/>
        <v>15.6857938177</v>
      </c>
      <c r="R66" t="e">
        <f t="shared" si="13"/>
        <v>#N/A</v>
      </c>
      <c r="S66" t="e">
        <f t="shared" si="14"/>
        <v>#N/A</v>
      </c>
    </row>
    <row r="67" spans="1:19" x14ac:dyDescent="0.2">
      <c r="A67" s="6">
        <f t="shared" si="15"/>
        <v>59</v>
      </c>
      <c r="B67">
        <f t="shared" si="26"/>
        <v>108</v>
      </c>
      <c r="C67">
        <f t="shared" si="26"/>
        <v>100</v>
      </c>
      <c r="D67">
        <f t="shared" si="26"/>
        <v>45239.563726851855</v>
      </c>
      <c r="E67">
        <f t="shared" si="26"/>
        <v>45605.563726851855</v>
      </c>
      <c r="F67" s="17">
        <f t="shared" si="20"/>
        <v>366</v>
      </c>
      <c r="G67" s="18">
        <f t="shared" si="21"/>
        <v>1.0027397260273974</v>
      </c>
      <c r="H67">
        <f t="shared" si="28"/>
        <v>0.3</v>
      </c>
      <c r="I67">
        <f t="shared" si="28"/>
        <v>5.2999999999999999E-2</v>
      </c>
      <c r="J67">
        <f t="shared" si="28"/>
        <v>0</v>
      </c>
      <c r="K67">
        <f t="shared" si="28"/>
        <v>5</v>
      </c>
      <c r="L67">
        <f t="shared" si="28"/>
        <v>45275.563726851855</v>
      </c>
      <c r="M67" s="17">
        <f t="shared" si="22"/>
        <v>36</v>
      </c>
      <c r="N67" s="18">
        <f t="shared" si="23"/>
        <v>9.8630136986301367E-2</v>
      </c>
      <c r="O67">
        <f t="shared" si="24"/>
        <v>16.344144640500001</v>
      </c>
      <c r="P67" s="212">
        <f t="shared" si="25"/>
        <v>108</v>
      </c>
      <c r="Q67">
        <f t="shared" si="12"/>
        <v>16.344144640500001</v>
      </c>
      <c r="R67" t="e">
        <f t="shared" si="13"/>
        <v>#N/A</v>
      </c>
      <c r="S67" t="e">
        <f t="shared" si="14"/>
        <v>#N/A</v>
      </c>
    </row>
    <row r="68" spans="1:19" x14ac:dyDescent="0.2">
      <c r="A68" s="6">
        <f t="shared" si="15"/>
        <v>60</v>
      </c>
      <c r="B68">
        <f t="shared" si="26"/>
        <v>109</v>
      </c>
      <c r="C68">
        <f t="shared" si="26"/>
        <v>100</v>
      </c>
      <c r="D68">
        <f t="shared" si="26"/>
        <v>45239.563726851855</v>
      </c>
      <c r="E68">
        <f t="shared" si="26"/>
        <v>45605.563726851855</v>
      </c>
      <c r="F68" s="17">
        <f t="shared" si="20"/>
        <v>366</v>
      </c>
      <c r="G68" s="18">
        <f t="shared" si="21"/>
        <v>1.0027397260273974</v>
      </c>
      <c r="H68">
        <f t="shared" si="28"/>
        <v>0.3</v>
      </c>
      <c r="I68">
        <f t="shared" si="28"/>
        <v>5.2999999999999999E-2</v>
      </c>
      <c r="J68">
        <f t="shared" si="28"/>
        <v>0</v>
      </c>
      <c r="K68">
        <f t="shared" si="28"/>
        <v>5</v>
      </c>
      <c r="L68">
        <f t="shared" si="28"/>
        <v>45275.563726851855</v>
      </c>
      <c r="M68" s="17">
        <f t="shared" si="22"/>
        <v>36</v>
      </c>
      <c r="N68" s="18">
        <f t="shared" si="23"/>
        <v>9.8630136986301367E-2</v>
      </c>
      <c r="O68">
        <f t="shared" si="24"/>
        <v>17.014270333599999</v>
      </c>
      <c r="P68" s="212">
        <f t="shared" si="25"/>
        <v>109</v>
      </c>
      <c r="Q68">
        <f t="shared" si="12"/>
        <v>17.014270333599999</v>
      </c>
      <c r="R68" t="e">
        <f t="shared" si="13"/>
        <v>#N/A</v>
      </c>
      <c r="S68" t="e">
        <f t="shared" si="14"/>
        <v>#N/A</v>
      </c>
    </row>
    <row r="69" spans="1:19" x14ac:dyDescent="0.2">
      <c r="A69" s="6">
        <f t="shared" si="15"/>
        <v>61</v>
      </c>
      <c r="B69">
        <f t="shared" ref="B69:E88" si="29">IF(ShowSeries1,IF(AND(ChartMode=2,ChartLines13=B$4),Series1Input,IF(ChartX13=B$4,$P69,B$7)),"")</f>
        <v>110</v>
      </c>
      <c r="C69">
        <f t="shared" si="29"/>
        <v>100</v>
      </c>
      <c r="D69">
        <f t="shared" si="29"/>
        <v>45239.563726851855</v>
      </c>
      <c r="E69">
        <f t="shared" si="29"/>
        <v>45605.563726851855</v>
      </c>
      <c r="F69" s="17">
        <f t="shared" si="20"/>
        <v>366</v>
      </c>
      <c r="G69" s="18">
        <f t="shared" si="21"/>
        <v>1.0027397260273974</v>
      </c>
      <c r="H69">
        <f t="shared" ref="H69:L78" si="30">IF(ShowSeries1,IF(AND(ChartMode=2,ChartLines13=H$4),Series1Input,IF(ChartX13=H$4,$P69,H$7)),"")</f>
        <v>0.3</v>
      </c>
      <c r="I69">
        <f t="shared" si="30"/>
        <v>5.2999999999999999E-2</v>
      </c>
      <c r="J69">
        <f t="shared" si="30"/>
        <v>0</v>
      </c>
      <c r="K69">
        <f t="shared" si="30"/>
        <v>5</v>
      </c>
      <c r="L69">
        <f t="shared" si="30"/>
        <v>45275.563726851855</v>
      </c>
      <c r="M69" s="17">
        <f t="shared" si="22"/>
        <v>36</v>
      </c>
      <c r="N69" s="18">
        <f t="shared" si="23"/>
        <v>9.8630136986301367E-2</v>
      </c>
      <c r="O69">
        <f t="shared" si="24"/>
        <v>17.695896114500002</v>
      </c>
      <c r="P69" s="212">
        <f t="shared" si="25"/>
        <v>110</v>
      </c>
      <c r="Q69">
        <f t="shared" si="12"/>
        <v>17.695896114500002</v>
      </c>
      <c r="R69" t="e">
        <f t="shared" si="13"/>
        <v>#N/A</v>
      </c>
      <c r="S69" t="e">
        <f t="shared" si="14"/>
        <v>#N/A</v>
      </c>
    </row>
    <row r="70" spans="1:19" x14ac:dyDescent="0.2">
      <c r="A70" s="6">
        <f t="shared" si="15"/>
        <v>62</v>
      </c>
      <c r="B70">
        <f t="shared" si="29"/>
        <v>111</v>
      </c>
      <c r="C70">
        <f t="shared" si="29"/>
        <v>100</v>
      </c>
      <c r="D70">
        <f t="shared" si="29"/>
        <v>45239.563726851855</v>
      </c>
      <c r="E70">
        <f t="shared" si="29"/>
        <v>45605.563726851855</v>
      </c>
      <c r="F70" s="17">
        <f t="shared" si="20"/>
        <v>366</v>
      </c>
      <c r="G70" s="18">
        <f t="shared" si="21"/>
        <v>1.0027397260273974</v>
      </c>
      <c r="H70">
        <f t="shared" si="30"/>
        <v>0.3</v>
      </c>
      <c r="I70">
        <f t="shared" si="30"/>
        <v>5.2999999999999999E-2</v>
      </c>
      <c r="J70">
        <f t="shared" si="30"/>
        <v>0</v>
      </c>
      <c r="K70">
        <f t="shared" si="30"/>
        <v>5</v>
      </c>
      <c r="L70">
        <f t="shared" si="30"/>
        <v>45275.563726851855</v>
      </c>
      <c r="M70" s="17">
        <f t="shared" si="22"/>
        <v>36</v>
      </c>
      <c r="N70" s="18">
        <f t="shared" si="23"/>
        <v>9.8630136986301367E-2</v>
      </c>
      <c r="O70">
        <f t="shared" si="24"/>
        <v>18.388744727500001</v>
      </c>
      <c r="P70" s="212">
        <f t="shared" si="25"/>
        <v>111</v>
      </c>
      <c r="Q70">
        <f t="shared" si="12"/>
        <v>18.388744727500001</v>
      </c>
      <c r="R70" t="e">
        <f t="shared" si="13"/>
        <v>#N/A</v>
      </c>
      <c r="S70" t="e">
        <f t="shared" si="14"/>
        <v>#N/A</v>
      </c>
    </row>
    <row r="71" spans="1:19" x14ac:dyDescent="0.2">
      <c r="A71" s="6">
        <f t="shared" si="15"/>
        <v>63</v>
      </c>
      <c r="B71">
        <f t="shared" si="29"/>
        <v>112</v>
      </c>
      <c r="C71">
        <f t="shared" si="29"/>
        <v>100</v>
      </c>
      <c r="D71">
        <f t="shared" si="29"/>
        <v>45239.563726851855</v>
      </c>
      <c r="E71">
        <f t="shared" si="29"/>
        <v>45605.563726851855</v>
      </c>
      <c r="F71" s="17">
        <f t="shared" si="20"/>
        <v>366</v>
      </c>
      <c r="G71" s="18">
        <f t="shared" si="21"/>
        <v>1.0027397260273974</v>
      </c>
      <c r="H71">
        <f t="shared" si="30"/>
        <v>0.3</v>
      </c>
      <c r="I71">
        <f t="shared" si="30"/>
        <v>5.2999999999999999E-2</v>
      </c>
      <c r="J71">
        <f t="shared" si="30"/>
        <v>0</v>
      </c>
      <c r="K71">
        <f t="shared" si="30"/>
        <v>5</v>
      </c>
      <c r="L71">
        <f t="shared" si="30"/>
        <v>45275.563726851855</v>
      </c>
      <c r="M71" s="17">
        <f t="shared" si="22"/>
        <v>36</v>
      </c>
      <c r="N71" s="18">
        <f t="shared" si="23"/>
        <v>9.8630136986301367E-2</v>
      </c>
      <c r="O71">
        <f t="shared" si="24"/>
        <v>19.092537197599999</v>
      </c>
      <c r="P71" s="212">
        <f t="shared" si="25"/>
        <v>112</v>
      </c>
      <c r="Q71">
        <f t="shared" si="12"/>
        <v>19.092537197599999</v>
      </c>
      <c r="R71" t="e">
        <f t="shared" si="13"/>
        <v>#N/A</v>
      </c>
      <c r="S71" t="e">
        <f t="shared" si="14"/>
        <v>#N/A</v>
      </c>
    </row>
    <row r="72" spans="1:19" x14ac:dyDescent="0.2">
      <c r="A72" s="6">
        <f t="shared" si="15"/>
        <v>64</v>
      </c>
      <c r="B72">
        <f t="shared" si="29"/>
        <v>113</v>
      </c>
      <c r="C72">
        <f t="shared" si="29"/>
        <v>100</v>
      </c>
      <c r="D72">
        <f t="shared" si="29"/>
        <v>45239.563726851855</v>
      </c>
      <c r="E72">
        <f t="shared" si="29"/>
        <v>45605.563726851855</v>
      </c>
      <c r="F72" s="17">
        <f t="shared" si="20"/>
        <v>366</v>
      </c>
      <c r="G72" s="18">
        <f t="shared" si="21"/>
        <v>1.0027397260273974</v>
      </c>
      <c r="H72">
        <f t="shared" si="30"/>
        <v>0.3</v>
      </c>
      <c r="I72">
        <f t="shared" si="30"/>
        <v>5.2999999999999999E-2</v>
      </c>
      <c r="J72">
        <f t="shared" si="30"/>
        <v>0</v>
      </c>
      <c r="K72">
        <f t="shared" si="30"/>
        <v>5</v>
      </c>
      <c r="L72">
        <f t="shared" si="30"/>
        <v>45275.563726851855</v>
      </c>
      <c r="M72" s="17">
        <f t="shared" si="22"/>
        <v>36</v>
      </c>
      <c r="N72" s="18">
        <f t="shared" si="23"/>
        <v>9.8630136986301367E-2</v>
      </c>
      <c r="O72">
        <f t="shared" si="24"/>
        <v>19.806993541899999</v>
      </c>
      <c r="P72" s="212">
        <f t="shared" si="25"/>
        <v>113</v>
      </c>
      <c r="Q72">
        <f t="shared" si="12"/>
        <v>19.806993541899999</v>
      </c>
      <c r="R72" t="e">
        <f t="shared" si="13"/>
        <v>#N/A</v>
      </c>
      <c r="S72" t="e">
        <f t="shared" si="14"/>
        <v>#N/A</v>
      </c>
    </row>
    <row r="73" spans="1:19" x14ac:dyDescent="0.2">
      <c r="A73" s="6">
        <f t="shared" si="15"/>
        <v>65</v>
      </c>
      <c r="B73">
        <f t="shared" si="29"/>
        <v>114</v>
      </c>
      <c r="C73">
        <f t="shared" si="29"/>
        <v>100</v>
      </c>
      <c r="D73">
        <f t="shared" si="29"/>
        <v>45239.563726851855</v>
      </c>
      <c r="E73">
        <f t="shared" si="29"/>
        <v>45605.563726851855</v>
      </c>
      <c r="F73" s="17">
        <f t="shared" ref="F73:F104" si="31">IF(ShowSeries1,IF(AND(ChartMode=2,ChartLines13=F$4),Series1Input,IF(ChartX13=F$4,$P73,IF(TimeAs=1,E73-D73,IF(TimeAs=2,F$7,G73*DaysPerYear)))),"")</f>
        <v>366</v>
      </c>
      <c r="G73" s="18">
        <f t="shared" ref="G73:G104" si="32">IF(ShowSeries1,IF(AND(ChartMode=2,ChartLines13=G$4),Series1Input,IF(ChartX13=G$4,$P73,IF(TimeAs&lt;3,F73/DaysPerYear,G$7))),"")</f>
        <v>1.0027397260273974</v>
      </c>
      <c r="H73">
        <f t="shared" si="30"/>
        <v>0.3</v>
      </c>
      <c r="I73">
        <f t="shared" si="30"/>
        <v>5.2999999999999999E-2</v>
      </c>
      <c r="J73">
        <f t="shared" si="30"/>
        <v>0</v>
      </c>
      <c r="K73">
        <f t="shared" si="30"/>
        <v>5</v>
      </c>
      <c r="L73">
        <f t="shared" si="30"/>
        <v>45275.563726851855</v>
      </c>
      <c r="M73" s="17">
        <f t="shared" ref="M73:M104" si="33">IF(ShowSeries1,IF(AND(ChartMode=2,ChartLines13=M$4),Series1Input,IF(ChartX13=M$4,$P73,IF(ExDivAs=1,L73-D73,IF(ExDivAs=2,M$7,N73*DaysPerYear)))),"")</f>
        <v>36</v>
      </c>
      <c r="N73" s="18">
        <f t="shared" ref="N73:N104" si="34">IF(ShowSeries1,IF(AND(ChartMode=2,ChartLines13=N$4),Series1Input,IF(ChartX13=N$4,$P73,IF(ExDivAs&lt;3,M73/DaysPerYear,N$7))),"")</f>
        <v>9.8630136986301367E-2</v>
      </c>
      <c r="O73">
        <f t="shared" ref="O73:O109" si="35">IF(ShowSeries1,BinOp($B73,$C73,$G73,$H73,$J73,$I73,CallPut,AmEur,Model,Steps,ModelOutput,$K73,$N73),NA())</f>
        <v>20.5318334376</v>
      </c>
      <c r="P73" s="212">
        <f t="shared" si="25"/>
        <v>114</v>
      </c>
      <c r="Q73">
        <f t="shared" si="12"/>
        <v>20.5318334376</v>
      </c>
      <c r="R73" t="e">
        <f t="shared" si="13"/>
        <v>#N/A</v>
      </c>
      <c r="S73" t="e">
        <f t="shared" si="14"/>
        <v>#N/A</v>
      </c>
    </row>
    <row r="74" spans="1:19" x14ac:dyDescent="0.2">
      <c r="A74" s="6">
        <f t="shared" si="15"/>
        <v>66</v>
      </c>
      <c r="B74">
        <f t="shared" si="29"/>
        <v>115</v>
      </c>
      <c r="C74">
        <f t="shared" si="29"/>
        <v>100</v>
      </c>
      <c r="D74">
        <f t="shared" si="29"/>
        <v>45239.563726851855</v>
      </c>
      <c r="E74">
        <f t="shared" si="29"/>
        <v>45605.563726851855</v>
      </c>
      <c r="F74" s="17">
        <f t="shared" si="31"/>
        <v>366</v>
      </c>
      <c r="G74" s="18">
        <f t="shared" si="32"/>
        <v>1.0027397260273974</v>
      </c>
      <c r="H74">
        <f t="shared" si="30"/>
        <v>0.3</v>
      </c>
      <c r="I74">
        <f t="shared" si="30"/>
        <v>5.2999999999999999E-2</v>
      </c>
      <c r="J74">
        <f t="shared" si="30"/>
        <v>0</v>
      </c>
      <c r="K74">
        <f t="shared" si="30"/>
        <v>5</v>
      </c>
      <c r="L74">
        <f t="shared" si="30"/>
        <v>45275.563726851855</v>
      </c>
      <c r="M74" s="17">
        <f t="shared" si="33"/>
        <v>36</v>
      </c>
      <c r="N74" s="18">
        <f t="shared" si="34"/>
        <v>9.8630136986301367E-2</v>
      </c>
      <c r="O74">
        <f t="shared" si="35"/>
        <v>21.266776847100001</v>
      </c>
      <c r="P74" s="212">
        <f t="shared" ref="P74:P109" si="36">ROUND(P73+ChartXIncr,RoundDigits)</f>
        <v>115</v>
      </c>
      <c r="Q74">
        <f t="shared" ref="Q74:Q109" si="37">IF(ISNUMBER(O74),O74,NA())</f>
        <v>21.266776847100001</v>
      </c>
      <c r="R74" t="e">
        <f t="shared" ref="R74:R109" si="38">IF(ISNUMBER(O176),O176,NA())</f>
        <v>#N/A</v>
      </c>
      <c r="S74" t="e">
        <f t="shared" ref="S74:S109" si="39">IF(ISNUMBER(O278),O278,NA())</f>
        <v>#N/A</v>
      </c>
    </row>
    <row r="75" spans="1:19" x14ac:dyDescent="0.2">
      <c r="A75" s="6">
        <f t="shared" ref="A75:A109" si="40">A74+1</f>
        <v>67</v>
      </c>
      <c r="B75">
        <f t="shared" si="29"/>
        <v>116</v>
      </c>
      <c r="C75">
        <f t="shared" si="29"/>
        <v>100</v>
      </c>
      <c r="D75">
        <f t="shared" si="29"/>
        <v>45239.563726851855</v>
      </c>
      <c r="E75">
        <f t="shared" si="29"/>
        <v>45605.563726851855</v>
      </c>
      <c r="F75" s="17">
        <f t="shared" si="31"/>
        <v>366</v>
      </c>
      <c r="G75" s="18">
        <f t="shared" si="32"/>
        <v>1.0027397260273974</v>
      </c>
      <c r="H75">
        <f t="shared" si="30"/>
        <v>0.3</v>
      </c>
      <c r="I75">
        <f t="shared" si="30"/>
        <v>5.2999999999999999E-2</v>
      </c>
      <c r="J75">
        <f t="shared" si="30"/>
        <v>0</v>
      </c>
      <c r="K75">
        <f t="shared" si="30"/>
        <v>5</v>
      </c>
      <c r="L75">
        <f t="shared" si="30"/>
        <v>45275.563726851855</v>
      </c>
      <c r="M75" s="17">
        <f t="shared" si="33"/>
        <v>36</v>
      </c>
      <c r="N75" s="18">
        <f t="shared" si="34"/>
        <v>9.8630136986301367E-2</v>
      </c>
      <c r="O75">
        <f t="shared" si="35"/>
        <v>22.011544601200001</v>
      </c>
      <c r="P75" s="212">
        <f t="shared" si="36"/>
        <v>116</v>
      </c>
      <c r="Q75">
        <f t="shared" si="37"/>
        <v>22.011544601200001</v>
      </c>
      <c r="R75" t="e">
        <f t="shared" si="38"/>
        <v>#N/A</v>
      </c>
      <c r="S75" t="e">
        <f t="shared" si="39"/>
        <v>#N/A</v>
      </c>
    </row>
    <row r="76" spans="1:19" x14ac:dyDescent="0.2">
      <c r="A76" s="6">
        <f t="shared" si="40"/>
        <v>68</v>
      </c>
      <c r="B76">
        <f t="shared" si="29"/>
        <v>117</v>
      </c>
      <c r="C76">
        <f t="shared" si="29"/>
        <v>100</v>
      </c>
      <c r="D76">
        <f t="shared" si="29"/>
        <v>45239.563726851855</v>
      </c>
      <c r="E76">
        <f t="shared" si="29"/>
        <v>45605.563726851855</v>
      </c>
      <c r="F76" s="17">
        <f t="shared" si="31"/>
        <v>366</v>
      </c>
      <c r="G76" s="18">
        <f t="shared" si="32"/>
        <v>1.0027397260273974</v>
      </c>
      <c r="H76">
        <f t="shared" si="30"/>
        <v>0.3</v>
      </c>
      <c r="I76">
        <f t="shared" si="30"/>
        <v>5.2999999999999999E-2</v>
      </c>
      <c r="J76">
        <f t="shared" si="30"/>
        <v>0</v>
      </c>
      <c r="K76">
        <f t="shared" si="30"/>
        <v>5</v>
      </c>
      <c r="L76">
        <f t="shared" si="30"/>
        <v>45275.563726851855</v>
      </c>
      <c r="M76" s="17">
        <f t="shared" si="33"/>
        <v>36</v>
      </c>
      <c r="N76" s="18">
        <f t="shared" si="34"/>
        <v>9.8630136986301367E-2</v>
      </c>
      <c r="O76">
        <f t="shared" si="35"/>
        <v>22.765858940299999</v>
      </c>
      <c r="P76" s="212">
        <f t="shared" si="36"/>
        <v>117</v>
      </c>
      <c r="Q76">
        <f t="shared" si="37"/>
        <v>22.765858940299999</v>
      </c>
      <c r="R76" t="e">
        <f t="shared" si="38"/>
        <v>#N/A</v>
      </c>
      <c r="S76" t="e">
        <f t="shared" si="39"/>
        <v>#N/A</v>
      </c>
    </row>
    <row r="77" spans="1:19" x14ac:dyDescent="0.2">
      <c r="A77" s="6">
        <f t="shared" si="40"/>
        <v>69</v>
      </c>
      <c r="B77">
        <f t="shared" si="29"/>
        <v>118</v>
      </c>
      <c r="C77">
        <f t="shared" si="29"/>
        <v>100</v>
      </c>
      <c r="D77">
        <f t="shared" si="29"/>
        <v>45239.563726851855</v>
      </c>
      <c r="E77">
        <f t="shared" si="29"/>
        <v>45605.563726851855</v>
      </c>
      <c r="F77" s="17">
        <f t="shared" si="31"/>
        <v>366</v>
      </c>
      <c r="G77" s="18">
        <f t="shared" si="32"/>
        <v>1.0027397260273974</v>
      </c>
      <c r="H77">
        <f t="shared" si="30"/>
        <v>0.3</v>
      </c>
      <c r="I77">
        <f t="shared" si="30"/>
        <v>5.2999999999999999E-2</v>
      </c>
      <c r="J77">
        <f t="shared" si="30"/>
        <v>0</v>
      </c>
      <c r="K77">
        <f t="shared" si="30"/>
        <v>5</v>
      </c>
      <c r="L77">
        <f t="shared" si="30"/>
        <v>45275.563726851855</v>
      </c>
      <c r="M77" s="17">
        <f t="shared" si="33"/>
        <v>36</v>
      </c>
      <c r="N77" s="18">
        <f t="shared" si="34"/>
        <v>9.8630136986301367E-2</v>
      </c>
      <c r="O77">
        <f t="shared" si="35"/>
        <v>23.529444015500001</v>
      </c>
      <c r="P77" s="212">
        <f t="shared" si="36"/>
        <v>118</v>
      </c>
      <c r="Q77">
        <f t="shared" si="37"/>
        <v>23.529444015500001</v>
      </c>
      <c r="R77" t="e">
        <f t="shared" si="38"/>
        <v>#N/A</v>
      </c>
      <c r="S77" t="e">
        <f t="shared" si="39"/>
        <v>#N/A</v>
      </c>
    </row>
    <row r="78" spans="1:19" x14ac:dyDescent="0.2">
      <c r="A78" s="6">
        <f t="shared" si="40"/>
        <v>70</v>
      </c>
      <c r="B78">
        <f t="shared" si="29"/>
        <v>119</v>
      </c>
      <c r="C78">
        <f t="shared" si="29"/>
        <v>100</v>
      </c>
      <c r="D78">
        <f t="shared" si="29"/>
        <v>45239.563726851855</v>
      </c>
      <c r="E78">
        <f t="shared" si="29"/>
        <v>45605.563726851855</v>
      </c>
      <c r="F78" s="17">
        <f t="shared" si="31"/>
        <v>366</v>
      </c>
      <c r="G78" s="18">
        <f t="shared" si="32"/>
        <v>1.0027397260273974</v>
      </c>
      <c r="H78">
        <f t="shared" si="30"/>
        <v>0.3</v>
      </c>
      <c r="I78">
        <f t="shared" si="30"/>
        <v>5.2999999999999999E-2</v>
      </c>
      <c r="J78">
        <f t="shared" si="30"/>
        <v>0</v>
      </c>
      <c r="K78">
        <f t="shared" si="30"/>
        <v>5</v>
      </c>
      <c r="L78">
        <f t="shared" si="30"/>
        <v>45275.563726851855</v>
      </c>
      <c r="M78" s="17">
        <f t="shared" si="33"/>
        <v>36</v>
      </c>
      <c r="N78" s="18">
        <f t="shared" si="34"/>
        <v>9.8630136986301367E-2</v>
      </c>
      <c r="O78">
        <f t="shared" si="35"/>
        <v>24.302026349599998</v>
      </c>
      <c r="P78" s="212">
        <f t="shared" si="36"/>
        <v>119</v>
      </c>
      <c r="Q78">
        <f t="shared" si="37"/>
        <v>24.302026349599998</v>
      </c>
      <c r="R78" t="e">
        <f t="shared" si="38"/>
        <v>#N/A</v>
      </c>
      <c r="S78" t="e">
        <f t="shared" si="39"/>
        <v>#N/A</v>
      </c>
    </row>
    <row r="79" spans="1:19" x14ac:dyDescent="0.2">
      <c r="A79" s="6">
        <f t="shared" si="40"/>
        <v>71</v>
      </c>
      <c r="B79">
        <f t="shared" si="29"/>
        <v>120</v>
      </c>
      <c r="C79">
        <f t="shared" si="29"/>
        <v>100</v>
      </c>
      <c r="D79">
        <f t="shared" si="29"/>
        <v>45239.563726851855</v>
      </c>
      <c r="E79">
        <f t="shared" si="29"/>
        <v>45605.563726851855</v>
      </c>
      <c r="F79" s="17">
        <f t="shared" si="31"/>
        <v>366</v>
      </c>
      <c r="G79" s="18">
        <f t="shared" si="32"/>
        <v>1.0027397260273974</v>
      </c>
      <c r="H79">
        <f t="shared" ref="H79:L88" si="41">IF(ShowSeries1,IF(AND(ChartMode=2,ChartLines13=H$4),Series1Input,IF(ChartX13=H$4,$P79,H$7)),"")</f>
        <v>0.3</v>
      </c>
      <c r="I79">
        <f t="shared" si="41"/>
        <v>5.2999999999999999E-2</v>
      </c>
      <c r="J79">
        <f t="shared" si="41"/>
        <v>0</v>
      </c>
      <c r="K79">
        <f t="shared" si="41"/>
        <v>5</v>
      </c>
      <c r="L79">
        <f t="shared" si="41"/>
        <v>45275.563726851855</v>
      </c>
      <c r="M79" s="17">
        <f t="shared" si="33"/>
        <v>36</v>
      </c>
      <c r="N79" s="18">
        <f t="shared" si="34"/>
        <v>9.8630136986301367E-2</v>
      </c>
      <c r="O79">
        <f t="shared" si="35"/>
        <v>25.0833352601</v>
      </c>
      <c r="P79" s="212">
        <f t="shared" si="36"/>
        <v>120</v>
      </c>
      <c r="Q79">
        <f t="shared" si="37"/>
        <v>25.0833352601</v>
      </c>
      <c r="R79" t="e">
        <f t="shared" si="38"/>
        <v>#N/A</v>
      </c>
      <c r="S79" t="e">
        <f t="shared" si="39"/>
        <v>#N/A</v>
      </c>
    </row>
    <row r="80" spans="1:19" x14ac:dyDescent="0.2">
      <c r="A80" s="6">
        <f t="shared" si="40"/>
        <v>72</v>
      </c>
      <c r="B80">
        <f t="shared" si="29"/>
        <v>121</v>
      </c>
      <c r="C80">
        <f t="shared" si="29"/>
        <v>100</v>
      </c>
      <c r="D80">
        <f t="shared" si="29"/>
        <v>45239.563726851855</v>
      </c>
      <c r="E80">
        <f t="shared" si="29"/>
        <v>45605.563726851855</v>
      </c>
      <c r="F80" s="17">
        <f t="shared" si="31"/>
        <v>366</v>
      </c>
      <c r="G80" s="18">
        <f t="shared" si="32"/>
        <v>1.0027397260273974</v>
      </c>
      <c r="H80">
        <f t="shared" si="41"/>
        <v>0.3</v>
      </c>
      <c r="I80">
        <f t="shared" si="41"/>
        <v>5.2999999999999999E-2</v>
      </c>
      <c r="J80">
        <f t="shared" si="41"/>
        <v>0</v>
      </c>
      <c r="K80">
        <f t="shared" si="41"/>
        <v>5</v>
      </c>
      <c r="L80">
        <f t="shared" si="41"/>
        <v>45275.563726851855</v>
      </c>
      <c r="M80" s="17">
        <f t="shared" si="33"/>
        <v>36</v>
      </c>
      <c r="N80" s="18">
        <f t="shared" si="34"/>
        <v>9.8630136986301367E-2</v>
      </c>
      <c r="O80">
        <f t="shared" si="35"/>
        <v>25.873103244599999</v>
      </c>
      <c r="P80" s="212">
        <f t="shared" si="36"/>
        <v>121</v>
      </c>
      <c r="Q80">
        <f t="shared" si="37"/>
        <v>25.873103244599999</v>
      </c>
      <c r="R80" t="e">
        <f t="shared" si="38"/>
        <v>#N/A</v>
      </c>
      <c r="S80" t="e">
        <f t="shared" si="39"/>
        <v>#N/A</v>
      </c>
    </row>
    <row r="81" spans="1:19" x14ac:dyDescent="0.2">
      <c r="A81" s="6">
        <f t="shared" si="40"/>
        <v>73</v>
      </c>
      <c r="B81">
        <f t="shared" si="29"/>
        <v>122</v>
      </c>
      <c r="C81">
        <f t="shared" si="29"/>
        <v>100</v>
      </c>
      <c r="D81">
        <f t="shared" si="29"/>
        <v>45239.563726851855</v>
      </c>
      <c r="E81">
        <f t="shared" si="29"/>
        <v>45605.563726851855</v>
      </c>
      <c r="F81" s="17">
        <f t="shared" si="31"/>
        <v>366</v>
      </c>
      <c r="G81" s="18">
        <f t="shared" si="32"/>
        <v>1.0027397260273974</v>
      </c>
      <c r="H81">
        <f t="shared" si="41"/>
        <v>0.3</v>
      </c>
      <c r="I81">
        <f t="shared" si="41"/>
        <v>5.2999999999999999E-2</v>
      </c>
      <c r="J81">
        <f t="shared" si="41"/>
        <v>0</v>
      </c>
      <c r="K81">
        <f t="shared" si="41"/>
        <v>5</v>
      </c>
      <c r="L81">
        <f t="shared" si="41"/>
        <v>45275.563726851855</v>
      </c>
      <c r="M81" s="17">
        <f t="shared" si="33"/>
        <v>36</v>
      </c>
      <c r="N81" s="18">
        <f t="shared" si="34"/>
        <v>9.8630136986301367E-2</v>
      </c>
      <c r="O81">
        <f t="shared" si="35"/>
        <v>26.671066330999999</v>
      </c>
      <c r="P81" s="212">
        <f t="shared" si="36"/>
        <v>122</v>
      </c>
      <c r="Q81">
        <f t="shared" si="37"/>
        <v>26.671066330999999</v>
      </c>
      <c r="R81" t="e">
        <f t="shared" si="38"/>
        <v>#N/A</v>
      </c>
      <c r="S81" t="e">
        <f t="shared" si="39"/>
        <v>#N/A</v>
      </c>
    </row>
    <row r="82" spans="1:19" x14ac:dyDescent="0.2">
      <c r="A82" s="6">
        <f t="shared" si="40"/>
        <v>74</v>
      </c>
      <c r="B82">
        <f t="shared" si="29"/>
        <v>123</v>
      </c>
      <c r="C82">
        <f t="shared" si="29"/>
        <v>100</v>
      </c>
      <c r="D82">
        <f t="shared" si="29"/>
        <v>45239.563726851855</v>
      </c>
      <c r="E82">
        <f t="shared" si="29"/>
        <v>45605.563726851855</v>
      </c>
      <c r="F82" s="17">
        <f t="shared" si="31"/>
        <v>366</v>
      </c>
      <c r="G82" s="18">
        <f t="shared" si="32"/>
        <v>1.0027397260273974</v>
      </c>
      <c r="H82">
        <f t="shared" si="41"/>
        <v>0.3</v>
      </c>
      <c r="I82">
        <f t="shared" si="41"/>
        <v>5.2999999999999999E-2</v>
      </c>
      <c r="J82">
        <f t="shared" si="41"/>
        <v>0</v>
      </c>
      <c r="K82">
        <f t="shared" si="41"/>
        <v>5</v>
      </c>
      <c r="L82">
        <f t="shared" si="41"/>
        <v>45275.563726851855</v>
      </c>
      <c r="M82" s="17">
        <f t="shared" si="33"/>
        <v>36</v>
      </c>
      <c r="N82" s="18">
        <f t="shared" si="34"/>
        <v>9.8630136986301367E-2</v>
      </c>
      <c r="O82">
        <f t="shared" si="35"/>
        <v>27.476964392799999</v>
      </c>
      <c r="P82" s="212">
        <f t="shared" si="36"/>
        <v>123</v>
      </c>
      <c r="Q82">
        <f t="shared" si="37"/>
        <v>27.476964392799999</v>
      </c>
      <c r="R82" t="e">
        <f t="shared" si="38"/>
        <v>#N/A</v>
      </c>
      <c r="S82" t="e">
        <f t="shared" si="39"/>
        <v>#N/A</v>
      </c>
    </row>
    <row r="83" spans="1:19" x14ac:dyDescent="0.2">
      <c r="A83" s="6">
        <f t="shared" si="40"/>
        <v>75</v>
      </c>
      <c r="B83">
        <f t="shared" si="29"/>
        <v>124</v>
      </c>
      <c r="C83">
        <f t="shared" si="29"/>
        <v>100</v>
      </c>
      <c r="D83">
        <f t="shared" si="29"/>
        <v>45239.563726851855</v>
      </c>
      <c r="E83">
        <f t="shared" si="29"/>
        <v>45605.563726851855</v>
      </c>
      <c r="F83" s="17">
        <f t="shared" si="31"/>
        <v>366</v>
      </c>
      <c r="G83" s="18">
        <f t="shared" si="32"/>
        <v>1.0027397260273974</v>
      </c>
      <c r="H83">
        <f t="shared" si="41"/>
        <v>0.3</v>
      </c>
      <c r="I83">
        <f t="shared" si="41"/>
        <v>5.2999999999999999E-2</v>
      </c>
      <c r="J83">
        <f t="shared" si="41"/>
        <v>0</v>
      </c>
      <c r="K83">
        <f t="shared" si="41"/>
        <v>5</v>
      </c>
      <c r="L83">
        <f t="shared" si="41"/>
        <v>45275.563726851855</v>
      </c>
      <c r="M83" s="17">
        <f t="shared" si="33"/>
        <v>36</v>
      </c>
      <c r="N83" s="18">
        <f t="shared" si="34"/>
        <v>9.8630136986301367E-2</v>
      </c>
      <c r="O83">
        <f t="shared" si="35"/>
        <v>28.290541431600001</v>
      </c>
      <c r="P83" s="212">
        <f t="shared" si="36"/>
        <v>124</v>
      </c>
      <c r="Q83">
        <f t="shared" si="37"/>
        <v>28.290541431600001</v>
      </c>
      <c r="R83" t="e">
        <f t="shared" si="38"/>
        <v>#N/A</v>
      </c>
      <c r="S83" t="e">
        <f t="shared" si="39"/>
        <v>#N/A</v>
      </c>
    </row>
    <row r="84" spans="1:19" x14ac:dyDescent="0.2">
      <c r="A84" s="6">
        <f t="shared" si="40"/>
        <v>76</v>
      </c>
      <c r="B84">
        <f t="shared" si="29"/>
        <v>125</v>
      </c>
      <c r="C84">
        <f t="shared" si="29"/>
        <v>100</v>
      </c>
      <c r="D84">
        <f t="shared" si="29"/>
        <v>45239.563726851855</v>
      </c>
      <c r="E84">
        <f t="shared" si="29"/>
        <v>45605.563726851855</v>
      </c>
      <c r="F84" s="17">
        <f t="shared" si="31"/>
        <v>366</v>
      </c>
      <c r="G84" s="18">
        <f t="shared" si="32"/>
        <v>1.0027397260273974</v>
      </c>
      <c r="H84">
        <f t="shared" si="41"/>
        <v>0.3</v>
      </c>
      <c r="I84">
        <f t="shared" si="41"/>
        <v>5.2999999999999999E-2</v>
      </c>
      <c r="J84">
        <f t="shared" si="41"/>
        <v>0</v>
      </c>
      <c r="K84">
        <f t="shared" si="41"/>
        <v>5</v>
      </c>
      <c r="L84">
        <f t="shared" si="41"/>
        <v>45275.563726851855</v>
      </c>
      <c r="M84" s="17">
        <f t="shared" si="33"/>
        <v>36</v>
      </c>
      <c r="N84" s="18">
        <f t="shared" si="34"/>
        <v>9.8630136986301367E-2</v>
      </c>
      <c r="O84">
        <f t="shared" si="35"/>
        <v>29.111545828400001</v>
      </c>
      <c r="P84" s="212">
        <f t="shared" si="36"/>
        <v>125</v>
      </c>
      <c r="Q84">
        <f t="shared" si="37"/>
        <v>29.111545828400001</v>
      </c>
      <c r="R84" t="e">
        <f t="shared" si="38"/>
        <v>#N/A</v>
      </c>
      <c r="S84" t="e">
        <f t="shared" si="39"/>
        <v>#N/A</v>
      </c>
    </row>
    <row r="85" spans="1:19" x14ac:dyDescent="0.2">
      <c r="A85" s="6">
        <f t="shared" si="40"/>
        <v>77</v>
      </c>
      <c r="B85">
        <f t="shared" si="29"/>
        <v>126</v>
      </c>
      <c r="C85">
        <f t="shared" si="29"/>
        <v>100</v>
      </c>
      <c r="D85">
        <f t="shared" si="29"/>
        <v>45239.563726851855</v>
      </c>
      <c r="E85">
        <f t="shared" si="29"/>
        <v>45605.563726851855</v>
      </c>
      <c r="F85" s="17">
        <f t="shared" si="31"/>
        <v>366</v>
      </c>
      <c r="G85" s="18">
        <f t="shared" si="32"/>
        <v>1.0027397260273974</v>
      </c>
      <c r="H85">
        <f t="shared" si="41"/>
        <v>0.3</v>
      </c>
      <c r="I85">
        <f t="shared" si="41"/>
        <v>5.2999999999999999E-2</v>
      </c>
      <c r="J85">
        <f t="shared" si="41"/>
        <v>0</v>
      </c>
      <c r="K85">
        <f t="shared" si="41"/>
        <v>5</v>
      </c>
      <c r="L85">
        <f t="shared" si="41"/>
        <v>45275.563726851855</v>
      </c>
      <c r="M85" s="17">
        <f t="shared" si="33"/>
        <v>36</v>
      </c>
      <c r="N85" s="18">
        <f t="shared" si="34"/>
        <v>9.8630136986301367E-2</v>
      </c>
      <c r="O85">
        <f t="shared" si="35"/>
        <v>29.939730565000001</v>
      </c>
      <c r="P85" s="212">
        <f t="shared" si="36"/>
        <v>126</v>
      </c>
      <c r="Q85">
        <f t="shared" si="37"/>
        <v>29.939730565000001</v>
      </c>
      <c r="R85" t="e">
        <f t="shared" si="38"/>
        <v>#N/A</v>
      </c>
      <c r="S85" t="e">
        <f t="shared" si="39"/>
        <v>#N/A</v>
      </c>
    </row>
    <row r="86" spans="1:19" x14ac:dyDescent="0.2">
      <c r="A86" s="6">
        <f t="shared" si="40"/>
        <v>78</v>
      </c>
      <c r="B86">
        <f t="shared" si="29"/>
        <v>127</v>
      </c>
      <c r="C86">
        <f t="shared" si="29"/>
        <v>100</v>
      </c>
      <c r="D86">
        <f t="shared" si="29"/>
        <v>45239.563726851855</v>
      </c>
      <c r="E86">
        <f t="shared" si="29"/>
        <v>45605.563726851855</v>
      </c>
      <c r="F86" s="17">
        <f t="shared" si="31"/>
        <v>366</v>
      </c>
      <c r="G86" s="18">
        <f t="shared" si="32"/>
        <v>1.0027397260273974</v>
      </c>
      <c r="H86">
        <f t="shared" si="41"/>
        <v>0.3</v>
      </c>
      <c r="I86">
        <f t="shared" si="41"/>
        <v>5.2999999999999999E-2</v>
      </c>
      <c r="J86">
        <f t="shared" si="41"/>
        <v>0</v>
      </c>
      <c r="K86">
        <f t="shared" si="41"/>
        <v>5</v>
      </c>
      <c r="L86">
        <f t="shared" si="41"/>
        <v>45275.563726851855</v>
      </c>
      <c r="M86" s="17">
        <f t="shared" si="33"/>
        <v>36</v>
      </c>
      <c r="N86" s="18">
        <f t="shared" si="34"/>
        <v>9.8630136986301367E-2</v>
      </c>
      <c r="O86">
        <f t="shared" si="35"/>
        <v>30.774853416900001</v>
      </c>
      <c r="P86" s="212">
        <f t="shared" si="36"/>
        <v>127</v>
      </c>
      <c r="Q86">
        <f t="shared" si="37"/>
        <v>30.774853416900001</v>
      </c>
      <c r="R86" t="e">
        <f t="shared" si="38"/>
        <v>#N/A</v>
      </c>
      <c r="S86" t="e">
        <f t="shared" si="39"/>
        <v>#N/A</v>
      </c>
    </row>
    <row r="87" spans="1:19" x14ac:dyDescent="0.2">
      <c r="A87" s="6">
        <f t="shared" si="40"/>
        <v>79</v>
      </c>
      <c r="B87">
        <f t="shared" si="29"/>
        <v>128</v>
      </c>
      <c r="C87">
        <f t="shared" si="29"/>
        <v>100</v>
      </c>
      <c r="D87">
        <f t="shared" si="29"/>
        <v>45239.563726851855</v>
      </c>
      <c r="E87">
        <f t="shared" si="29"/>
        <v>45605.563726851855</v>
      </c>
      <c r="F87" s="17">
        <f t="shared" si="31"/>
        <v>366</v>
      </c>
      <c r="G87" s="18">
        <f t="shared" si="32"/>
        <v>1.0027397260273974</v>
      </c>
      <c r="H87">
        <f t="shared" si="41"/>
        <v>0.3</v>
      </c>
      <c r="I87">
        <f t="shared" si="41"/>
        <v>5.2999999999999999E-2</v>
      </c>
      <c r="J87">
        <f t="shared" si="41"/>
        <v>0</v>
      </c>
      <c r="K87">
        <f t="shared" si="41"/>
        <v>5</v>
      </c>
      <c r="L87">
        <f t="shared" si="41"/>
        <v>45275.563726851855</v>
      </c>
      <c r="M87" s="17">
        <f t="shared" si="33"/>
        <v>36</v>
      </c>
      <c r="N87" s="18">
        <f t="shared" si="34"/>
        <v>9.8630136986301367E-2</v>
      </c>
      <c r="O87">
        <f t="shared" si="35"/>
        <v>31.6166771191</v>
      </c>
      <c r="P87" s="212">
        <f t="shared" si="36"/>
        <v>128</v>
      </c>
      <c r="Q87">
        <f t="shared" si="37"/>
        <v>31.6166771191</v>
      </c>
      <c r="R87" t="e">
        <f t="shared" si="38"/>
        <v>#N/A</v>
      </c>
      <c r="S87" t="e">
        <f t="shared" si="39"/>
        <v>#N/A</v>
      </c>
    </row>
    <row r="88" spans="1:19" x14ac:dyDescent="0.2">
      <c r="A88" s="6">
        <f t="shared" si="40"/>
        <v>80</v>
      </c>
      <c r="B88">
        <f t="shared" si="29"/>
        <v>129</v>
      </c>
      <c r="C88">
        <f t="shared" si="29"/>
        <v>100</v>
      </c>
      <c r="D88">
        <f t="shared" si="29"/>
        <v>45239.563726851855</v>
      </c>
      <c r="E88">
        <f t="shared" si="29"/>
        <v>45605.563726851855</v>
      </c>
      <c r="F88" s="17">
        <f t="shared" si="31"/>
        <v>366</v>
      </c>
      <c r="G88" s="18">
        <f t="shared" si="32"/>
        <v>1.0027397260273974</v>
      </c>
      <c r="H88">
        <f t="shared" si="41"/>
        <v>0.3</v>
      </c>
      <c r="I88">
        <f t="shared" si="41"/>
        <v>5.2999999999999999E-2</v>
      </c>
      <c r="J88">
        <f t="shared" si="41"/>
        <v>0</v>
      </c>
      <c r="K88">
        <f t="shared" si="41"/>
        <v>5</v>
      </c>
      <c r="L88">
        <f t="shared" si="41"/>
        <v>45275.563726851855</v>
      </c>
      <c r="M88" s="17">
        <f t="shared" si="33"/>
        <v>36</v>
      </c>
      <c r="N88" s="18">
        <f t="shared" si="34"/>
        <v>9.8630136986301367E-2</v>
      </c>
      <c r="O88">
        <f t="shared" si="35"/>
        <v>32.464969507799999</v>
      </c>
      <c r="P88" s="212">
        <f t="shared" si="36"/>
        <v>129</v>
      </c>
      <c r="Q88">
        <f t="shared" si="37"/>
        <v>32.464969507799999</v>
      </c>
      <c r="R88" t="e">
        <f t="shared" si="38"/>
        <v>#N/A</v>
      </c>
      <c r="S88" t="e">
        <f t="shared" si="39"/>
        <v>#N/A</v>
      </c>
    </row>
    <row r="89" spans="1:19" x14ac:dyDescent="0.2">
      <c r="A89" s="6">
        <f t="shared" si="40"/>
        <v>81</v>
      </c>
      <c r="B89">
        <f t="shared" ref="B89:E109" si="42">IF(ShowSeries1,IF(AND(ChartMode=2,ChartLines13=B$4),Series1Input,IF(ChartX13=B$4,$P89,B$7)),"")</f>
        <v>130</v>
      </c>
      <c r="C89">
        <f t="shared" si="42"/>
        <v>100</v>
      </c>
      <c r="D89">
        <f t="shared" si="42"/>
        <v>45239.563726851855</v>
      </c>
      <c r="E89">
        <f t="shared" si="42"/>
        <v>45605.563726851855</v>
      </c>
      <c r="F89" s="17">
        <f t="shared" si="31"/>
        <v>366</v>
      </c>
      <c r="G89" s="18">
        <f t="shared" si="32"/>
        <v>1.0027397260273974</v>
      </c>
      <c r="H89">
        <f t="shared" ref="H89:L98" si="43">IF(ShowSeries1,IF(AND(ChartMode=2,ChartLines13=H$4),Series1Input,IF(ChartX13=H$4,$P89,H$7)),"")</f>
        <v>0.3</v>
      </c>
      <c r="I89">
        <f t="shared" si="43"/>
        <v>5.2999999999999999E-2</v>
      </c>
      <c r="J89">
        <f t="shared" si="43"/>
        <v>0</v>
      </c>
      <c r="K89">
        <f t="shared" si="43"/>
        <v>5</v>
      </c>
      <c r="L89">
        <f t="shared" si="43"/>
        <v>45275.563726851855</v>
      </c>
      <c r="M89" s="17">
        <f t="shared" si="33"/>
        <v>36</v>
      </c>
      <c r="N89" s="18">
        <f t="shared" si="34"/>
        <v>9.8630136986301367E-2</v>
      </c>
      <c r="O89">
        <f t="shared" si="35"/>
        <v>33.319503636500002</v>
      </c>
      <c r="P89" s="212">
        <f t="shared" si="36"/>
        <v>130</v>
      </c>
      <c r="Q89">
        <f t="shared" si="37"/>
        <v>33.319503636500002</v>
      </c>
      <c r="R89" t="e">
        <f t="shared" si="38"/>
        <v>#N/A</v>
      </c>
      <c r="S89" t="e">
        <f t="shared" si="39"/>
        <v>#N/A</v>
      </c>
    </row>
    <row r="90" spans="1:19" x14ac:dyDescent="0.2">
      <c r="A90" s="6">
        <f t="shared" si="40"/>
        <v>82</v>
      </c>
      <c r="B90">
        <f t="shared" si="42"/>
        <v>131</v>
      </c>
      <c r="C90">
        <f t="shared" si="42"/>
        <v>100</v>
      </c>
      <c r="D90">
        <f t="shared" si="42"/>
        <v>45239.563726851855</v>
      </c>
      <c r="E90">
        <f t="shared" si="42"/>
        <v>45605.563726851855</v>
      </c>
      <c r="F90" s="17">
        <f t="shared" si="31"/>
        <v>366</v>
      </c>
      <c r="G90" s="18">
        <f t="shared" si="32"/>
        <v>1.0027397260273974</v>
      </c>
      <c r="H90">
        <f t="shared" si="43"/>
        <v>0.3</v>
      </c>
      <c r="I90">
        <f t="shared" si="43"/>
        <v>5.2999999999999999E-2</v>
      </c>
      <c r="J90">
        <f t="shared" si="43"/>
        <v>0</v>
      </c>
      <c r="K90">
        <f t="shared" si="43"/>
        <v>5</v>
      </c>
      <c r="L90">
        <f t="shared" si="43"/>
        <v>45275.563726851855</v>
      </c>
      <c r="M90" s="17">
        <f t="shared" si="33"/>
        <v>36</v>
      </c>
      <c r="N90" s="18">
        <f t="shared" si="34"/>
        <v>9.8630136986301367E-2</v>
      </c>
      <c r="O90">
        <f t="shared" si="35"/>
        <v>34.180057871599999</v>
      </c>
      <c r="P90" s="212">
        <f t="shared" si="36"/>
        <v>131</v>
      </c>
      <c r="Q90">
        <f t="shared" si="37"/>
        <v>34.180057871599999</v>
      </c>
      <c r="R90" t="e">
        <f t="shared" si="38"/>
        <v>#N/A</v>
      </c>
      <c r="S90" t="e">
        <f t="shared" si="39"/>
        <v>#N/A</v>
      </c>
    </row>
    <row r="91" spans="1:19" x14ac:dyDescent="0.2">
      <c r="A91" s="6">
        <f t="shared" si="40"/>
        <v>83</v>
      </c>
      <c r="B91">
        <f t="shared" si="42"/>
        <v>132</v>
      </c>
      <c r="C91">
        <f t="shared" si="42"/>
        <v>100</v>
      </c>
      <c r="D91">
        <f t="shared" si="42"/>
        <v>45239.563726851855</v>
      </c>
      <c r="E91">
        <f t="shared" si="42"/>
        <v>45605.563726851855</v>
      </c>
      <c r="F91" s="17">
        <f t="shared" si="31"/>
        <v>366</v>
      </c>
      <c r="G91" s="18">
        <f t="shared" si="32"/>
        <v>1.0027397260273974</v>
      </c>
      <c r="H91">
        <f t="shared" si="43"/>
        <v>0.3</v>
      </c>
      <c r="I91">
        <f t="shared" si="43"/>
        <v>5.2999999999999999E-2</v>
      </c>
      <c r="J91">
        <f t="shared" si="43"/>
        <v>0</v>
      </c>
      <c r="K91">
        <f t="shared" si="43"/>
        <v>5</v>
      </c>
      <c r="L91">
        <f t="shared" si="43"/>
        <v>45275.563726851855</v>
      </c>
      <c r="M91" s="17">
        <f t="shared" si="33"/>
        <v>36</v>
      </c>
      <c r="N91" s="18">
        <f t="shared" si="34"/>
        <v>9.8630136986301367E-2</v>
      </c>
      <c r="O91">
        <f t="shared" si="35"/>
        <v>35.046415966200001</v>
      </c>
      <c r="P91" s="212">
        <f t="shared" si="36"/>
        <v>132</v>
      </c>
      <c r="Q91">
        <f t="shared" si="37"/>
        <v>35.046415966200001</v>
      </c>
      <c r="R91" t="e">
        <f t="shared" si="38"/>
        <v>#N/A</v>
      </c>
      <c r="S91" t="e">
        <f t="shared" si="39"/>
        <v>#N/A</v>
      </c>
    </row>
    <row r="92" spans="1:19" x14ac:dyDescent="0.2">
      <c r="A92" s="6">
        <f t="shared" si="40"/>
        <v>84</v>
      </c>
      <c r="B92">
        <f t="shared" si="42"/>
        <v>133</v>
      </c>
      <c r="C92">
        <f t="shared" si="42"/>
        <v>100</v>
      </c>
      <c r="D92">
        <f t="shared" si="42"/>
        <v>45239.563726851855</v>
      </c>
      <c r="E92">
        <f t="shared" si="42"/>
        <v>45605.563726851855</v>
      </c>
      <c r="F92" s="17">
        <f t="shared" si="31"/>
        <v>366</v>
      </c>
      <c r="G92" s="18">
        <f t="shared" si="32"/>
        <v>1.0027397260273974</v>
      </c>
      <c r="H92">
        <f t="shared" si="43"/>
        <v>0.3</v>
      </c>
      <c r="I92">
        <f t="shared" si="43"/>
        <v>5.2999999999999999E-2</v>
      </c>
      <c r="J92">
        <f t="shared" si="43"/>
        <v>0</v>
      </c>
      <c r="K92">
        <f t="shared" si="43"/>
        <v>5</v>
      </c>
      <c r="L92">
        <f t="shared" si="43"/>
        <v>45275.563726851855</v>
      </c>
      <c r="M92" s="17">
        <f t="shared" si="33"/>
        <v>36</v>
      </c>
      <c r="N92" s="18">
        <f t="shared" si="34"/>
        <v>9.8630136986301367E-2</v>
      </c>
      <c r="O92">
        <f t="shared" si="35"/>
        <v>35.918367114399999</v>
      </c>
      <c r="P92" s="212">
        <f t="shared" si="36"/>
        <v>133</v>
      </c>
      <c r="Q92">
        <f t="shared" si="37"/>
        <v>35.918367114399999</v>
      </c>
      <c r="R92" t="e">
        <f t="shared" si="38"/>
        <v>#N/A</v>
      </c>
      <c r="S92" t="e">
        <f t="shared" si="39"/>
        <v>#N/A</v>
      </c>
    </row>
    <row r="93" spans="1:19" x14ac:dyDescent="0.2">
      <c r="A93" s="6">
        <f t="shared" si="40"/>
        <v>85</v>
      </c>
      <c r="B93">
        <f t="shared" si="42"/>
        <v>134</v>
      </c>
      <c r="C93">
        <f t="shared" si="42"/>
        <v>100</v>
      </c>
      <c r="D93">
        <f t="shared" si="42"/>
        <v>45239.563726851855</v>
      </c>
      <c r="E93">
        <f t="shared" si="42"/>
        <v>45605.563726851855</v>
      </c>
      <c r="F93" s="17">
        <f t="shared" si="31"/>
        <v>366</v>
      </c>
      <c r="G93" s="18">
        <f t="shared" si="32"/>
        <v>1.0027397260273974</v>
      </c>
      <c r="H93">
        <f t="shared" si="43"/>
        <v>0.3</v>
      </c>
      <c r="I93">
        <f t="shared" si="43"/>
        <v>5.2999999999999999E-2</v>
      </c>
      <c r="J93">
        <f t="shared" si="43"/>
        <v>0</v>
      </c>
      <c r="K93">
        <f t="shared" si="43"/>
        <v>5</v>
      </c>
      <c r="L93">
        <f t="shared" si="43"/>
        <v>45275.563726851855</v>
      </c>
      <c r="M93" s="17">
        <f t="shared" si="33"/>
        <v>36</v>
      </c>
      <c r="N93" s="18">
        <f t="shared" si="34"/>
        <v>9.8630136986301367E-2</v>
      </c>
      <c r="O93">
        <f t="shared" si="35"/>
        <v>36.795705988199998</v>
      </c>
      <c r="P93" s="212">
        <f t="shared" si="36"/>
        <v>134</v>
      </c>
      <c r="Q93">
        <f t="shared" si="37"/>
        <v>36.795705988199998</v>
      </c>
      <c r="R93" t="e">
        <f t="shared" si="38"/>
        <v>#N/A</v>
      </c>
      <c r="S93" t="e">
        <f t="shared" si="39"/>
        <v>#N/A</v>
      </c>
    </row>
    <row r="94" spans="1:19" x14ac:dyDescent="0.2">
      <c r="A94" s="6">
        <f t="shared" si="40"/>
        <v>86</v>
      </c>
      <c r="B94">
        <f t="shared" si="42"/>
        <v>135</v>
      </c>
      <c r="C94">
        <f t="shared" si="42"/>
        <v>100</v>
      </c>
      <c r="D94">
        <f t="shared" si="42"/>
        <v>45239.563726851855</v>
      </c>
      <c r="E94">
        <f t="shared" si="42"/>
        <v>45605.563726851855</v>
      </c>
      <c r="F94" s="17">
        <f t="shared" si="31"/>
        <v>366</v>
      </c>
      <c r="G94" s="18">
        <f t="shared" si="32"/>
        <v>1.0027397260273974</v>
      </c>
      <c r="H94">
        <f t="shared" si="43"/>
        <v>0.3</v>
      </c>
      <c r="I94">
        <f t="shared" si="43"/>
        <v>5.2999999999999999E-2</v>
      </c>
      <c r="J94">
        <f t="shared" si="43"/>
        <v>0</v>
      </c>
      <c r="K94">
        <f t="shared" si="43"/>
        <v>5</v>
      </c>
      <c r="L94">
        <f t="shared" si="43"/>
        <v>45275.563726851855</v>
      </c>
      <c r="M94" s="17">
        <f t="shared" si="33"/>
        <v>36</v>
      </c>
      <c r="N94" s="18">
        <f t="shared" si="34"/>
        <v>9.8630136986301367E-2</v>
      </c>
      <c r="O94">
        <f t="shared" si="35"/>
        <v>37.6782327572</v>
      </c>
      <c r="P94" s="212">
        <f t="shared" si="36"/>
        <v>135</v>
      </c>
      <c r="Q94">
        <f t="shared" si="37"/>
        <v>37.6782327572</v>
      </c>
      <c r="R94" t="e">
        <f t="shared" si="38"/>
        <v>#N/A</v>
      </c>
      <c r="S94" t="e">
        <f t="shared" si="39"/>
        <v>#N/A</v>
      </c>
    </row>
    <row r="95" spans="1:19" x14ac:dyDescent="0.2">
      <c r="A95" s="6">
        <f t="shared" si="40"/>
        <v>87</v>
      </c>
      <c r="B95">
        <f t="shared" si="42"/>
        <v>136</v>
      </c>
      <c r="C95">
        <f t="shared" si="42"/>
        <v>100</v>
      </c>
      <c r="D95">
        <f t="shared" si="42"/>
        <v>45239.563726851855</v>
      </c>
      <c r="E95">
        <f t="shared" si="42"/>
        <v>45605.563726851855</v>
      </c>
      <c r="F95" s="17">
        <f t="shared" si="31"/>
        <v>366</v>
      </c>
      <c r="G95" s="18">
        <f t="shared" si="32"/>
        <v>1.0027397260273974</v>
      </c>
      <c r="H95">
        <f t="shared" si="43"/>
        <v>0.3</v>
      </c>
      <c r="I95">
        <f t="shared" si="43"/>
        <v>5.2999999999999999E-2</v>
      </c>
      <c r="J95">
        <f t="shared" si="43"/>
        <v>0</v>
      </c>
      <c r="K95">
        <f t="shared" si="43"/>
        <v>5</v>
      </c>
      <c r="L95">
        <f t="shared" si="43"/>
        <v>45275.563726851855</v>
      </c>
      <c r="M95" s="17">
        <f t="shared" si="33"/>
        <v>36</v>
      </c>
      <c r="N95" s="18">
        <f t="shared" si="34"/>
        <v>9.8630136986301367E-2</v>
      </c>
      <c r="O95">
        <f t="shared" si="35"/>
        <v>38.5657530927</v>
      </c>
      <c r="P95" s="212">
        <f t="shared" si="36"/>
        <v>136</v>
      </c>
      <c r="Q95">
        <f t="shared" si="37"/>
        <v>38.5657530927</v>
      </c>
      <c r="R95" t="e">
        <f t="shared" si="38"/>
        <v>#N/A</v>
      </c>
      <c r="S95" t="e">
        <f t="shared" si="39"/>
        <v>#N/A</v>
      </c>
    </row>
    <row r="96" spans="1:19" x14ac:dyDescent="0.2">
      <c r="A96" s="6">
        <f t="shared" si="40"/>
        <v>88</v>
      </c>
      <c r="B96">
        <f t="shared" si="42"/>
        <v>137</v>
      </c>
      <c r="C96">
        <f t="shared" si="42"/>
        <v>100</v>
      </c>
      <c r="D96">
        <f t="shared" si="42"/>
        <v>45239.563726851855</v>
      </c>
      <c r="E96">
        <f t="shared" si="42"/>
        <v>45605.563726851855</v>
      </c>
      <c r="F96" s="17">
        <f t="shared" si="31"/>
        <v>366</v>
      </c>
      <c r="G96" s="18">
        <f t="shared" si="32"/>
        <v>1.0027397260273974</v>
      </c>
      <c r="H96">
        <f t="shared" si="43"/>
        <v>0.3</v>
      </c>
      <c r="I96">
        <f t="shared" si="43"/>
        <v>5.2999999999999999E-2</v>
      </c>
      <c r="J96">
        <f t="shared" si="43"/>
        <v>0</v>
      </c>
      <c r="K96">
        <f t="shared" si="43"/>
        <v>5</v>
      </c>
      <c r="L96">
        <f t="shared" si="43"/>
        <v>45275.563726851855</v>
      </c>
      <c r="M96" s="17">
        <f t="shared" si="33"/>
        <v>36</v>
      </c>
      <c r="N96" s="18">
        <f t="shared" si="34"/>
        <v>9.8630136986301367E-2</v>
      </c>
      <c r="O96">
        <f t="shared" si="35"/>
        <v>39.458078158600003</v>
      </c>
      <c r="P96" s="212">
        <f t="shared" si="36"/>
        <v>137</v>
      </c>
      <c r="Q96">
        <f t="shared" si="37"/>
        <v>39.458078158600003</v>
      </c>
      <c r="R96" t="e">
        <f t="shared" si="38"/>
        <v>#N/A</v>
      </c>
      <c r="S96" t="e">
        <f t="shared" si="39"/>
        <v>#N/A</v>
      </c>
    </row>
    <row r="97" spans="1:19" x14ac:dyDescent="0.2">
      <c r="A97" s="6">
        <f t="shared" si="40"/>
        <v>89</v>
      </c>
      <c r="B97">
        <f t="shared" si="42"/>
        <v>138</v>
      </c>
      <c r="C97">
        <f t="shared" si="42"/>
        <v>100</v>
      </c>
      <c r="D97">
        <f t="shared" si="42"/>
        <v>45239.563726851855</v>
      </c>
      <c r="E97">
        <f t="shared" si="42"/>
        <v>45605.563726851855</v>
      </c>
      <c r="F97" s="17">
        <f t="shared" si="31"/>
        <v>366</v>
      </c>
      <c r="G97" s="18">
        <f t="shared" si="32"/>
        <v>1.0027397260273974</v>
      </c>
      <c r="H97">
        <f t="shared" si="43"/>
        <v>0.3</v>
      </c>
      <c r="I97">
        <f t="shared" si="43"/>
        <v>5.2999999999999999E-2</v>
      </c>
      <c r="J97">
        <f t="shared" si="43"/>
        <v>0</v>
      </c>
      <c r="K97">
        <f t="shared" si="43"/>
        <v>5</v>
      </c>
      <c r="L97">
        <f t="shared" si="43"/>
        <v>45275.563726851855</v>
      </c>
      <c r="M97" s="17">
        <f t="shared" si="33"/>
        <v>36</v>
      </c>
      <c r="N97" s="18">
        <f t="shared" si="34"/>
        <v>9.8630136986301367E-2</v>
      </c>
      <c r="O97">
        <f t="shared" si="35"/>
        <v>40.355024587800003</v>
      </c>
      <c r="P97" s="212">
        <f t="shared" si="36"/>
        <v>138</v>
      </c>
      <c r="Q97">
        <f t="shared" si="37"/>
        <v>40.355024587800003</v>
      </c>
      <c r="R97" t="e">
        <f t="shared" si="38"/>
        <v>#N/A</v>
      </c>
      <c r="S97" t="e">
        <f t="shared" si="39"/>
        <v>#N/A</v>
      </c>
    </row>
    <row r="98" spans="1:19" x14ac:dyDescent="0.2">
      <c r="A98" s="6">
        <f t="shared" si="40"/>
        <v>90</v>
      </c>
      <c r="B98">
        <f t="shared" si="42"/>
        <v>139</v>
      </c>
      <c r="C98">
        <f t="shared" si="42"/>
        <v>100</v>
      </c>
      <c r="D98">
        <f t="shared" si="42"/>
        <v>45239.563726851855</v>
      </c>
      <c r="E98">
        <f t="shared" si="42"/>
        <v>45605.563726851855</v>
      </c>
      <c r="F98" s="17">
        <f t="shared" si="31"/>
        <v>366</v>
      </c>
      <c r="G98" s="18">
        <f t="shared" si="32"/>
        <v>1.0027397260273974</v>
      </c>
      <c r="H98">
        <f t="shared" si="43"/>
        <v>0.3</v>
      </c>
      <c r="I98">
        <f t="shared" si="43"/>
        <v>5.2999999999999999E-2</v>
      </c>
      <c r="J98">
        <f t="shared" si="43"/>
        <v>0</v>
      </c>
      <c r="K98">
        <f t="shared" si="43"/>
        <v>5</v>
      </c>
      <c r="L98">
        <f t="shared" si="43"/>
        <v>45275.563726851855</v>
      </c>
      <c r="M98" s="17">
        <f t="shared" si="33"/>
        <v>36</v>
      </c>
      <c r="N98" s="18">
        <f t="shared" si="34"/>
        <v>9.8630136986301367E-2</v>
      </c>
      <c r="O98">
        <f t="shared" si="35"/>
        <v>41.256414448299999</v>
      </c>
      <c r="P98" s="212">
        <f t="shared" si="36"/>
        <v>139</v>
      </c>
      <c r="Q98">
        <f t="shared" si="37"/>
        <v>41.256414448299999</v>
      </c>
      <c r="R98" t="e">
        <f t="shared" si="38"/>
        <v>#N/A</v>
      </c>
      <c r="S98" t="e">
        <f t="shared" si="39"/>
        <v>#N/A</v>
      </c>
    </row>
    <row r="99" spans="1:19" x14ac:dyDescent="0.2">
      <c r="A99" s="6">
        <f t="shared" si="40"/>
        <v>91</v>
      </c>
      <c r="B99">
        <f t="shared" si="42"/>
        <v>140</v>
      </c>
      <c r="C99">
        <f t="shared" si="42"/>
        <v>100</v>
      </c>
      <c r="D99">
        <f t="shared" si="42"/>
        <v>45239.563726851855</v>
      </c>
      <c r="E99">
        <f t="shared" si="42"/>
        <v>45605.563726851855</v>
      </c>
      <c r="F99" s="17">
        <f t="shared" si="31"/>
        <v>366</v>
      </c>
      <c r="G99" s="18">
        <f t="shared" si="32"/>
        <v>1.0027397260273974</v>
      </c>
      <c r="H99">
        <f t="shared" ref="H99:L109" si="44">IF(ShowSeries1,IF(AND(ChartMode=2,ChartLines13=H$4),Series1Input,IF(ChartX13=H$4,$P99,H$7)),"")</f>
        <v>0.3</v>
      </c>
      <c r="I99">
        <f t="shared" si="44"/>
        <v>5.2999999999999999E-2</v>
      </c>
      <c r="J99">
        <f t="shared" si="44"/>
        <v>0</v>
      </c>
      <c r="K99">
        <f t="shared" si="44"/>
        <v>5</v>
      </c>
      <c r="L99">
        <f t="shared" si="44"/>
        <v>45275.563726851855</v>
      </c>
      <c r="M99" s="17">
        <f t="shared" si="33"/>
        <v>36</v>
      </c>
      <c r="N99" s="18">
        <f t="shared" si="34"/>
        <v>9.8630136986301367E-2</v>
      </c>
      <c r="O99">
        <f t="shared" si="35"/>
        <v>42.162115038899998</v>
      </c>
      <c r="P99" s="212">
        <f t="shared" si="36"/>
        <v>140</v>
      </c>
      <c r="Q99">
        <f t="shared" si="37"/>
        <v>42.162115038899998</v>
      </c>
      <c r="R99" t="e">
        <f t="shared" si="38"/>
        <v>#N/A</v>
      </c>
      <c r="S99" t="e">
        <f t="shared" si="39"/>
        <v>#N/A</v>
      </c>
    </row>
    <row r="100" spans="1:19" x14ac:dyDescent="0.2">
      <c r="A100" s="6">
        <f t="shared" si="40"/>
        <v>92</v>
      </c>
      <c r="B100">
        <f t="shared" si="42"/>
        <v>141</v>
      </c>
      <c r="C100">
        <f t="shared" si="42"/>
        <v>100</v>
      </c>
      <c r="D100">
        <f t="shared" si="42"/>
        <v>45239.563726851855</v>
      </c>
      <c r="E100">
        <f t="shared" si="42"/>
        <v>45605.563726851855</v>
      </c>
      <c r="F100" s="17">
        <f t="shared" si="31"/>
        <v>366</v>
      </c>
      <c r="G100" s="18">
        <f t="shared" si="32"/>
        <v>1.0027397260273974</v>
      </c>
      <c r="H100">
        <f t="shared" si="44"/>
        <v>0.3</v>
      </c>
      <c r="I100">
        <f t="shared" si="44"/>
        <v>5.2999999999999999E-2</v>
      </c>
      <c r="J100">
        <f t="shared" si="44"/>
        <v>0</v>
      </c>
      <c r="K100">
        <f t="shared" si="44"/>
        <v>5</v>
      </c>
      <c r="L100">
        <f t="shared" si="44"/>
        <v>45275.563726851855</v>
      </c>
      <c r="M100" s="17">
        <f t="shared" si="33"/>
        <v>36</v>
      </c>
      <c r="N100" s="18">
        <f t="shared" si="34"/>
        <v>9.8630136986301367E-2</v>
      </c>
      <c r="O100">
        <f t="shared" si="35"/>
        <v>43.071962979600002</v>
      </c>
      <c r="P100" s="212">
        <f t="shared" si="36"/>
        <v>141</v>
      </c>
      <c r="Q100">
        <f t="shared" si="37"/>
        <v>43.071962979600002</v>
      </c>
      <c r="R100" t="e">
        <f t="shared" si="38"/>
        <v>#N/A</v>
      </c>
      <c r="S100" t="e">
        <f t="shared" si="39"/>
        <v>#N/A</v>
      </c>
    </row>
    <row r="101" spans="1:19" x14ac:dyDescent="0.2">
      <c r="A101" s="6">
        <f t="shared" si="40"/>
        <v>93</v>
      </c>
      <c r="B101">
        <f t="shared" si="42"/>
        <v>142</v>
      </c>
      <c r="C101">
        <f t="shared" si="42"/>
        <v>100</v>
      </c>
      <c r="D101">
        <f t="shared" si="42"/>
        <v>45239.563726851855</v>
      </c>
      <c r="E101">
        <f t="shared" si="42"/>
        <v>45605.563726851855</v>
      </c>
      <c r="F101" s="17">
        <f t="shared" si="31"/>
        <v>366</v>
      </c>
      <c r="G101" s="18">
        <f t="shared" si="32"/>
        <v>1.0027397260273974</v>
      </c>
      <c r="H101">
        <f t="shared" si="44"/>
        <v>0.3</v>
      </c>
      <c r="I101">
        <f t="shared" si="44"/>
        <v>5.2999999999999999E-2</v>
      </c>
      <c r="J101">
        <f t="shared" si="44"/>
        <v>0</v>
      </c>
      <c r="K101">
        <f t="shared" si="44"/>
        <v>5</v>
      </c>
      <c r="L101">
        <f t="shared" si="44"/>
        <v>45275.563726851855</v>
      </c>
      <c r="M101" s="17">
        <f t="shared" si="33"/>
        <v>36</v>
      </c>
      <c r="N101" s="18">
        <f t="shared" si="34"/>
        <v>9.8630136986301367E-2</v>
      </c>
      <c r="O101">
        <f t="shared" si="35"/>
        <v>43.985750749799998</v>
      </c>
      <c r="P101" s="212">
        <f t="shared" si="36"/>
        <v>142</v>
      </c>
      <c r="Q101">
        <f t="shared" si="37"/>
        <v>43.985750749799998</v>
      </c>
      <c r="R101" t="e">
        <f t="shared" si="38"/>
        <v>#N/A</v>
      </c>
      <c r="S101" t="e">
        <f t="shared" si="39"/>
        <v>#N/A</v>
      </c>
    </row>
    <row r="102" spans="1:19" x14ac:dyDescent="0.2">
      <c r="A102" s="6">
        <f t="shared" si="40"/>
        <v>94</v>
      </c>
      <c r="B102">
        <f t="shared" si="42"/>
        <v>143</v>
      </c>
      <c r="C102">
        <f t="shared" si="42"/>
        <v>100</v>
      </c>
      <c r="D102">
        <f t="shared" si="42"/>
        <v>45239.563726851855</v>
      </c>
      <c r="E102">
        <f t="shared" si="42"/>
        <v>45605.563726851855</v>
      </c>
      <c r="F102" s="17">
        <f t="shared" si="31"/>
        <v>366</v>
      </c>
      <c r="G102" s="18">
        <f t="shared" si="32"/>
        <v>1.0027397260273974</v>
      </c>
      <c r="H102">
        <f t="shared" si="44"/>
        <v>0.3</v>
      </c>
      <c r="I102">
        <f t="shared" si="44"/>
        <v>5.2999999999999999E-2</v>
      </c>
      <c r="J102">
        <f t="shared" si="44"/>
        <v>0</v>
      </c>
      <c r="K102">
        <f t="shared" si="44"/>
        <v>5</v>
      </c>
      <c r="L102">
        <f t="shared" si="44"/>
        <v>45275.563726851855</v>
      </c>
      <c r="M102" s="17">
        <f t="shared" si="33"/>
        <v>36</v>
      </c>
      <c r="N102" s="18">
        <f t="shared" si="34"/>
        <v>9.8630136986301367E-2</v>
      </c>
      <c r="O102">
        <f t="shared" si="35"/>
        <v>44.903321670700002</v>
      </c>
      <c r="P102" s="212">
        <f t="shared" si="36"/>
        <v>143</v>
      </c>
      <c r="Q102">
        <f t="shared" si="37"/>
        <v>44.903321670700002</v>
      </c>
      <c r="R102" t="e">
        <f t="shared" si="38"/>
        <v>#N/A</v>
      </c>
      <c r="S102" t="e">
        <f t="shared" si="39"/>
        <v>#N/A</v>
      </c>
    </row>
    <row r="103" spans="1:19" x14ac:dyDescent="0.2">
      <c r="A103" s="6">
        <f t="shared" si="40"/>
        <v>95</v>
      </c>
      <c r="B103">
        <f t="shared" si="42"/>
        <v>144</v>
      </c>
      <c r="C103">
        <f t="shared" si="42"/>
        <v>100</v>
      </c>
      <c r="D103">
        <f t="shared" si="42"/>
        <v>45239.563726851855</v>
      </c>
      <c r="E103">
        <f t="shared" si="42"/>
        <v>45605.563726851855</v>
      </c>
      <c r="F103" s="17">
        <f t="shared" si="31"/>
        <v>366</v>
      </c>
      <c r="G103" s="18">
        <f t="shared" si="32"/>
        <v>1.0027397260273974</v>
      </c>
      <c r="H103">
        <f t="shared" si="44"/>
        <v>0.3</v>
      </c>
      <c r="I103">
        <f t="shared" si="44"/>
        <v>5.2999999999999999E-2</v>
      </c>
      <c r="J103">
        <f t="shared" si="44"/>
        <v>0</v>
      </c>
      <c r="K103">
        <f t="shared" si="44"/>
        <v>5</v>
      </c>
      <c r="L103">
        <f t="shared" si="44"/>
        <v>45275.563726851855</v>
      </c>
      <c r="M103" s="17">
        <f t="shared" si="33"/>
        <v>36</v>
      </c>
      <c r="N103" s="18">
        <f t="shared" si="34"/>
        <v>9.8630136986301367E-2</v>
      </c>
      <c r="O103">
        <f t="shared" si="35"/>
        <v>45.824524182200001</v>
      </c>
      <c r="P103" s="212">
        <f t="shared" si="36"/>
        <v>144</v>
      </c>
      <c r="Q103">
        <f t="shared" si="37"/>
        <v>45.824524182200001</v>
      </c>
      <c r="R103" t="e">
        <f t="shared" si="38"/>
        <v>#N/A</v>
      </c>
      <c r="S103" t="e">
        <f t="shared" si="39"/>
        <v>#N/A</v>
      </c>
    </row>
    <row r="104" spans="1:19" x14ac:dyDescent="0.2">
      <c r="A104" s="6">
        <f t="shared" si="40"/>
        <v>96</v>
      </c>
      <c r="B104">
        <f t="shared" si="42"/>
        <v>145</v>
      </c>
      <c r="C104">
        <f t="shared" si="42"/>
        <v>100</v>
      </c>
      <c r="D104">
        <f t="shared" si="42"/>
        <v>45239.563726851855</v>
      </c>
      <c r="E104">
        <f t="shared" si="42"/>
        <v>45605.563726851855</v>
      </c>
      <c r="F104" s="17">
        <f t="shared" si="31"/>
        <v>366</v>
      </c>
      <c r="G104" s="18">
        <f t="shared" si="32"/>
        <v>1.0027397260273974</v>
      </c>
      <c r="H104">
        <f t="shared" si="44"/>
        <v>0.3</v>
      </c>
      <c r="I104">
        <f t="shared" si="44"/>
        <v>5.2999999999999999E-2</v>
      </c>
      <c r="J104">
        <f t="shared" si="44"/>
        <v>0</v>
      </c>
      <c r="K104">
        <f t="shared" si="44"/>
        <v>5</v>
      </c>
      <c r="L104">
        <f t="shared" si="44"/>
        <v>45275.563726851855</v>
      </c>
      <c r="M104" s="17">
        <f t="shared" si="33"/>
        <v>36</v>
      </c>
      <c r="N104" s="18">
        <f t="shared" si="34"/>
        <v>9.8630136986301367E-2</v>
      </c>
      <c r="O104">
        <f t="shared" si="35"/>
        <v>46.749211758000001</v>
      </c>
      <c r="P104" s="212">
        <f t="shared" si="36"/>
        <v>145</v>
      </c>
      <c r="Q104">
        <f t="shared" si="37"/>
        <v>46.749211758000001</v>
      </c>
      <c r="R104" t="e">
        <f t="shared" si="38"/>
        <v>#N/A</v>
      </c>
      <c r="S104" t="e">
        <f t="shared" si="39"/>
        <v>#N/A</v>
      </c>
    </row>
    <row r="105" spans="1:19" x14ac:dyDescent="0.2">
      <c r="A105" s="6">
        <f t="shared" si="40"/>
        <v>97</v>
      </c>
      <c r="B105">
        <f t="shared" si="42"/>
        <v>146</v>
      </c>
      <c r="C105">
        <f t="shared" si="42"/>
        <v>100</v>
      </c>
      <c r="D105">
        <f t="shared" si="42"/>
        <v>45239.563726851855</v>
      </c>
      <c r="E105">
        <f t="shared" si="42"/>
        <v>45605.563726851855</v>
      </c>
      <c r="F105" s="17">
        <f t="shared" ref="F105:F109" si="45">IF(ShowSeries1,IF(AND(ChartMode=2,ChartLines13=F$4),Series1Input,IF(ChartX13=F$4,$P105,IF(TimeAs=1,E105-D105,IF(TimeAs=2,F$7,G105*DaysPerYear)))),"")</f>
        <v>366</v>
      </c>
      <c r="G105" s="18">
        <f t="shared" ref="G105:G109" si="46">IF(ShowSeries1,IF(AND(ChartMode=2,ChartLines13=G$4),Series1Input,IF(ChartX13=G$4,$P105,IF(TimeAs&lt;3,F105/DaysPerYear,G$7))),"")</f>
        <v>1.0027397260273974</v>
      </c>
      <c r="H105">
        <f t="shared" si="44"/>
        <v>0.3</v>
      </c>
      <c r="I105">
        <f t="shared" si="44"/>
        <v>5.2999999999999999E-2</v>
      </c>
      <c r="J105">
        <f t="shared" si="44"/>
        <v>0</v>
      </c>
      <c r="K105">
        <f t="shared" si="44"/>
        <v>5</v>
      </c>
      <c r="L105">
        <f t="shared" si="44"/>
        <v>45275.563726851855</v>
      </c>
      <c r="M105" s="17">
        <f t="shared" ref="M105:M109" si="47">IF(ShowSeries1,IF(AND(ChartMode=2,ChartLines13=M$4),Series1Input,IF(ChartX13=M$4,$P105,IF(ExDivAs=1,L105-D105,IF(ExDivAs=2,M$7,N105*DaysPerYear)))),"")</f>
        <v>36</v>
      </c>
      <c r="N105" s="18">
        <f t="shared" ref="N105:N109" si="48">IF(ShowSeries1,IF(AND(ChartMode=2,ChartLines13=N$4),Series1Input,IF(ChartX13=N$4,$P105,IF(ExDivAs&lt;3,M105/DaysPerYear,N$7))),"")</f>
        <v>9.8630136986301367E-2</v>
      </c>
      <c r="O105">
        <f t="shared" si="35"/>
        <v>47.677242814800003</v>
      </c>
      <c r="P105" s="212">
        <f t="shared" si="36"/>
        <v>146</v>
      </c>
      <c r="Q105">
        <f t="shared" si="37"/>
        <v>47.677242814800003</v>
      </c>
      <c r="R105" t="e">
        <f t="shared" si="38"/>
        <v>#N/A</v>
      </c>
      <c r="S105" t="e">
        <f t="shared" si="39"/>
        <v>#N/A</v>
      </c>
    </row>
    <row r="106" spans="1:19" x14ac:dyDescent="0.2">
      <c r="A106" s="6">
        <f t="shared" si="40"/>
        <v>98</v>
      </c>
      <c r="B106">
        <f t="shared" si="42"/>
        <v>147</v>
      </c>
      <c r="C106">
        <f t="shared" si="42"/>
        <v>100</v>
      </c>
      <c r="D106">
        <f t="shared" si="42"/>
        <v>45239.563726851855</v>
      </c>
      <c r="E106">
        <f t="shared" si="42"/>
        <v>45605.563726851855</v>
      </c>
      <c r="F106" s="17">
        <f t="shared" si="45"/>
        <v>366</v>
      </c>
      <c r="G106" s="18">
        <f t="shared" si="46"/>
        <v>1.0027397260273974</v>
      </c>
      <c r="H106">
        <f t="shared" si="44"/>
        <v>0.3</v>
      </c>
      <c r="I106">
        <f t="shared" si="44"/>
        <v>5.2999999999999999E-2</v>
      </c>
      <c r="J106">
        <f t="shared" si="44"/>
        <v>0</v>
      </c>
      <c r="K106">
        <f t="shared" si="44"/>
        <v>5</v>
      </c>
      <c r="L106">
        <f t="shared" si="44"/>
        <v>45275.563726851855</v>
      </c>
      <c r="M106" s="17">
        <f t="shared" si="47"/>
        <v>36</v>
      </c>
      <c r="N106" s="18">
        <f t="shared" si="48"/>
        <v>9.8630136986301367E-2</v>
      </c>
      <c r="O106">
        <f t="shared" si="35"/>
        <v>48.608480616999998</v>
      </c>
      <c r="P106" s="212">
        <f t="shared" si="36"/>
        <v>147</v>
      </c>
      <c r="Q106">
        <f t="shared" si="37"/>
        <v>48.608480616999998</v>
      </c>
      <c r="R106" t="e">
        <f t="shared" si="38"/>
        <v>#N/A</v>
      </c>
      <c r="S106" t="e">
        <f t="shared" si="39"/>
        <v>#N/A</v>
      </c>
    </row>
    <row r="107" spans="1:19" x14ac:dyDescent="0.2">
      <c r="A107" s="6">
        <f t="shared" si="40"/>
        <v>99</v>
      </c>
      <c r="B107">
        <f t="shared" si="42"/>
        <v>148</v>
      </c>
      <c r="C107">
        <f t="shared" si="42"/>
        <v>100</v>
      </c>
      <c r="D107">
        <f t="shared" si="42"/>
        <v>45239.563726851855</v>
      </c>
      <c r="E107">
        <f t="shared" si="42"/>
        <v>45605.563726851855</v>
      </c>
      <c r="F107" s="17">
        <f t="shared" si="45"/>
        <v>366</v>
      </c>
      <c r="G107" s="18">
        <f t="shared" si="46"/>
        <v>1.0027397260273974</v>
      </c>
      <c r="H107">
        <f t="shared" si="44"/>
        <v>0.3</v>
      </c>
      <c r="I107">
        <f t="shared" si="44"/>
        <v>5.2999999999999999E-2</v>
      </c>
      <c r="J107">
        <f t="shared" si="44"/>
        <v>0</v>
      </c>
      <c r="K107">
        <f t="shared" si="44"/>
        <v>5</v>
      </c>
      <c r="L107">
        <f t="shared" si="44"/>
        <v>45275.563726851855</v>
      </c>
      <c r="M107" s="17">
        <f t="shared" si="47"/>
        <v>36</v>
      </c>
      <c r="N107" s="18">
        <f t="shared" si="48"/>
        <v>9.8630136986301367E-2</v>
      </c>
      <c r="O107">
        <f t="shared" si="35"/>
        <v>49.542793177699998</v>
      </c>
      <c r="P107" s="212">
        <f t="shared" si="36"/>
        <v>148</v>
      </c>
      <c r="Q107">
        <f t="shared" si="37"/>
        <v>49.542793177699998</v>
      </c>
      <c r="R107" t="e">
        <f t="shared" si="38"/>
        <v>#N/A</v>
      </c>
      <c r="S107" t="e">
        <f t="shared" si="39"/>
        <v>#N/A</v>
      </c>
    </row>
    <row r="108" spans="1:19" x14ac:dyDescent="0.2">
      <c r="A108" s="6">
        <f t="shared" si="40"/>
        <v>100</v>
      </c>
      <c r="B108">
        <f t="shared" si="42"/>
        <v>149</v>
      </c>
      <c r="C108">
        <f t="shared" si="42"/>
        <v>100</v>
      </c>
      <c r="D108">
        <f t="shared" si="42"/>
        <v>45239.563726851855</v>
      </c>
      <c r="E108">
        <f t="shared" si="42"/>
        <v>45605.563726851855</v>
      </c>
      <c r="F108" s="17">
        <f t="shared" si="45"/>
        <v>366</v>
      </c>
      <c r="G108" s="18">
        <f t="shared" si="46"/>
        <v>1.0027397260273974</v>
      </c>
      <c r="H108">
        <f t="shared" si="44"/>
        <v>0.3</v>
      </c>
      <c r="I108">
        <f t="shared" si="44"/>
        <v>5.2999999999999999E-2</v>
      </c>
      <c r="J108">
        <f t="shared" si="44"/>
        <v>0</v>
      </c>
      <c r="K108">
        <f t="shared" si="44"/>
        <v>5</v>
      </c>
      <c r="L108">
        <f t="shared" si="44"/>
        <v>45275.563726851855</v>
      </c>
      <c r="M108" s="17">
        <f t="shared" si="47"/>
        <v>36</v>
      </c>
      <c r="N108" s="18">
        <f t="shared" si="48"/>
        <v>9.8630136986301367E-2</v>
      </c>
      <c r="O108">
        <f t="shared" si="35"/>
        <v>50.480383580800002</v>
      </c>
      <c r="P108" s="212">
        <f t="shared" si="36"/>
        <v>149</v>
      </c>
      <c r="Q108">
        <f t="shared" si="37"/>
        <v>50.480383580800002</v>
      </c>
      <c r="R108" t="e">
        <f t="shared" si="38"/>
        <v>#N/A</v>
      </c>
      <c r="S108" t="e">
        <f t="shared" si="39"/>
        <v>#N/A</v>
      </c>
    </row>
    <row r="109" spans="1:19" x14ac:dyDescent="0.2">
      <c r="A109" s="6">
        <f t="shared" si="40"/>
        <v>101</v>
      </c>
      <c r="B109">
        <f t="shared" si="42"/>
        <v>150</v>
      </c>
      <c r="C109">
        <f t="shared" si="42"/>
        <v>100</v>
      </c>
      <c r="D109">
        <f t="shared" si="42"/>
        <v>45239.563726851855</v>
      </c>
      <c r="E109">
        <f t="shared" si="42"/>
        <v>45605.563726851855</v>
      </c>
      <c r="F109" s="17">
        <f t="shared" si="45"/>
        <v>366</v>
      </c>
      <c r="G109" s="18">
        <f t="shared" si="46"/>
        <v>1.0027397260273974</v>
      </c>
      <c r="H109">
        <f t="shared" si="44"/>
        <v>0.3</v>
      </c>
      <c r="I109">
        <f t="shared" si="44"/>
        <v>5.2999999999999999E-2</v>
      </c>
      <c r="J109">
        <f t="shared" si="44"/>
        <v>0</v>
      </c>
      <c r="K109">
        <f t="shared" si="44"/>
        <v>5</v>
      </c>
      <c r="L109">
        <f t="shared" si="44"/>
        <v>45275.563726851855</v>
      </c>
      <c r="M109" s="17">
        <f t="shared" si="47"/>
        <v>36</v>
      </c>
      <c r="N109" s="18">
        <f t="shared" si="48"/>
        <v>9.8630136986301367E-2</v>
      </c>
      <c r="O109">
        <f t="shared" si="35"/>
        <v>51.421098498500001</v>
      </c>
      <c r="P109" s="212">
        <f t="shared" si="36"/>
        <v>150</v>
      </c>
      <c r="Q109">
        <f t="shared" si="37"/>
        <v>51.421098498500001</v>
      </c>
      <c r="R109" t="e">
        <f t="shared" si="38"/>
        <v>#N/A</v>
      </c>
      <c r="S109" t="e">
        <f t="shared" si="39"/>
        <v>#N/A</v>
      </c>
    </row>
    <row r="110" spans="1:19" x14ac:dyDescent="0.2">
      <c r="A110" s="52" t="s">
        <v>50</v>
      </c>
      <c r="B110" s="3" t="s">
        <v>51</v>
      </c>
      <c r="C110" s="3" t="s">
        <v>40</v>
      </c>
      <c r="D110" s="3" t="s">
        <v>65</v>
      </c>
      <c r="E110" s="3" t="s">
        <v>66</v>
      </c>
      <c r="F110" s="3" t="s">
        <v>68</v>
      </c>
      <c r="G110" s="3" t="s">
        <v>290</v>
      </c>
      <c r="H110" s="3" t="s">
        <v>52</v>
      </c>
      <c r="I110" s="3" t="s">
        <v>54</v>
      </c>
      <c r="J110" s="3" t="s">
        <v>53</v>
      </c>
      <c r="K110" s="3" t="s">
        <v>64</v>
      </c>
      <c r="L110" s="3" t="s">
        <v>67</v>
      </c>
      <c r="M110" s="3" t="s">
        <v>69</v>
      </c>
      <c r="N110" s="53" t="s">
        <v>291</v>
      </c>
      <c r="O110" s="13" t="s">
        <v>200</v>
      </c>
      <c r="P110" s="4" t="s">
        <v>55</v>
      </c>
      <c r="Q110" s="4" t="s">
        <v>56</v>
      </c>
      <c r="R110" s="4" t="s">
        <v>57</v>
      </c>
      <c r="S110" s="23" t="s">
        <v>58</v>
      </c>
    </row>
    <row r="111" spans="1:19" x14ac:dyDescent="0.2">
      <c r="A111" s="5">
        <v>1</v>
      </c>
      <c r="B111" t="str">
        <f t="shared" ref="B111:E130" si="49">IF(ShowSeries2,IF(ChartLines13=B$4,Series2Input,IF(ChartX13=B$4,$P9,B$7)),"")</f>
        <v/>
      </c>
      <c r="C111" t="str">
        <f t="shared" si="49"/>
        <v/>
      </c>
      <c r="D111" t="str">
        <f t="shared" si="49"/>
        <v/>
      </c>
      <c r="E111" t="str">
        <f t="shared" si="49"/>
        <v/>
      </c>
      <c r="F111" s="18" t="str">
        <f t="shared" ref="F111:F142" si="50">IF(ShowSeries2,IF(ChartLines13=F$4,Series2Input,IF(ChartX13=F$4,$P9,IF(TimeAs=1,E111-D111,IF(TimeAs=2,F$7,G111*DaysPerYear)))),"")</f>
        <v/>
      </c>
      <c r="G111" s="17" t="str">
        <f t="shared" ref="G111:G142" si="51">IF(ShowSeries2,IF(ChartLines13=G$4,Series2Input,IF(ChartX13=G$4,$P9,IF(TimeAs&lt;3,F111/DaysPerYear,G$7))),"")</f>
        <v/>
      </c>
      <c r="H111" t="str">
        <f t="shared" ref="H111:L120" si="52">IF(ShowSeries2,IF(ChartLines13=H$4,Series2Input,IF(ChartX13=H$4,$P9,H$7)),"")</f>
        <v/>
      </c>
      <c r="I111" t="str">
        <f t="shared" si="52"/>
        <v/>
      </c>
      <c r="J111" t="str">
        <f t="shared" si="52"/>
        <v/>
      </c>
      <c r="K111" t="str">
        <f t="shared" si="52"/>
        <v/>
      </c>
      <c r="L111" t="str">
        <f t="shared" si="52"/>
        <v/>
      </c>
      <c r="M111" s="18" t="str">
        <f t="shared" ref="M111:M142" si="53">IF(ShowSeries2,IF(ChartLines13=M$4,Series2Input,IF(ChartX13=M$4,$P9,IF(ExDivAs=1,L111-D111,IF(ExDivAs=2,M$7,N111*DaysPerYear)))),"")</f>
        <v/>
      </c>
      <c r="N111" s="17" t="str">
        <f t="shared" ref="N111:N142" si="54">IF(ShowSeries2,IF(ChartLines13=N$4,Series2Input,IF(ChartX13=N$4,$P9,IF(ExDivAs&lt;3,M111/DaysPerYear,N$7))),"")</f>
        <v/>
      </c>
      <c r="O111" t="str">
        <f t="shared" ref="O111:O142" si="55">IF(ShowSeries2,BinOp($B111,$C111,$G111,$H111,$J111,$I111,CallPut,AmEur,Model,Steps,ModelOutput,$K111,$N111),"")</f>
        <v/>
      </c>
    </row>
    <row r="112" spans="1:19" x14ac:dyDescent="0.2">
      <c r="A112" s="6">
        <f>A111+1</f>
        <v>2</v>
      </c>
      <c r="B112" t="str">
        <f t="shared" si="49"/>
        <v/>
      </c>
      <c r="C112" t="str">
        <f t="shared" si="49"/>
        <v/>
      </c>
      <c r="D112" t="str">
        <f t="shared" si="49"/>
        <v/>
      </c>
      <c r="E112" t="str">
        <f t="shared" si="49"/>
        <v/>
      </c>
      <c r="F112" s="18" t="str">
        <f t="shared" si="50"/>
        <v/>
      </c>
      <c r="G112" s="17" t="str">
        <f t="shared" si="51"/>
        <v/>
      </c>
      <c r="H112" t="str">
        <f t="shared" si="52"/>
        <v/>
      </c>
      <c r="I112" t="str">
        <f t="shared" si="52"/>
        <v/>
      </c>
      <c r="J112" t="str">
        <f t="shared" si="52"/>
        <v/>
      </c>
      <c r="K112" t="str">
        <f t="shared" si="52"/>
        <v/>
      </c>
      <c r="L112" t="str">
        <f t="shared" si="52"/>
        <v/>
      </c>
      <c r="M112" s="18" t="str">
        <f t="shared" si="53"/>
        <v/>
      </c>
      <c r="N112" s="17" t="str">
        <f t="shared" si="54"/>
        <v/>
      </c>
      <c r="O112" t="str">
        <f t="shared" si="55"/>
        <v/>
      </c>
    </row>
    <row r="113" spans="1:15" x14ac:dyDescent="0.2">
      <c r="A113" s="6">
        <f t="shared" ref="A113:A176" si="56">A112+1</f>
        <v>3</v>
      </c>
      <c r="B113" t="str">
        <f t="shared" si="49"/>
        <v/>
      </c>
      <c r="C113" t="str">
        <f t="shared" si="49"/>
        <v/>
      </c>
      <c r="D113" t="str">
        <f t="shared" si="49"/>
        <v/>
      </c>
      <c r="E113" t="str">
        <f t="shared" si="49"/>
        <v/>
      </c>
      <c r="F113" s="18" t="str">
        <f t="shared" si="50"/>
        <v/>
      </c>
      <c r="G113" s="17" t="str">
        <f t="shared" si="51"/>
        <v/>
      </c>
      <c r="H113" t="str">
        <f t="shared" si="52"/>
        <v/>
      </c>
      <c r="I113" t="str">
        <f t="shared" si="52"/>
        <v/>
      </c>
      <c r="J113" t="str">
        <f t="shared" si="52"/>
        <v/>
      </c>
      <c r="K113" t="str">
        <f t="shared" si="52"/>
        <v/>
      </c>
      <c r="L113" t="str">
        <f t="shared" si="52"/>
        <v/>
      </c>
      <c r="M113" s="18" t="str">
        <f t="shared" si="53"/>
        <v/>
      </c>
      <c r="N113" s="17" t="str">
        <f t="shared" si="54"/>
        <v/>
      </c>
      <c r="O113" t="str">
        <f t="shared" si="55"/>
        <v/>
      </c>
    </row>
    <row r="114" spans="1:15" x14ac:dyDescent="0.2">
      <c r="A114" s="6">
        <f t="shared" si="56"/>
        <v>4</v>
      </c>
      <c r="B114" t="str">
        <f t="shared" si="49"/>
        <v/>
      </c>
      <c r="C114" t="str">
        <f t="shared" si="49"/>
        <v/>
      </c>
      <c r="D114" t="str">
        <f t="shared" si="49"/>
        <v/>
      </c>
      <c r="E114" t="str">
        <f t="shared" si="49"/>
        <v/>
      </c>
      <c r="F114" s="18" t="str">
        <f t="shared" si="50"/>
        <v/>
      </c>
      <c r="G114" s="17" t="str">
        <f t="shared" si="51"/>
        <v/>
      </c>
      <c r="H114" t="str">
        <f t="shared" si="52"/>
        <v/>
      </c>
      <c r="I114" t="str">
        <f t="shared" si="52"/>
        <v/>
      </c>
      <c r="J114" t="str">
        <f t="shared" si="52"/>
        <v/>
      </c>
      <c r="K114" t="str">
        <f t="shared" si="52"/>
        <v/>
      </c>
      <c r="L114" t="str">
        <f t="shared" si="52"/>
        <v/>
      </c>
      <c r="M114" s="18" t="str">
        <f t="shared" si="53"/>
        <v/>
      </c>
      <c r="N114" s="17" t="str">
        <f t="shared" si="54"/>
        <v/>
      </c>
      <c r="O114" t="str">
        <f t="shared" si="55"/>
        <v/>
      </c>
    </row>
    <row r="115" spans="1:15" x14ac:dyDescent="0.2">
      <c r="A115" s="6">
        <f t="shared" si="56"/>
        <v>5</v>
      </c>
      <c r="B115" t="str">
        <f t="shared" si="49"/>
        <v/>
      </c>
      <c r="C115" t="str">
        <f t="shared" si="49"/>
        <v/>
      </c>
      <c r="D115" t="str">
        <f t="shared" si="49"/>
        <v/>
      </c>
      <c r="E115" t="str">
        <f t="shared" si="49"/>
        <v/>
      </c>
      <c r="F115" s="18" t="str">
        <f t="shared" si="50"/>
        <v/>
      </c>
      <c r="G115" s="17" t="str">
        <f t="shared" si="51"/>
        <v/>
      </c>
      <c r="H115" t="str">
        <f t="shared" si="52"/>
        <v/>
      </c>
      <c r="I115" t="str">
        <f t="shared" si="52"/>
        <v/>
      </c>
      <c r="J115" t="str">
        <f t="shared" si="52"/>
        <v/>
      </c>
      <c r="K115" t="str">
        <f t="shared" si="52"/>
        <v/>
      </c>
      <c r="L115" t="str">
        <f t="shared" si="52"/>
        <v/>
      </c>
      <c r="M115" s="18" t="str">
        <f t="shared" si="53"/>
        <v/>
      </c>
      <c r="N115" s="17" t="str">
        <f t="shared" si="54"/>
        <v/>
      </c>
      <c r="O115" t="str">
        <f t="shared" si="55"/>
        <v/>
      </c>
    </row>
    <row r="116" spans="1:15" x14ac:dyDescent="0.2">
      <c r="A116" s="6">
        <f t="shared" si="56"/>
        <v>6</v>
      </c>
      <c r="B116" t="str">
        <f t="shared" si="49"/>
        <v/>
      </c>
      <c r="C116" t="str">
        <f t="shared" si="49"/>
        <v/>
      </c>
      <c r="D116" t="str">
        <f t="shared" si="49"/>
        <v/>
      </c>
      <c r="E116" t="str">
        <f t="shared" si="49"/>
        <v/>
      </c>
      <c r="F116" s="18" t="str">
        <f t="shared" si="50"/>
        <v/>
      </c>
      <c r="G116" s="17" t="str">
        <f t="shared" si="51"/>
        <v/>
      </c>
      <c r="H116" t="str">
        <f t="shared" si="52"/>
        <v/>
      </c>
      <c r="I116" t="str">
        <f t="shared" si="52"/>
        <v/>
      </c>
      <c r="J116" t="str">
        <f t="shared" si="52"/>
        <v/>
      </c>
      <c r="K116" t="str">
        <f t="shared" si="52"/>
        <v/>
      </c>
      <c r="L116" t="str">
        <f t="shared" si="52"/>
        <v/>
      </c>
      <c r="M116" s="18" t="str">
        <f t="shared" si="53"/>
        <v/>
      </c>
      <c r="N116" s="17" t="str">
        <f t="shared" si="54"/>
        <v/>
      </c>
      <c r="O116" t="str">
        <f t="shared" si="55"/>
        <v/>
      </c>
    </row>
    <row r="117" spans="1:15" x14ac:dyDescent="0.2">
      <c r="A117" s="6">
        <f t="shared" si="56"/>
        <v>7</v>
      </c>
      <c r="B117" t="str">
        <f t="shared" si="49"/>
        <v/>
      </c>
      <c r="C117" t="str">
        <f t="shared" si="49"/>
        <v/>
      </c>
      <c r="D117" t="str">
        <f t="shared" si="49"/>
        <v/>
      </c>
      <c r="E117" t="str">
        <f t="shared" si="49"/>
        <v/>
      </c>
      <c r="F117" s="18" t="str">
        <f t="shared" si="50"/>
        <v/>
      </c>
      <c r="G117" s="17" t="str">
        <f t="shared" si="51"/>
        <v/>
      </c>
      <c r="H117" t="str">
        <f t="shared" si="52"/>
        <v/>
      </c>
      <c r="I117" t="str">
        <f t="shared" si="52"/>
        <v/>
      </c>
      <c r="J117" t="str">
        <f t="shared" si="52"/>
        <v/>
      </c>
      <c r="K117" t="str">
        <f t="shared" si="52"/>
        <v/>
      </c>
      <c r="L117" t="str">
        <f t="shared" si="52"/>
        <v/>
      </c>
      <c r="M117" s="18" t="str">
        <f t="shared" si="53"/>
        <v/>
      </c>
      <c r="N117" s="17" t="str">
        <f t="shared" si="54"/>
        <v/>
      </c>
      <c r="O117" t="str">
        <f t="shared" si="55"/>
        <v/>
      </c>
    </row>
    <row r="118" spans="1:15" x14ac:dyDescent="0.2">
      <c r="A118" s="6">
        <f t="shared" si="56"/>
        <v>8</v>
      </c>
      <c r="B118" t="str">
        <f t="shared" si="49"/>
        <v/>
      </c>
      <c r="C118" t="str">
        <f t="shared" si="49"/>
        <v/>
      </c>
      <c r="D118" t="str">
        <f t="shared" si="49"/>
        <v/>
      </c>
      <c r="E118" t="str">
        <f t="shared" si="49"/>
        <v/>
      </c>
      <c r="F118" s="18" t="str">
        <f t="shared" si="50"/>
        <v/>
      </c>
      <c r="G118" s="17" t="str">
        <f t="shared" si="51"/>
        <v/>
      </c>
      <c r="H118" t="str">
        <f t="shared" si="52"/>
        <v/>
      </c>
      <c r="I118" t="str">
        <f t="shared" si="52"/>
        <v/>
      </c>
      <c r="J118" t="str">
        <f t="shared" si="52"/>
        <v/>
      </c>
      <c r="K118" t="str">
        <f t="shared" si="52"/>
        <v/>
      </c>
      <c r="L118" t="str">
        <f t="shared" si="52"/>
        <v/>
      </c>
      <c r="M118" s="18" t="str">
        <f t="shared" si="53"/>
        <v/>
      </c>
      <c r="N118" s="17" t="str">
        <f t="shared" si="54"/>
        <v/>
      </c>
      <c r="O118" t="str">
        <f t="shared" si="55"/>
        <v/>
      </c>
    </row>
    <row r="119" spans="1:15" x14ac:dyDescent="0.2">
      <c r="A119" s="6">
        <f t="shared" si="56"/>
        <v>9</v>
      </c>
      <c r="B119" t="str">
        <f t="shared" si="49"/>
        <v/>
      </c>
      <c r="C119" t="str">
        <f t="shared" si="49"/>
        <v/>
      </c>
      <c r="D119" t="str">
        <f t="shared" si="49"/>
        <v/>
      </c>
      <c r="E119" t="str">
        <f t="shared" si="49"/>
        <v/>
      </c>
      <c r="F119" s="18" t="str">
        <f t="shared" si="50"/>
        <v/>
      </c>
      <c r="G119" s="17" t="str">
        <f t="shared" si="51"/>
        <v/>
      </c>
      <c r="H119" t="str">
        <f t="shared" si="52"/>
        <v/>
      </c>
      <c r="I119" t="str">
        <f t="shared" si="52"/>
        <v/>
      </c>
      <c r="J119" t="str">
        <f t="shared" si="52"/>
        <v/>
      </c>
      <c r="K119" t="str">
        <f t="shared" si="52"/>
        <v/>
      </c>
      <c r="L119" t="str">
        <f t="shared" si="52"/>
        <v/>
      </c>
      <c r="M119" s="18" t="str">
        <f t="shared" si="53"/>
        <v/>
      </c>
      <c r="N119" s="17" t="str">
        <f t="shared" si="54"/>
        <v/>
      </c>
      <c r="O119" t="str">
        <f t="shared" si="55"/>
        <v/>
      </c>
    </row>
    <row r="120" spans="1:15" x14ac:dyDescent="0.2">
      <c r="A120" s="6">
        <f t="shared" si="56"/>
        <v>10</v>
      </c>
      <c r="B120" t="str">
        <f t="shared" si="49"/>
        <v/>
      </c>
      <c r="C120" t="str">
        <f t="shared" si="49"/>
        <v/>
      </c>
      <c r="D120" t="str">
        <f t="shared" si="49"/>
        <v/>
      </c>
      <c r="E120" t="str">
        <f t="shared" si="49"/>
        <v/>
      </c>
      <c r="F120" s="18" t="str">
        <f t="shared" si="50"/>
        <v/>
      </c>
      <c r="G120" s="17" t="str">
        <f t="shared" si="51"/>
        <v/>
      </c>
      <c r="H120" t="str">
        <f t="shared" si="52"/>
        <v/>
      </c>
      <c r="I120" t="str">
        <f t="shared" si="52"/>
        <v/>
      </c>
      <c r="J120" t="str">
        <f t="shared" si="52"/>
        <v/>
      </c>
      <c r="K120" t="str">
        <f t="shared" si="52"/>
        <v/>
      </c>
      <c r="L120" t="str">
        <f t="shared" si="52"/>
        <v/>
      </c>
      <c r="M120" s="18" t="str">
        <f t="shared" si="53"/>
        <v/>
      </c>
      <c r="N120" s="17" t="str">
        <f t="shared" si="54"/>
        <v/>
      </c>
      <c r="O120" t="str">
        <f t="shared" si="55"/>
        <v/>
      </c>
    </row>
    <row r="121" spans="1:15" x14ac:dyDescent="0.2">
      <c r="A121" s="6">
        <f t="shared" si="56"/>
        <v>11</v>
      </c>
      <c r="B121" t="str">
        <f t="shared" si="49"/>
        <v/>
      </c>
      <c r="C121" t="str">
        <f t="shared" si="49"/>
        <v/>
      </c>
      <c r="D121" t="str">
        <f t="shared" si="49"/>
        <v/>
      </c>
      <c r="E121" t="str">
        <f t="shared" si="49"/>
        <v/>
      </c>
      <c r="F121" s="18" t="str">
        <f t="shared" si="50"/>
        <v/>
      </c>
      <c r="G121" s="17" t="str">
        <f t="shared" si="51"/>
        <v/>
      </c>
      <c r="H121" t="str">
        <f t="shared" ref="H121:L130" si="57">IF(ShowSeries2,IF(ChartLines13=H$4,Series2Input,IF(ChartX13=H$4,$P19,H$7)),"")</f>
        <v/>
      </c>
      <c r="I121" t="str">
        <f t="shared" si="57"/>
        <v/>
      </c>
      <c r="J121" t="str">
        <f t="shared" si="57"/>
        <v/>
      </c>
      <c r="K121" t="str">
        <f t="shared" si="57"/>
        <v/>
      </c>
      <c r="L121" t="str">
        <f t="shared" si="57"/>
        <v/>
      </c>
      <c r="M121" s="18" t="str">
        <f t="shared" si="53"/>
        <v/>
      </c>
      <c r="N121" s="17" t="str">
        <f t="shared" si="54"/>
        <v/>
      </c>
      <c r="O121" t="str">
        <f t="shared" si="55"/>
        <v/>
      </c>
    </row>
    <row r="122" spans="1:15" x14ac:dyDescent="0.2">
      <c r="A122" s="6">
        <f t="shared" si="56"/>
        <v>12</v>
      </c>
      <c r="B122" t="str">
        <f t="shared" si="49"/>
        <v/>
      </c>
      <c r="C122" t="str">
        <f t="shared" si="49"/>
        <v/>
      </c>
      <c r="D122" t="str">
        <f t="shared" si="49"/>
        <v/>
      </c>
      <c r="E122" t="str">
        <f t="shared" si="49"/>
        <v/>
      </c>
      <c r="F122" s="18" t="str">
        <f t="shared" si="50"/>
        <v/>
      </c>
      <c r="G122" s="17" t="str">
        <f t="shared" si="51"/>
        <v/>
      </c>
      <c r="H122" t="str">
        <f t="shared" si="57"/>
        <v/>
      </c>
      <c r="I122" t="str">
        <f t="shared" si="57"/>
        <v/>
      </c>
      <c r="J122" t="str">
        <f t="shared" si="57"/>
        <v/>
      </c>
      <c r="K122" t="str">
        <f t="shared" si="57"/>
        <v/>
      </c>
      <c r="L122" t="str">
        <f t="shared" si="57"/>
        <v/>
      </c>
      <c r="M122" s="18" t="str">
        <f t="shared" si="53"/>
        <v/>
      </c>
      <c r="N122" s="17" t="str">
        <f t="shared" si="54"/>
        <v/>
      </c>
      <c r="O122" t="str">
        <f t="shared" si="55"/>
        <v/>
      </c>
    </row>
    <row r="123" spans="1:15" x14ac:dyDescent="0.2">
      <c r="A123" s="6">
        <f t="shared" si="56"/>
        <v>13</v>
      </c>
      <c r="B123" t="str">
        <f t="shared" si="49"/>
        <v/>
      </c>
      <c r="C123" t="str">
        <f t="shared" si="49"/>
        <v/>
      </c>
      <c r="D123" t="str">
        <f t="shared" si="49"/>
        <v/>
      </c>
      <c r="E123" t="str">
        <f t="shared" si="49"/>
        <v/>
      </c>
      <c r="F123" s="18" t="str">
        <f t="shared" si="50"/>
        <v/>
      </c>
      <c r="G123" s="17" t="str">
        <f t="shared" si="51"/>
        <v/>
      </c>
      <c r="H123" t="str">
        <f t="shared" si="57"/>
        <v/>
      </c>
      <c r="I123" t="str">
        <f t="shared" si="57"/>
        <v/>
      </c>
      <c r="J123" t="str">
        <f t="shared" si="57"/>
        <v/>
      </c>
      <c r="K123" t="str">
        <f t="shared" si="57"/>
        <v/>
      </c>
      <c r="L123" t="str">
        <f t="shared" si="57"/>
        <v/>
      </c>
      <c r="M123" s="18" t="str">
        <f t="shared" si="53"/>
        <v/>
      </c>
      <c r="N123" s="17" t="str">
        <f t="shared" si="54"/>
        <v/>
      </c>
      <c r="O123" t="str">
        <f t="shared" si="55"/>
        <v/>
      </c>
    </row>
    <row r="124" spans="1:15" x14ac:dyDescent="0.2">
      <c r="A124" s="6">
        <f t="shared" si="56"/>
        <v>14</v>
      </c>
      <c r="B124" t="str">
        <f t="shared" si="49"/>
        <v/>
      </c>
      <c r="C124" t="str">
        <f t="shared" si="49"/>
        <v/>
      </c>
      <c r="D124" t="str">
        <f t="shared" si="49"/>
        <v/>
      </c>
      <c r="E124" t="str">
        <f t="shared" si="49"/>
        <v/>
      </c>
      <c r="F124" s="18" t="str">
        <f t="shared" si="50"/>
        <v/>
      </c>
      <c r="G124" s="17" t="str">
        <f t="shared" si="51"/>
        <v/>
      </c>
      <c r="H124" t="str">
        <f t="shared" si="57"/>
        <v/>
      </c>
      <c r="I124" t="str">
        <f t="shared" si="57"/>
        <v/>
      </c>
      <c r="J124" t="str">
        <f t="shared" si="57"/>
        <v/>
      </c>
      <c r="K124" t="str">
        <f t="shared" si="57"/>
        <v/>
      </c>
      <c r="L124" t="str">
        <f t="shared" si="57"/>
        <v/>
      </c>
      <c r="M124" s="18" t="str">
        <f t="shared" si="53"/>
        <v/>
      </c>
      <c r="N124" s="17" t="str">
        <f t="shared" si="54"/>
        <v/>
      </c>
      <c r="O124" t="str">
        <f t="shared" si="55"/>
        <v/>
      </c>
    </row>
    <row r="125" spans="1:15" x14ac:dyDescent="0.2">
      <c r="A125" s="6">
        <f t="shared" si="56"/>
        <v>15</v>
      </c>
      <c r="B125" t="str">
        <f t="shared" si="49"/>
        <v/>
      </c>
      <c r="C125" t="str">
        <f t="shared" si="49"/>
        <v/>
      </c>
      <c r="D125" t="str">
        <f t="shared" si="49"/>
        <v/>
      </c>
      <c r="E125" t="str">
        <f t="shared" si="49"/>
        <v/>
      </c>
      <c r="F125" s="18" t="str">
        <f t="shared" si="50"/>
        <v/>
      </c>
      <c r="G125" s="17" t="str">
        <f t="shared" si="51"/>
        <v/>
      </c>
      <c r="H125" t="str">
        <f t="shared" si="57"/>
        <v/>
      </c>
      <c r="I125" t="str">
        <f t="shared" si="57"/>
        <v/>
      </c>
      <c r="J125" t="str">
        <f t="shared" si="57"/>
        <v/>
      </c>
      <c r="K125" t="str">
        <f t="shared" si="57"/>
        <v/>
      </c>
      <c r="L125" t="str">
        <f t="shared" si="57"/>
        <v/>
      </c>
      <c r="M125" s="18" t="str">
        <f t="shared" si="53"/>
        <v/>
      </c>
      <c r="N125" s="17" t="str">
        <f t="shared" si="54"/>
        <v/>
      </c>
      <c r="O125" t="str">
        <f t="shared" si="55"/>
        <v/>
      </c>
    </row>
    <row r="126" spans="1:15" x14ac:dyDescent="0.2">
      <c r="A126" s="6">
        <f t="shared" si="56"/>
        <v>16</v>
      </c>
      <c r="B126" t="str">
        <f t="shared" si="49"/>
        <v/>
      </c>
      <c r="C126" t="str">
        <f t="shared" si="49"/>
        <v/>
      </c>
      <c r="D126" t="str">
        <f t="shared" si="49"/>
        <v/>
      </c>
      <c r="E126" t="str">
        <f t="shared" si="49"/>
        <v/>
      </c>
      <c r="F126" s="18" t="str">
        <f t="shared" si="50"/>
        <v/>
      </c>
      <c r="G126" s="17" t="str">
        <f t="shared" si="51"/>
        <v/>
      </c>
      <c r="H126" t="str">
        <f t="shared" si="57"/>
        <v/>
      </c>
      <c r="I126" t="str">
        <f t="shared" si="57"/>
        <v/>
      </c>
      <c r="J126" t="str">
        <f t="shared" si="57"/>
        <v/>
      </c>
      <c r="K126" t="str">
        <f t="shared" si="57"/>
        <v/>
      </c>
      <c r="L126" t="str">
        <f t="shared" si="57"/>
        <v/>
      </c>
      <c r="M126" s="18" t="str">
        <f t="shared" si="53"/>
        <v/>
      </c>
      <c r="N126" s="17" t="str">
        <f t="shared" si="54"/>
        <v/>
      </c>
      <c r="O126" t="str">
        <f t="shared" si="55"/>
        <v/>
      </c>
    </row>
    <row r="127" spans="1:15" x14ac:dyDescent="0.2">
      <c r="A127" s="6">
        <f t="shared" si="56"/>
        <v>17</v>
      </c>
      <c r="B127" t="str">
        <f t="shared" si="49"/>
        <v/>
      </c>
      <c r="C127" t="str">
        <f t="shared" si="49"/>
        <v/>
      </c>
      <c r="D127" t="str">
        <f t="shared" si="49"/>
        <v/>
      </c>
      <c r="E127" t="str">
        <f t="shared" si="49"/>
        <v/>
      </c>
      <c r="F127" s="18" t="str">
        <f t="shared" si="50"/>
        <v/>
      </c>
      <c r="G127" s="17" t="str">
        <f t="shared" si="51"/>
        <v/>
      </c>
      <c r="H127" t="str">
        <f t="shared" si="57"/>
        <v/>
      </c>
      <c r="I127" t="str">
        <f t="shared" si="57"/>
        <v/>
      </c>
      <c r="J127" t="str">
        <f t="shared" si="57"/>
        <v/>
      </c>
      <c r="K127" t="str">
        <f t="shared" si="57"/>
        <v/>
      </c>
      <c r="L127" t="str">
        <f t="shared" si="57"/>
        <v/>
      </c>
      <c r="M127" s="18" t="str">
        <f t="shared" si="53"/>
        <v/>
      </c>
      <c r="N127" s="17" t="str">
        <f t="shared" si="54"/>
        <v/>
      </c>
      <c r="O127" t="str">
        <f t="shared" si="55"/>
        <v/>
      </c>
    </row>
    <row r="128" spans="1:15" x14ac:dyDescent="0.2">
      <c r="A128" s="6">
        <f t="shared" si="56"/>
        <v>18</v>
      </c>
      <c r="B128" t="str">
        <f t="shared" si="49"/>
        <v/>
      </c>
      <c r="C128" t="str">
        <f t="shared" si="49"/>
        <v/>
      </c>
      <c r="D128" t="str">
        <f t="shared" si="49"/>
        <v/>
      </c>
      <c r="E128" t="str">
        <f t="shared" si="49"/>
        <v/>
      </c>
      <c r="F128" s="18" t="str">
        <f t="shared" si="50"/>
        <v/>
      </c>
      <c r="G128" s="17" t="str">
        <f t="shared" si="51"/>
        <v/>
      </c>
      <c r="H128" t="str">
        <f t="shared" si="57"/>
        <v/>
      </c>
      <c r="I128" t="str">
        <f t="shared" si="57"/>
        <v/>
      </c>
      <c r="J128" t="str">
        <f t="shared" si="57"/>
        <v/>
      </c>
      <c r="K128" t="str">
        <f t="shared" si="57"/>
        <v/>
      </c>
      <c r="L128" t="str">
        <f t="shared" si="57"/>
        <v/>
      </c>
      <c r="M128" s="18" t="str">
        <f t="shared" si="53"/>
        <v/>
      </c>
      <c r="N128" s="17" t="str">
        <f t="shared" si="54"/>
        <v/>
      </c>
      <c r="O128" t="str">
        <f t="shared" si="55"/>
        <v/>
      </c>
    </row>
    <row r="129" spans="1:15" x14ac:dyDescent="0.2">
      <c r="A129" s="6">
        <f t="shared" si="56"/>
        <v>19</v>
      </c>
      <c r="B129" t="str">
        <f t="shared" si="49"/>
        <v/>
      </c>
      <c r="C129" t="str">
        <f t="shared" si="49"/>
        <v/>
      </c>
      <c r="D129" t="str">
        <f t="shared" si="49"/>
        <v/>
      </c>
      <c r="E129" t="str">
        <f t="shared" si="49"/>
        <v/>
      </c>
      <c r="F129" s="18" t="str">
        <f t="shared" si="50"/>
        <v/>
      </c>
      <c r="G129" s="17" t="str">
        <f t="shared" si="51"/>
        <v/>
      </c>
      <c r="H129" t="str">
        <f t="shared" si="57"/>
        <v/>
      </c>
      <c r="I129" t="str">
        <f t="shared" si="57"/>
        <v/>
      </c>
      <c r="J129" t="str">
        <f t="shared" si="57"/>
        <v/>
      </c>
      <c r="K129" t="str">
        <f t="shared" si="57"/>
        <v/>
      </c>
      <c r="L129" t="str">
        <f t="shared" si="57"/>
        <v/>
      </c>
      <c r="M129" s="18" t="str">
        <f t="shared" si="53"/>
        <v/>
      </c>
      <c r="N129" s="17" t="str">
        <f t="shared" si="54"/>
        <v/>
      </c>
      <c r="O129" t="str">
        <f t="shared" si="55"/>
        <v/>
      </c>
    </row>
    <row r="130" spans="1:15" x14ac:dyDescent="0.2">
      <c r="A130" s="6">
        <f t="shared" si="56"/>
        <v>20</v>
      </c>
      <c r="B130" t="str">
        <f t="shared" si="49"/>
        <v/>
      </c>
      <c r="C130" t="str">
        <f t="shared" si="49"/>
        <v/>
      </c>
      <c r="D130" t="str">
        <f t="shared" si="49"/>
        <v/>
      </c>
      <c r="E130" t="str">
        <f t="shared" si="49"/>
        <v/>
      </c>
      <c r="F130" s="18" t="str">
        <f t="shared" si="50"/>
        <v/>
      </c>
      <c r="G130" s="17" t="str">
        <f t="shared" si="51"/>
        <v/>
      </c>
      <c r="H130" t="str">
        <f t="shared" si="57"/>
        <v/>
      </c>
      <c r="I130" t="str">
        <f t="shared" si="57"/>
        <v/>
      </c>
      <c r="J130" t="str">
        <f t="shared" si="57"/>
        <v/>
      </c>
      <c r="K130" t="str">
        <f t="shared" si="57"/>
        <v/>
      </c>
      <c r="L130" t="str">
        <f t="shared" si="57"/>
        <v/>
      </c>
      <c r="M130" s="18" t="str">
        <f t="shared" si="53"/>
        <v/>
      </c>
      <c r="N130" s="17" t="str">
        <f t="shared" si="54"/>
        <v/>
      </c>
      <c r="O130" t="str">
        <f t="shared" si="55"/>
        <v/>
      </c>
    </row>
    <row r="131" spans="1:15" x14ac:dyDescent="0.2">
      <c r="A131" s="6">
        <f t="shared" si="56"/>
        <v>21</v>
      </c>
      <c r="B131" t="str">
        <f t="shared" ref="B131:E150" si="58">IF(ShowSeries2,IF(ChartLines13=B$4,Series2Input,IF(ChartX13=B$4,$P29,B$7)),"")</f>
        <v/>
      </c>
      <c r="C131" t="str">
        <f t="shared" si="58"/>
        <v/>
      </c>
      <c r="D131" t="str">
        <f t="shared" si="58"/>
        <v/>
      </c>
      <c r="E131" t="str">
        <f t="shared" si="58"/>
        <v/>
      </c>
      <c r="F131" s="18" t="str">
        <f t="shared" si="50"/>
        <v/>
      </c>
      <c r="G131" s="17" t="str">
        <f t="shared" si="51"/>
        <v/>
      </c>
      <c r="H131" t="str">
        <f t="shared" ref="H131:L140" si="59">IF(ShowSeries2,IF(ChartLines13=H$4,Series2Input,IF(ChartX13=H$4,$P29,H$7)),"")</f>
        <v/>
      </c>
      <c r="I131" t="str">
        <f t="shared" si="59"/>
        <v/>
      </c>
      <c r="J131" t="str">
        <f t="shared" si="59"/>
        <v/>
      </c>
      <c r="K131" t="str">
        <f t="shared" si="59"/>
        <v/>
      </c>
      <c r="L131" t="str">
        <f t="shared" si="59"/>
        <v/>
      </c>
      <c r="M131" s="18" t="str">
        <f t="shared" si="53"/>
        <v/>
      </c>
      <c r="N131" s="17" t="str">
        <f t="shared" si="54"/>
        <v/>
      </c>
      <c r="O131" t="str">
        <f t="shared" si="55"/>
        <v/>
      </c>
    </row>
    <row r="132" spans="1:15" x14ac:dyDescent="0.2">
      <c r="A132" s="6">
        <f t="shared" si="56"/>
        <v>22</v>
      </c>
      <c r="B132" t="str">
        <f t="shared" si="58"/>
        <v/>
      </c>
      <c r="C132" t="str">
        <f t="shared" si="58"/>
        <v/>
      </c>
      <c r="D132" t="str">
        <f t="shared" si="58"/>
        <v/>
      </c>
      <c r="E132" t="str">
        <f t="shared" si="58"/>
        <v/>
      </c>
      <c r="F132" s="18" t="str">
        <f t="shared" si="50"/>
        <v/>
      </c>
      <c r="G132" s="17" t="str">
        <f t="shared" si="51"/>
        <v/>
      </c>
      <c r="H132" t="str">
        <f t="shared" si="59"/>
        <v/>
      </c>
      <c r="I132" t="str">
        <f t="shared" si="59"/>
        <v/>
      </c>
      <c r="J132" t="str">
        <f t="shared" si="59"/>
        <v/>
      </c>
      <c r="K132" t="str">
        <f t="shared" si="59"/>
        <v/>
      </c>
      <c r="L132" t="str">
        <f t="shared" si="59"/>
        <v/>
      </c>
      <c r="M132" s="18" t="str">
        <f t="shared" si="53"/>
        <v/>
      </c>
      <c r="N132" s="17" t="str">
        <f t="shared" si="54"/>
        <v/>
      </c>
      <c r="O132" t="str">
        <f t="shared" si="55"/>
        <v/>
      </c>
    </row>
    <row r="133" spans="1:15" x14ac:dyDescent="0.2">
      <c r="A133" s="6">
        <f t="shared" si="56"/>
        <v>23</v>
      </c>
      <c r="B133" t="str">
        <f t="shared" si="58"/>
        <v/>
      </c>
      <c r="C133" t="str">
        <f t="shared" si="58"/>
        <v/>
      </c>
      <c r="D133" t="str">
        <f t="shared" si="58"/>
        <v/>
      </c>
      <c r="E133" t="str">
        <f t="shared" si="58"/>
        <v/>
      </c>
      <c r="F133" s="18" t="str">
        <f t="shared" si="50"/>
        <v/>
      </c>
      <c r="G133" s="17" t="str">
        <f t="shared" si="51"/>
        <v/>
      </c>
      <c r="H133" t="str">
        <f t="shared" si="59"/>
        <v/>
      </c>
      <c r="I133" t="str">
        <f t="shared" si="59"/>
        <v/>
      </c>
      <c r="J133" t="str">
        <f t="shared" si="59"/>
        <v/>
      </c>
      <c r="K133" t="str">
        <f t="shared" si="59"/>
        <v/>
      </c>
      <c r="L133" t="str">
        <f t="shared" si="59"/>
        <v/>
      </c>
      <c r="M133" s="18" t="str">
        <f t="shared" si="53"/>
        <v/>
      </c>
      <c r="N133" s="17" t="str">
        <f t="shared" si="54"/>
        <v/>
      </c>
      <c r="O133" t="str">
        <f t="shared" si="55"/>
        <v/>
      </c>
    </row>
    <row r="134" spans="1:15" x14ac:dyDescent="0.2">
      <c r="A134" s="6">
        <f t="shared" si="56"/>
        <v>24</v>
      </c>
      <c r="B134" t="str">
        <f t="shared" si="58"/>
        <v/>
      </c>
      <c r="C134" t="str">
        <f t="shared" si="58"/>
        <v/>
      </c>
      <c r="D134" t="str">
        <f t="shared" si="58"/>
        <v/>
      </c>
      <c r="E134" t="str">
        <f t="shared" si="58"/>
        <v/>
      </c>
      <c r="F134" s="18" t="str">
        <f t="shared" si="50"/>
        <v/>
      </c>
      <c r="G134" s="17" t="str">
        <f t="shared" si="51"/>
        <v/>
      </c>
      <c r="H134" t="str">
        <f t="shared" si="59"/>
        <v/>
      </c>
      <c r="I134" t="str">
        <f t="shared" si="59"/>
        <v/>
      </c>
      <c r="J134" t="str">
        <f t="shared" si="59"/>
        <v/>
      </c>
      <c r="K134" t="str">
        <f t="shared" si="59"/>
        <v/>
      </c>
      <c r="L134" t="str">
        <f t="shared" si="59"/>
        <v/>
      </c>
      <c r="M134" s="18" t="str">
        <f t="shared" si="53"/>
        <v/>
      </c>
      <c r="N134" s="17" t="str">
        <f t="shared" si="54"/>
        <v/>
      </c>
      <c r="O134" t="str">
        <f t="shared" si="55"/>
        <v/>
      </c>
    </row>
    <row r="135" spans="1:15" x14ac:dyDescent="0.2">
      <c r="A135" s="6">
        <f t="shared" si="56"/>
        <v>25</v>
      </c>
      <c r="B135" t="str">
        <f t="shared" si="58"/>
        <v/>
      </c>
      <c r="C135" t="str">
        <f t="shared" si="58"/>
        <v/>
      </c>
      <c r="D135" t="str">
        <f t="shared" si="58"/>
        <v/>
      </c>
      <c r="E135" t="str">
        <f t="shared" si="58"/>
        <v/>
      </c>
      <c r="F135" s="18" t="str">
        <f t="shared" si="50"/>
        <v/>
      </c>
      <c r="G135" s="17" t="str">
        <f t="shared" si="51"/>
        <v/>
      </c>
      <c r="H135" t="str">
        <f t="shared" si="59"/>
        <v/>
      </c>
      <c r="I135" t="str">
        <f t="shared" si="59"/>
        <v/>
      </c>
      <c r="J135" t="str">
        <f t="shared" si="59"/>
        <v/>
      </c>
      <c r="K135" t="str">
        <f t="shared" si="59"/>
        <v/>
      </c>
      <c r="L135" t="str">
        <f t="shared" si="59"/>
        <v/>
      </c>
      <c r="M135" s="18" t="str">
        <f t="shared" si="53"/>
        <v/>
      </c>
      <c r="N135" s="17" t="str">
        <f t="shared" si="54"/>
        <v/>
      </c>
      <c r="O135" t="str">
        <f t="shared" si="55"/>
        <v/>
      </c>
    </row>
    <row r="136" spans="1:15" x14ac:dyDescent="0.2">
      <c r="A136" s="6">
        <f t="shared" si="56"/>
        <v>26</v>
      </c>
      <c r="B136" t="str">
        <f t="shared" si="58"/>
        <v/>
      </c>
      <c r="C136" t="str">
        <f t="shared" si="58"/>
        <v/>
      </c>
      <c r="D136" t="str">
        <f t="shared" si="58"/>
        <v/>
      </c>
      <c r="E136" t="str">
        <f t="shared" si="58"/>
        <v/>
      </c>
      <c r="F136" s="18" t="str">
        <f t="shared" si="50"/>
        <v/>
      </c>
      <c r="G136" s="17" t="str">
        <f t="shared" si="51"/>
        <v/>
      </c>
      <c r="H136" t="str">
        <f t="shared" si="59"/>
        <v/>
      </c>
      <c r="I136" t="str">
        <f t="shared" si="59"/>
        <v/>
      </c>
      <c r="J136" t="str">
        <f t="shared" si="59"/>
        <v/>
      </c>
      <c r="K136" t="str">
        <f t="shared" si="59"/>
        <v/>
      </c>
      <c r="L136" t="str">
        <f t="shared" si="59"/>
        <v/>
      </c>
      <c r="M136" s="18" t="str">
        <f t="shared" si="53"/>
        <v/>
      </c>
      <c r="N136" s="17" t="str">
        <f t="shared" si="54"/>
        <v/>
      </c>
      <c r="O136" t="str">
        <f t="shared" si="55"/>
        <v/>
      </c>
    </row>
    <row r="137" spans="1:15" x14ac:dyDescent="0.2">
      <c r="A137" s="6">
        <f t="shared" si="56"/>
        <v>27</v>
      </c>
      <c r="B137" t="str">
        <f t="shared" si="58"/>
        <v/>
      </c>
      <c r="C137" t="str">
        <f t="shared" si="58"/>
        <v/>
      </c>
      <c r="D137" t="str">
        <f t="shared" si="58"/>
        <v/>
      </c>
      <c r="E137" t="str">
        <f t="shared" si="58"/>
        <v/>
      </c>
      <c r="F137" s="18" t="str">
        <f t="shared" si="50"/>
        <v/>
      </c>
      <c r="G137" s="17" t="str">
        <f t="shared" si="51"/>
        <v/>
      </c>
      <c r="H137" t="str">
        <f t="shared" si="59"/>
        <v/>
      </c>
      <c r="I137" t="str">
        <f t="shared" si="59"/>
        <v/>
      </c>
      <c r="J137" t="str">
        <f t="shared" si="59"/>
        <v/>
      </c>
      <c r="K137" t="str">
        <f t="shared" si="59"/>
        <v/>
      </c>
      <c r="L137" t="str">
        <f t="shared" si="59"/>
        <v/>
      </c>
      <c r="M137" s="18" t="str">
        <f t="shared" si="53"/>
        <v/>
      </c>
      <c r="N137" s="17" t="str">
        <f t="shared" si="54"/>
        <v/>
      </c>
      <c r="O137" t="str">
        <f t="shared" si="55"/>
        <v/>
      </c>
    </row>
    <row r="138" spans="1:15" x14ac:dyDescent="0.2">
      <c r="A138" s="6">
        <f t="shared" si="56"/>
        <v>28</v>
      </c>
      <c r="B138" t="str">
        <f t="shared" si="58"/>
        <v/>
      </c>
      <c r="C138" t="str">
        <f t="shared" si="58"/>
        <v/>
      </c>
      <c r="D138" t="str">
        <f t="shared" si="58"/>
        <v/>
      </c>
      <c r="E138" t="str">
        <f t="shared" si="58"/>
        <v/>
      </c>
      <c r="F138" s="18" t="str">
        <f t="shared" si="50"/>
        <v/>
      </c>
      <c r="G138" s="17" t="str">
        <f t="shared" si="51"/>
        <v/>
      </c>
      <c r="H138" t="str">
        <f t="shared" si="59"/>
        <v/>
      </c>
      <c r="I138" t="str">
        <f t="shared" si="59"/>
        <v/>
      </c>
      <c r="J138" t="str">
        <f t="shared" si="59"/>
        <v/>
      </c>
      <c r="K138" t="str">
        <f t="shared" si="59"/>
        <v/>
      </c>
      <c r="L138" t="str">
        <f t="shared" si="59"/>
        <v/>
      </c>
      <c r="M138" s="18" t="str">
        <f t="shared" si="53"/>
        <v/>
      </c>
      <c r="N138" s="17" t="str">
        <f t="shared" si="54"/>
        <v/>
      </c>
      <c r="O138" t="str">
        <f t="shared" si="55"/>
        <v/>
      </c>
    </row>
    <row r="139" spans="1:15" x14ac:dyDescent="0.2">
      <c r="A139" s="6">
        <f t="shared" si="56"/>
        <v>29</v>
      </c>
      <c r="B139" t="str">
        <f t="shared" si="58"/>
        <v/>
      </c>
      <c r="C139" t="str">
        <f t="shared" si="58"/>
        <v/>
      </c>
      <c r="D139" t="str">
        <f t="shared" si="58"/>
        <v/>
      </c>
      <c r="E139" t="str">
        <f t="shared" si="58"/>
        <v/>
      </c>
      <c r="F139" s="18" t="str">
        <f t="shared" si="50"/>
        <v/>
      </c>
      <c r="G139" s="17" t="str">
        <f t="shared" si="51"/>
        <v/>
      </c>
      <c r="H139" t="str">
        <f t="shared" si="59"/>
        <v/>
      </c>
      <c r="I139" t="str">
        <f t="shared" si="59"/>
        <v/>
      </c>
      <c r="J139" t="str">
        <f t="shared" si="59"/>
        <v/>
      </c>
      <c r="K139" t="str">
        <f t="shared" si="59"/>
        <v/>
      </c>
      <c r="L139" t="str">
        <f t="shared" si="59"/>
        <v/>
      </c>
      <c r="M139" s="18" t="str">
        <f t="shared" si="53"/>
        <v/>
      </c>
      <c r="N139" s="17" t="str">
        <f t="shared" si="54"/>
        <v/>
      </c>
      <c r="O139" t="str">
        <f t="shared" si="55"/>
        <v/>
      </c>
    </row>
    <row r="140" spans="1:15" x14ac:dyDescent="0.2">
      <c r="A140" s="6">
        <f t="shared" si="56"/>
        <v>30</v>
      </c>
      <c r="B140" t="str">
        <f t="shared" si="58"/>
        <v/>
      </c>
      <c r="C140" t="str">
        <f t="shared" si="58"/>
        <v/>
      </c>
      <c r="D140" t="str">
        <f t="shared" si="58"/>
        <v/>
      </c>
      <c r="E140" t="str">
        <f t="shared" si="58"/>
        <v/>
      </c>
      <c r="F140" s="18" t="str">
        <f t="shared" si="50"/>
        <v/>
      </c>
      <c r="G140" s="17" t="str">
        <f t="shared" si="51"/>
        <v/>
      </c>
      <c r="H140" t="str">
        <f t="shared" si="59"/>
        <v/>
      </c>
      <c r="I140" t="str">
        <f t="shared" si="59"/>
        <v/>
      </c>
      <c r="J140" t="str">
        <f t="shared" si="59"/>
        <v/>
      </c>
      <c r="K140" t="str">
        <f t="shared" si="59"/>
        <v/>
      </c>
      <c r="L140" t="str">
        <f t="shared" si="59"/>
        <v/>
      </c>
      <c r="M140" s="18" t="str">
        <f t="shared" si="53"/>
        <v/>
      </c>
      <c r="N140" s="17" t="str">
        <f t="shared" si="54"/>
        <v/>
      </c>
      <c r="O140" t="str">
        <f t="shared" si="55"/>
        <v/>
      </c>
    </row>
    <row r="141" spans="1:15" x14ac:dyDescent="0.2">
      <c r="A141" s="6">
        <f t="shared" si="56"/>
        <v>31</v>
      </c>
      <c r="B141" t="str">
        <f t="shared" si="58"/>
        <v/>
      </c>
      <c r="C141" t="str">
        <f t="shared" si="58"/>
        <v/>
      </c>
      <c r="D141" t="str">
        <f t="shared" si="58"/>
        <v/>
      </c>
      <c r="E141" t="str">
        <f t="shared" si="58"/>
        <v/>
      </c>
      <c r="F141" s="18" t="str">
        <f t="shared" si="50"/>
        <v/>
      </c>
      <c r="G141" s="17" t="str">
        <f t="shared" si="51"/>
        <v/>
      </c>
      <c r="H141" t="str">
        <f t="shared" ref="H141:L150" si="60">IF(ShowSeries2,IF(ChartLines13=H$4,Series2Input,IF(ChartX13=H$4,$P39,H$7)),"")</f>
        <v/>
      </c>
      <c r="I141" t="str">
        <f t="shared" si="60"/>
        <v/>
      </c>
      <c r="J141" t="str">
        <f t="shared" si="60"/>
        <v/>
      </c>
      <c r="K141" t="str">
        <f t="shared" si="60"/>
        <v/>
      </c>
      <c r="L141" t="str">
        <f t="shared" si="60"/>
        <v/>
      </c>
      <c r="M141" s="18" t="str">
        <f t="shared" si="53"/>
        <v/>
      </c>
      <c r="N141" s="17" t="str">
        <f t="shared" si="54"/>
        <v/>
      </c>
      <c r="O141" t="str">
        <f t="shared" si="55"/>
        <v/>
      </c>
    </row>
    <row r="142" spans="1:15" x14ac:dyDescent="0.2">
      <c r="A142" s="6">
        <f t="shared" si="56"/>
        <v>32</v>
      </c>
      <c r="B142" t="str">
        <f t="shared" si="58"/>
        <v/>
      </c>
      <c r="C142" t="str">
        <f t="shared" si="58"/>
        <v/>
      </c>
      <c r="D142" t="str">
        <f t="shared" si="58"/>
        <v/>
      </c>
      <c r="E142" t="str">
        <f t="shared" si="58"/>
        <v/>
      </c>
      <c r="F142" s="18" t="str">
        <f t="shared" si="50"/>
        <v/>
      </c>
      <c r="G142" s="17" t="str">
        <f t="shared" si="51"/>
        <v/>
      </c>
      <c r="H142" t="str">
        <f t="shared" si="60"/>
        <v/>
      </c>
      <c r="I142" t="str">
        <f t="shared" si="60"/>
        <v/>
      </c>
      <c r="J142" t="str">
        <f t="shared" si="60"/>
        <v/>
      </c>
      <c r="K142" t="str">
        <f t="shared" si="60"/>
        <v/>
      </c>
      <c r="L142" t="str">
        <f t="shared" si="60"/>
        <v/>
      </c>
      <c r="M142" s="18" t="str">
        <f t="shared" si="53"/>
        <v/>
      </c>
      <c r="N142" s="17" t="str">
        <f t="shared" si="54"/>
        <v/>
      </c>
      <c r="O142" t="str">
        <f t="shared" si="55"/>
        <v/>
      </c>
    </row>
    <row r="143" spans="1:15" x14ac:dyDescent="0.2">
      <c r="A143" s="6">
        <f t="shared" si="56"/>
        <v>33</v>
      </c>
      <c r="B143" t="str">
        <f t="shared" si="58"/>
        <v/>
      </c>
      <c r="C143" t="str">
        <f t="shared" si="58"/>
        <v/>
      </c>
      <c r="D143" t="str">
        <f t="shared" si="58"/>
        <v/>
      </c>
      <c r="E143" t="str">
        <f t="shared" si="58"/>
        <v/>
      </c>
      <c r="F143" s="18" t="str">
        <f t="shared" ref="F143:F174" si="61">IF(ShowSeries2,IF(ChartLines13=F$4,Series2Input,IF(ChartX13=F$4,$P41,IF(TimeAs=1,E143-D143,IF(TimeAs=2,F$7,G143*DaysPerYear)))),"")</f>
        <v/>
      </c>
      <c r="G143" s="17" t="str">
        <f t="shared" ref="G143:G174" si="62">IF(ShowSeries2,IF(ChartLines13=G$4,Series2Input,IF(ChartX13=G$4,$P41,IF(TimeAs&lt;3,F143/DaysPerYear,G$7))),"")</f>
        <v/>
      </c>
      <c r="H143" t="str">
        <f t="shared" si="60"/>
        <v/>
      </c>
      <c r="I143" t="str">
        <f t="shared" si="60"/>
        <v/>
      </c>
      <c r="J143" t="str">
        <f t="shared" si="60"/>
        <v/>
      </c>
      <c r="K143" t="str">
        <f t="shared" si="60"/>
        <v/>
      </c>
      <c r="L143" t="str">
        <f t="shared" si="60"/>
        <v/>
      </c>
      <c r="M143" s="18" t="str">
        <f t="shared" ref="M143:M174" si="63">IF(ShowSeries2,IF(ChartLines13=M$4,Series2Input,IF(ChartX13=M$4,$P41,IF(ExDivAs=1,L143-D143,IF(ExDivAs=2,M$7,N143*DaysPerYear)))),"")</f>
        <v/>
      </c>
      <c r="N143" s="17" t="str">
        <f t="shared" ref="N143:N174" si="64">IF(ShowSeries2,IF(ChartLines13=N$4,Series2Input,IF(ChartX13=N$4,$P41,IF(ExDivAs&lt;3,M143/DaysPerYear,N$7))),"")</f>
        <v/>
      </c>
      <c r="O143" t="str">
        <f t="shared" ref="O143:O174" si="65">IF(ShowSeries2,BinOp($B143,$C143,$G143,$H143,$J143,$I143,CallPut,AmEur,Model,Steps,ModelOutput,$K143,$N143),"")</f>
        <v/>
      </c>
    </row>
    <row r="144" spans="1:15" x14ac:dyDescent="0.2">
      <c r="A144" s="6">
        <f t="shared" si="56"/>
        <v>34</v>
      </c>
      <c r="B144" t="str">
        <f t="shared" si="58"/>
        <v/>
      </c>
      <c r="C144" t="str">
        <f t="shared" si="58"/>
        <v/>
      </c>
      <c r="D144" t="str">
        <f t="shared" si="58"/>
        <v/>
      </c>
      <c r="E144" t="str">
        <f t="shared" si="58"/>
        <v/>
      </c>
      <c r="F144" s="18" t="str">
        <f t="shared" si="61"/>
        <v/>
      </c>
      <c r="G144" s="17" t="str">
        <f t="shared" si="62"/>
        <v/>
      </c>
      <c r="H144" t="str">
        <f t="shared" si="60"/>
        <v/>
      </c>
      <c r="I144" t="str">
        <f t="shared" si="60"/>
        <v/>
      </c>
      <c r="J144" t="str">
        <f t="shared" si="60"/>
        <v/>
      </c>
      <c r="K144" t="str">
        <f t="shared" si="60"/>
        <v/>
      </c>
      <c r="L144" t="str">
        <f t="shared" si="60"/>
        <v/>
      </c>
      <c r="M144" s="18" t="str">
        <f t="shared" si="63"/>
        <v/>
      </c>
      <c r="N144" s="17" t="str">
        <f t="shared" si="64"/>
        <v/>
      </c>
      <c r="O144" t="str">
        <f t="shared" si="65"/>
        <v/>
      </c>
    </row>
    <row r="145" spans="1:15" x14ac:dyDescent="0.2">
      <c r="A145" s="6">
        <f t="shared" si="56"/>
        <v>35</v>
      </c>
      <c r="B145" t="str">
        <f t="shared" si="58"/>
        <v/>
      </c>
      <c r="C145" t="str">
        <f t="shared" si="58"/>
        <v/>
      </c>
      <c r="D145" t="str">
        <f t="shared" si="58"/>
        <v/>
      </c>
      <c r="E145" t="str">
        <f t="shared" si="58"/>
        <v/>
      </c>
      <c r="F145" s="18" t="str">
        <f t="shared" si="61"/>
        <v/>
      </c>
      <c r="G145" s="17" t="str">
        <f t="shared" si="62"/>
        <v/>
      </c>
      <c r="H145" t="str">
        <f t="shared" si="60"/>
        <v/>
      </c>
      <c r="I145" t="str">
        <f t="shared" si="60"/>
        <v/>
      </c>
      <c r="J145" t="str">
        <f t="shared" si="60"/>
        <v/>
      </c>
      <c r="K145" t="str">
        <f t="shared" si="60"/>
        <v/>
      </c>
      <c r="L145" t="str">
        <f t="shared" si="60"/>
        <v/>
      </c>
      <c r="M145" s="18" t="str">
        <f t="shared" si="63"/>
        <v/>
      </c>
      <c r="N145" s="17" t="str">
        <f t="shared" si="64"/>
        <v/>
      </c>
      <c r="O145" t="str">
        <f t="shared" si="65"/>
        <v/>
      </c>
    </row>
    <row r="146" spans="1:15" x14ac:dyDescent="0.2">
      <c r="A146" s="6">
        <f t="shared" si="56"/>
        <v>36</v>
      </c>
      <c r="B146" t="str">
        <f t="shared" si="58"/>
        <v/>
      </c>
      <c r="C146" t="str">
        <f t="shared" si="58"/>
        <v/>
      </c>
      <c r="D146" t="str">
        <f t="shared" si="58"/>
        <v/>
      </c>
      <c r="E146" t="str">
        <f t="shared" si="58"/>
        <v/>
      </c>
      <c r="F146" s="18" t="str">
        <f t="shared" si="61"/>
        <v/>
      </c>
      <c r="G146" s="17" t="str">
        <f t="shared" si="62"/>
        <v/>
      </c>
      <c r="H146" t="str">
        <f t="shared" si="60"/>
        <v/>
      </c>
      <c r="I146" t="str">
        <f t="shared" si="60"/>
        <v/>
      </c>
      <c r="J146" t="str">
        <f t="shared" si="60"/>
        <v/>
      </c>
      <c r="K146" t="str">
        <f t="shared" si="60"/>
        <v/>
      </c>
      <c r="L146" t="str">
        <f t="shared" si="60"/>
        <v/>
      </c>
      <c r="M146" s="18" t="str">
        <f t="shared" si="63"/>
        <v/>
      </c>
      <c r="N146" s="17" t="str">
        <f t="shared" si="64"/>
        <v/>
      </c>
      <c r="O146" t="str">
        <f t="shared" si="65"/>
        <v/>
      </c>
    </row>
    <row r="147" spans="1:15" x14ac:dyDescent="0.2">
      <c r="A147" s="6">
        <f t="shared" si="56"/>
        <v>37</v>
      </c>
      <c r="B147" t="str">
        <f t="shared" si="58"/>
        <v/>
      </c>
      <c r="C147" t="str">
        <f t="shared" si="58"/>
        <v/>
      </c>
      <c r="D147" t="str">
        <f t="shared" si="58"/>
        <v/>
      </c>
      <c r="E147" t="str">
        <f t="shared" si="58"/>
        <v/>
      </c>
      <c r="F147" s="18" t="str">
        <f t="shared" si="61"/>
        <v/>
      </c>
      <c r="G147" s="17" t="str">
        <f t="shared" si="62"/>
        <v/>
      </c>
      <c r="H147" t="str">
        <f t="shared" si="60"/>
        <v/>
      </c>
      <c r="I147" t="str">
        <f t="shared" si="60"/>
        <v/>
      </c>
      <c r="J147" t="str">
        <f t="shared" si="60"/>
        <v/>
      </c>
      <c r="K147" t="str">
        <f t="shared" si="60"/>
        <v/>
      </c>
      <c r="L147" t="str">
        <f t="shared" si="60"/>
        <v/>
      </c>
      <c r="M147" s="18" t="str">
        <f t="shared" si="63"/>
        <v/>
      </c>
      <c r="N147" s="17" t="str">
        <f t="shared" si="64"/>
        <v/>
      </c>
      <c r="O147" t="str">
        <f t="shared" si="65"/>
        <v/>
      </c>
    </row>
    <row r="148" spans="1:15" x14ac:dyDescent="0.2">
      <c r="A148" s="6">
        <f t="shared" si="56"/>
        <v>38</v>
      </c>
      <c r="B148" t="str">
        <f t="shared" si="58"/>
        <v/>
      </c>
      <c r="C148" t="str">
        <f t="shared" si="58"/>
        <v/>
      </c>
      <c r="D148" t="str">
        <f t="shared" si="58"/>
        <v/>
      </c>
      <c r="E148" t="str">
        <f t="shared" si="58"/>
        <v/>
      </c>
      <c r="F148" s="18" t="str">
        <f t="shared" si="61"/>
        <v/>
      </c>
      <c r="G148" s="17" t="str">
        <f t="shared" si="62"/>
        <v/>
      </c>
      <c r="H148" t="str">
        <f t="shared" si="60"/>
        <v/>
      </c>
      <c r="I148" t="str">
        <f t="shared" si="60"/>
        <v/>
      </c>
      <c r="J148" t="str">
        <f t="shared" si="60"/>
        <v/>
      </c>
      <c r="K148" t="str">
        <f t="shared" si="60"/>
        <v/>
      </c>
      <c r="L148" t="str">
        <f t="shared" si="60"/>
        <v/>
      </c>
      <c r="M148" s="18" t="str">
        <f t="shared" si="63"/>
        <v/>
      </c>
      <c r="N148" s="17" t="str">
        <f t="shared" si="64"/>
        <v/>
      </c>
      <c r="O148" t="str">
        <f t="shared" si="65"/>
        <v/>
      </c>
    </row>
    <row r="149" spans="1:15" x14ac:dyDescent="0.2">
      <c r="A149" s="6">
        <f t="shared" si="56"/>
        <v>39</v>
      </c>
      <c r="B149" t="str">
        <f t="shared" si="58"/>
        <v/>
      </c>
      <c r="C149" t="str">
        <f t="shared" si="58"/>
        <v/>
      </c>
      <c r="D149" t="str">
        <f t="shared" si="58"/>
        <v/>
      </c>
      <c r="E149" t="str">
        <f t="shared" si="58"/>
        <v/>
      </c>
      <c r="F149" s="18" t="str">
        <f t="shared" si="61"/>
        <v/>
      </c>
      <c r="G149" s="17" t="str">
        <f t="shared" si="62"/>
        <v/>
      </c>
      <c r="H149" t="str">
        <f t="shared" si="60"/>
        <v/>
      </c>
      <c r="I149" t="str">
        <f t="shared" si="60"/>
        <v/>
      </c>
      <c r="J149" t="str">
        <f t="shared" si="60"/>
        <v/>
      </c>
      <c r="K149" t="str">
        <f t="shared" si="60"/>
        <v/>
      </c>
      <c r="L149" t="str">
        <f t="shared" si="60"/>
        <v/>
      </c>
      <c r="M149" s="18" t="str">
        <f t="shared" si="63"/>
        <v/>
      </c>
      <c r="N149" s="17" t="str">
        <f t="shared" si="64"/>
        <v/>
      </c>
      <c r="O149" t="str">
        <f t="shared" si="65"/>
        <v/>
      </c>
    </row>
    <row r="150" spans="1:15" x14ac:dyDescent="0.2">
      <c r="A150" s="6">
        <f t="shared" si="56"/>
        <v>40</v>
      </c>
      <c r="B150" t="str">
        <f t="shared" si="58"/>
        <v/>
      </c>
      <c r="C150" t="str">
        <f t="shared" si="58"/>
        <v/>
      </c>
      <c r="D150" t="str">
        <f t="shared" si="58"/>
        <v/>
      </c>
      <c r="E150" t="str">
        <f t="shared" si="58"/>
        <v/>
      </c>
      <c r="F150" s="18" t="str">
        <f t="shared" si="61"/>
        <v/>
      </c>
      <c r="G150" s="17" t="str">
        <f t="shared" si="62"/>
        <v/>
      </c>
      <c r="H150" t="str">
        <f t="shared" si="60"/>
        <v/>
      </c>
      <c r="I150" t="str">
        <f t="shared" si="60"/>
        <v/>
      </c>
      <c r="J150" t="str">
        <f t="shared" si="60"/>
        <v/>
      </c>
      <c r="K150" t="str">
        <f t="shared" si="60"/>
        <v/>
      </c>
      <c r="L150" t="str">
        <f t="shared" si="60"/>
        <v/>
      </c>
      <c r="M150" s="18" t="str">
        <f t="shared" si="63"/>
        <v/>
      </c>
      <c r="N150" s="17" t="str">
        <f t="shared" si="64"/>
        <v/>
      </c>
      <c r="O150" t="str">
        <f t="shared" si="65"/>
        <v/>
      </c>
    </row>
    <row r="151" spans="1:15" x14ac:dyDescent="0.2">
      <c r="A151" s="6">
        <f t="shared" si="56"/>
        <v>41</v>
      </c>
      <c r="B151" t="str">
        <f t="shared" ref="B151:E170" si="66">IF(ShowSeries2,IF(ChartLines13=B$4,Series2Input,IF(ChartX13=B$4,$P49,B$7)),"")</f>
        <v/>
      </c>
      <c r="C151" t="str">
        <f t="shared" si="66"/>
        <v/>
      </c>
      <c r="D151" t="str">
        <f t="shared" si="66"/>
        <v/>
      </c>
      <c r="E151" t="str">
        <f t="shared" si="66"/>
        <v/>
      </c>
      <c r="F151" s="18" t="str">
        <f t="shared" si="61"/>
        <v/>
      </c>
      <c r="G151" s="17" t="str">
        <f t="shared" si="62"/>
        <v/>
      </c>
      <c r="H151" t="str">
        <f t="shared" ref="H151:L160" si="67">IF(ShowSeries2,IF(ChartLines13=H$4,Series2Input,IF(ChartX13=H$4,$P49,H$7)),"")</f>
        <v/>
      </c>
      <c r="I151" t="str">
        <f t="shared" si="67"/>
        <v/>
      </c>
      <c r="J151" t="str">
        <f t="shared" si="67"/>
        <v/>
      </c>
      <c r="K151" t="str">
        <f t="shared" si="67"/>
        <v/>
      </c>
      <c r="L151" t="str">
        <f t="shared" si="67"/>
        <v/>
      </c>
      <c r="M151" s="18" t="str">
        <f t="shared" si="63"/>
        <v/>
      </c>
      <c r="N151" s="17" t="str">
        <f t="shared" si="64"/>
        <v/>
      </c>
      <c r="O151" t="str">
        <f t="shared" si="65"/>
        <v/>
      </c>
    </row>
    <row r="152" spans="1:15" x14ac:dyDescent="0.2">
      <c r="A152" s="6">
        <f t="shared" si="56"/>
        <v>42</v>
      </c>
      <c r="B152" t="str">
        <f t="shared" si="66"/>
        <v/>
      </c>
      <c r="C152" t="str">
        <f t="shared" si="66"/>
        <v/>
      </c>
      <c r="D152" t="str">
        <f t="shared" si="66"/>
        <v/>
      </c>
      <c r="E152" t="str">
        <f t="shared" si="66"/>
        <v/>
      </c>
      <c r="F152" s="18" t="str">
        <f t="shared" si="61"/>
        <v/>
      </c>
      <c r="G152" s="17" t="str">
        <f t="shared" si="62"/>
        <v/>
      </c>
      <c r="H152" t="str">
        <f t="shared" si="67"/>
        <v/>
      </c>
      <c r="I152" t="str">
        <f t="shared" si="67"/>
        <v/>
      </c>
      <c r="J152" t="str">
        <f t="shared" si="67"/>
        <v/>
      </c>
      <c r="K152" t="str">
        <f t="shared" si="67"/>
        <v/>
      </c>
      <c r="L152" t="str">
        <f t="shared" si="67"/>
        <v/>
      </c>
      <c r="M152" s="18" t="str">
        <f t="shared" si="63"/>
        <v/>
      </c>
      <c r="N152" s="17" t="str">
        <f t="shared" si="64"/>
        <v/>
      </c>
      <c r="O152" t="str">
        <f t="shared" si="65"/>
        <v/>
      </c>
    </row>
    <row r="153" spans="1:15" x14ac:dyDescent="0.2">
      <c r="A153" s="6">
        <f t="shared" si="56"/>
        <v>43</v>
      </c>
      <c r="B153" t="str">
        <f t="shared" si="66"/>
        <v/>
      </c>
      <c r="C153" t="str">
        <f t="shared" si="66"/>
        <v/>
      </c>
      <c r="D153" t="str">
        <f t="shared" si="66"/>
        <v/>
      </c>
      <c r="E153" t="str">
        <f t="shared" si="66"/>
        <v/>
      </c>
      <c r="F153" s="18" t="str">
        <f t="shared" si="61"/>
        <v/>
      </c>
      <c r="G153" s="17" t="str">
        <f t="shared" si="62"/>
        <v/>
      </c>
      <c r="H153" t="str">
        <f t="shared" si="67"/>
        <v/>
      </c>
      <c r="I153" t="str">
        <f t="shared" si="67"/>
        <v/>
      </c>
      <c r="J153" t="str">
        <f t="shared" si="67"/>
        <v/>
      </c>
      <c r="K153" t="str">
        <f t="shared" si="67"/>
        <v/>
      </c>
      <c r="L153" t="str">
        <f t="shared" si="67"/>
        <v/>
      </c>
      <c r="M153" s="18" t="str">
        <f t="shared" si="63"/>
        <v/>
      </c>
      <c r="N153" s="17" t="str">
        <f t="shared" si="64"/>
        <v/>
      </c>
      <c r="O153" t="str">
        <f t="shared" si="65"/>
        <v/>
      </c>
    </row>
    <row r="154" spans="1:15" x14ac:dyDescent="0.2">
      <c r="A154" s="6">
        <f t="shared" si="56"/>
        <v>44</v>
      </c>
      <c r="B154" t="str">
        <f t="shared" si="66"/>
        <v/>
      </c>
      <c r="C154" t="str">
        <f t="shared" si="66"/>
        <v/>
      </c>
      <c r="D154" t="str">
        <f t="shared" si="66"/>
        <v/>
      </c>
      <c r="E154" t="str">
        <f t="shared" si="66"/>
        <v/>
      </c>
      <c r="F154" s="18" t="str">
        <f t="shared" si="61"/>
        <v/>
      </c>
      <c r="G154" s="17" t="str">
        <f t="shared" si="62"/>
        <v/>
      </c>
      <c r="H154" t="str">
        <f t="shared" si="67"/>
        <v/>
      </c>
      <c r="I154" t="str">
        <f t="shared" si="67"/>
        <v/>
      </c>
      <c r="J154" t="str">
        <f t="shared" si="67"/>
        <v/>
      </c>
      <c r="K154" t="str">
        <f t="shared" si="67"/>
        <v/>
      </c>
      <c r="L154" t="str">
        <f t="shared" si="67"/>
        <v/>
      </c>
      <c r="M154" s="18" t="str">
        <f t="shared" si="63"/>
        <v/>
      </c>
      <c r="N154" s="17" t="str">
        <f t="shared" si="64"/>
        <v/>
      </c>
      <c r="O154" t="str">
        <f t="shared" si="65"/>
        <v/>
      </c>
    </row>
    <row r="155" spans="1:15" x14ac:dyDescent="0.2">
      <c r="A155" s="6">
        <f t="shared" si="56"/>
        <v>45</v>
      </c>
      <c r="B155" t="str">
        <f t="shared" si="66"/>
        <v/>
      </c>
      <c r="C155" t="str">
        <f t="shared" si="66"/>
        <v/>
      </c>
      <c r="D155" t="str">
        <f t="shared" si="66"/>
        <v/>
      </c>
      <c r="E155" t="str">
        <f t="shared" si="66"/>
        <v/>
      </c>
      <c r="F155" s="18" t="str">
        <f t="shared" si="61"/>
        <v/>
      </c>
      <c r="G155" s="17" t="str">
        <f t="shared" si="62"/>
        <v/>
      </c>
      <c r="H155" t="str">
        <f t="shared" si="67"/>
        <v/>
      </c>
      <c r="I155" t="str">
        <f t="shared" si="67"/>
        <v/>
      </c>
      <c r="J155" t="str">
        <f t="shared" si="67"/>
        <v/>
      </c>
      <c r="K155" t="str">
        <f t="shared" si="67"/>
        <v/>
      </c>
      <c r="L155" t="str">
        <f t="shared" si="67"/>
        <v/>
      </c>
      <c r="M155" s="18" t="str">
        <f t="shared" si="63"/>
        <v/>
      </c>
      <c r="N155" s="17" t="str">
        <f t="shared" si="64"/>
        <v/>
      </c>
      <c r="O155" t="str">
        <f t="shared" si="65"/>
        <v/>
      </c>
    </row>
    <row r="156" spans="1:15" x14ac:dyDescent="0.2">
      <c r="A156" s="6">
        <f t="shared" si="56"/>
        <v>46</v>
      </c>
      <c r="B156" t="str">
        <f t="shared" si="66"/>
        <v/>
      </c>
      <c r="C156" t="str">
        <f t="shared" si="66"/>
        <v/>
      </c>
      <c r="D156" t="str">
        <f t="shared" si="66"/>
        <v/>
      </c>
      <c r="E156" t="str">
        <f t="shared" si="66"/>
        <v/>
      </c>
      <c r="F156" s="18" t="str">
        <f t="shared" si="61"/>
        <v/>
      </c>
      <c r="G156" s="17" t="str">
        <f t="shared" si="62"/>
        <v/>
      </c>
      <c r="H156" t="str">
        <f t="shared" si="67"/>
        <v/>
      </c>
      <c r="I156" t="str">
        <f t="shared" si="67"/>
        <v/>
      </c>
      <c r="J156" t="str">
        <f t="shared" si="67"/>
        <v/>
      </c>
      <c r="K156" t="str">
        <f t="shared" si="67"/>
        <v/>
      </c>
      <c r="L156" t="str">
        <f t="shared" si="67"/>
        <v/>
      </c>
      <c r="M156" s="18" t="str">
        <f t="shared" si="63"/>
        <v/>
      </c>
      <c r="N156" s="17" t="str">
        <f t="shared" si="64"/>
        <v/>
      </c>
      <c r="O156" t="str">
        <f t="shared" si="65"/>
        <v/>
      </c>
    </row>
    <row r="157" spans="1:15" x14ac:dyDescent="0.2">
      <c r="A157" s="6">
        <f t="shared" si="56"/>
        <v>47</v>
      </c>
      <c r="B157" t="str">
        <f t="shared" si="66"/>
        <v/>
      </c>
      <c r="C157" t="str">
        <f t="shared" si="66"/>
        <v/>
      </c>
      <c r="D157" t="str">
        <f t="shared" si="66"/>
        <v/>
      </c>
      <c r="E157" t="str">
        <f t="shared" si="66"/>
        <v/>
      </c>
      <c r="F157" s="18" t="str">
        <f t="shared" si="61"/>
        <v/>
      </c>
      <c r="G157" s="17" t="str">
        <f t="shared" si="62"/>
        <v/>
      </c>
      <c r="H157" t="str">
        <f t="shared" si="67"/>
        <v/>
      </c>
      <c r="I157" t="str">
        <f t="shared" si="67"/>
        <v/>
      </c>
      <c r="J157" t="str">
        <f t="shared" si="67"/>
        <v/>
      </c>
      <c r="K157" t="str">
        <f t="shared" si="67"/>
        <v/>
      </c>
      <c r="L157" t="str">
        <f t="shared" si="67"/>
        <v/>
      </c>
      <c r="M157" s="18" t="str">
        <f t="shared" si="63"/>
        <v/>
      </c>
      <c r="N157" s="17" t="str">
        <f t="shared" si="64"/>
        <v/>
      </c>
      <c r="O157" t="str">
        <f t="shared" si="65"/>
        <v/>
      </c>
    </row>
    <row r="158" spans="1:15" x14ac:dyDescent="0.2">
      <c r="A158" s="6">
        <f t="shared" si="56"/>
        <v>48</v>
      </c>
      <c r="B158" t="str">
        <f t="shared" si="66"/>
        <v/>
      </c>
      <c r="C158" t="str">
        <f t="shared" si="66"/>
        <v/>
      </c>
      <c r="D158" t="str">
        <f t="shared" si="66"/>
        <v/>
      </c>
      <c r="E158" t="str">
        <f t="shared" si="66"/>
        <v/>
      </c>
      <c r="F158" s="18" t="str">
        <f t="shared" si="61"/>
        <v/>
      </c>
      <c r="G158" s="17" t="str">
        <f t="shared" si="62"/>
        <v/>
      </c>
      <c r="H158" t="str">
        <f t="shared" si="67"/>
        <v/>
      </c>
      <c r="I158" t="str">
        <f t="shared" si="67"/>
        <v/>
      </c>
      <c r="J158" t="str">
        <f t="shared" si="67"/>
        <v/>
      </c>
      <c r="K158" t="str">
        <f t="shared" si="67"/>
        <v/>
      </c>
      <c r="L158" t="str">
        <f t="shared" si="67"/>
        <v/>
      </c>
      <c r="M158" s="18" t="str">
        <f t="shared" si="63"/>
        <v/>
      </c>
      <c r="N158" s="17" t="str">
        <f t="shared" si="64"/>
        <v/>
      </c>
      <c r="O158" t="str">
        <f t="shared" si="65"/>
        <v/>
      </c>
    </row>
    <row r="159" spans="1:15" x14ac:dyDescent="0.2">
      <c r="A159" s="6">
        <f t="shared" si="56"/>
        <v>49</v>
      </c>
      <c r="B159" t="str">
        <f t="shared" si="66"/>
        <v/>
      </c>
      <c r="C159" t="str">
        <f t="shared" si="66"/>
        <v/>
      </c>
      <c r="D159" t="str">
        <f t="shared" si="66"/>
        <v/>
      </c>
      <c r="E159" t="str">
        <f t="shared" si="66"/>
        <v/>
      </c>
      <c r="F159" s="18" t="str">
        <f t="shared" si="61"/>
        <v/>
      </c>
      <c r="G159" s="17" t="str">
        <f t="shared" si="62"/>
        <v/>
      </c>
      <c r="H159" t="str">
        <f t="shared" si="67"/>
        <v/>
      </c>
      <c r="I159" t="str">
        <f t="shared" si="67"/>
        <v/>
      </c>
      <c r="J159" t="str">
        <f t="shared" si="67"/>
        <v/>
      </c>
      <c r="K159" t="str">
        <f t="shared" si="67"/>
        <v/>
      </c>
      <c r="L159" t="str">
        <f t="shared" si="67"/>
        <v/>
      </c>
      <c r="M159" s="18" t="str">
        <f t="shared" si="63"/>
        <v/>
      </c>
      <c r="N159" s="17" t="str">
        <f t="shared" si="64"/>
        <v/>
      </c>
      <c r="O159" t="str">
        <f t="shared" si="65"/>
        <v/>
      </c>
    </row>
    <row r="160" spans="1:15" x14ac:dyDescent="0.2">
      <c r="A160" s="6">
        <f t="shared" si="56"/>
        <v>50</v>
      </c>
      <c r="B160" t="str">
        <f t="shared" si="66"/>
        <v/>
      </c>
      <c r="C160" t="str">
        <f t="shared" si="66"/>
        <v/>
      </c>
      <c r="D160" t="str">
        <f t="shared" si="66"/>
        <v/>
      </c>
      <c r="E160" t="str">
        <f t="shared" si="66"/>
        <v/>
      </c>
      <c r="F160" s="18" t="str">
        <f t="shared" si="61"/>
        <v/>
      </c>
      <c r="G160" s="17" t="str">
        <f t="shared" si="62"/>
        <v/>
      </c>
      <c r="H160" t="str">
        <f t="shared" si="67"/>
        <v/>
      </c>
      <c r="I160" t="str">
        <f t="shared" si="67"/>
        <v/>
      </c>
      <c r="J160" t="str">
        <f t="shared" si="67"/>
        <v/>
      </c>
      <c r="K160" t="str">
        <f t="shared" si="67"/>
        <v/>
      </c>
      <c r="L160" t="str">
        <f t="shared" si="67"/>
        <v/>
      </c>
      <c r="M160" s="18" t="str">
        <f t="shared" si="63"/>
        <v/>
      </c>
      <c r="N160" s="17" t="str">
        <f t="shared" si="64"/>
        <v/>
      </c>
      <c r="O160" t="str">
        <f t="shared" si="65"/>
        <v/>
      </c>
    </row>
    <row r="161" spans="1:15" x14ac:dyDescent="0.2">
      <c r="A161" s="6">
        <f t="shared" si="56"/>
        <v>51</v>
      </c>
      <c r="B161" t="str">
        <f t="shared" si="66"/>
        <v/>
      </c>
      <c r="C161" t="str">
        <f t="shared" si="66"/>
        <v/>
      </c>
      <c r="D161" t="str">
        <f t="shared" si="66"/>
        <v/>
      </c>
      <c r="E161" t="str">
        <f t="shared" si="66"/>
        <v/>
      </c>
      <c r="F161" s="18" t="str">
        <f t="shared" si="61"/>
        <v/>
      </c>
      <c r="G161" s="17" t="str">
        <f t="shared" si="62"/>
        <v/>
      </c>
      <c r="H161" t="str">
        <f t="shared" ref="H161:L170" si="68">IF(ShowSeries2,IF(ChartLines13=H$4,Series2Input,IF(ChartX13=H$4,$P59,H$7)),"")</f>
        <v/>
      </c>
      <c r="I161" t="str">
        <f t="shared" si="68"/>
        <v/>
      </c>
      <c r="J161" t="str">
        <f t="shared" si="68"/>
        <v/>
      </c>
      <c r="K161" t="str">
        <f t="shared" si="68"/>
        <v/>
      </c>
      <c r="L161" t="str">
        <f t="shared" si="68"/>
        <v/>
      </c>
      <c r="M161" s="18" t="str">
        <f t="shared" si="63"/>
        <v/>
      </c>
      <c r="N161" s="17" t="str">
        <f t="shared" si="64"/>
        <v/>
      </c>
      <c r="O161" t="str">
        <f t="shared" si="65"/>
        <v/>
      </c>
    </row>
    <row r="162" spans="1:15" x14ac:dyDescent="0.2">
      <c r="A162" s="6">
        <f t="shared" si="56"/>
        <v>52</v>
      </c>
      <c r="B162" t="str">
        <f t="shared" si="66"/>
        <v/>
      </c>
      <c r="C162" t="str">
        <f t="shared" si="66"/>
        <v/>
      </c>
      <c r="D162" t="str">
        <f t="shared" si="66"/>
        <v/>
      </c>
      <c r="E162" t="str">
        <f t="shared" si="66"/>
        <v/>
      </c>
      <c r="F162" s="18" t="str">
        <f t="shared" si="61"/>
        <v/>
      </c>
      <c r="G162" s="17" t="str">
        <f t="shared" si="62"/>
        <v/>
      </c>
      <c r="H162" t="str">
        <f t="shared" si="68"/>
        <v/>
      </c>
      <c r="I162" t="str">
        <f t="shared" si="68"/>
        <v/>
      </c>
      <c r="J162" t="str">
        <f t="shared" si="68"/>
        <v/>
      </c>
      <c r="K162" t="str">
        <f t="shared" si="68"/>
        <v/>
      </c>
      <c r="L162" t="str">
        <f t="shared" si="68"/>
        <v/>
      </c>
      <c r="M162" s="18" t="str">
        <f t="shared" si="63"/>
        <v/>
      </c>
      <c r="N162" s="17" t="str">
        <f t="shared" si="64"/>
        <v/>
      </c>
      <c r="O162" t="str">
        <f t="shared" si="65"/>
        <v/>
      </c>
    </row>
    <row r="163" spans="1:15" x14ac:dyDescent="0.2">
      <c r="A163" s="6">
        <f t="shared" si="56"/>
        <v>53</v>
      </c>
      <c r="B163" t="str">
        <f t="shared" si="66"/>
        <v/>
      </c>
      <c r="C163" t="str">
        <f t="shared" si="66"/>
        <v/>
      </c>
      <c r="D163" t="str">
        <f t="shared" si="66"/>
        <v/>
      </c>
      <c r="E163" t="str">
        <f t="shared" si="66"/>
        <v/>
      </c>
      <c r="F163" s="18" t="str">
        <f t="shared" si="61"/>
        <v/>
      </c>
      <c r="G163" s="17" t="str">
        <f t="shared" si="62"/>
        <v/>
      </c>
      <c r="H163" t="str">
        <f t="shared" si="68"/>
        <v/>
      </c>
      <c r="I163" t="str">
        <f t="shared" si="68"/>
        <v/>
      </c>
      <c r="J163" t="str">
        <f t="shared" si="68"/>
        <v/>
      </c>
      <c r="K163" t="str">
        <f t="shared" si="68"/>
        <v/>
      </c>
      <c r="L163" t="str">
        <f t="shared" si="68"/>
        <v/>
      </c>
      <c r="M163" s="18" t="str">
        <f t="shared" si="63"/>
        <v/>
      </c>
      <c r="N163" s="17" t="str">
        <f t="shared" si="64"/>
        <v/>
      </c>
      <c r="O163" t="str">
        <f t="shared" si="65"/>
        <v/>
      </c>
    </row>
    <row r="164" spans="1:15" x14ac:dyDescent="0.2">
      <c r="A164" s="6">
        <f t="shared" si="56"/>
        <v>54</v>
      </c>
      <c r="B164" t="str">
        <f t="shared" si="66"/>
        <v/>
      </c>
      <c r="C164" t="str">
        <f t="shared" si="66"/>
        <v/>
      </c>
      <c r="D164" t="str">
        <f t="shared" si="66"/>
        <v/>
      </c>
      <c r="E164" t="str">
        <f t="shared" si="66"/>
        <v/>
      </c>
      <c r="F164" s="18" t="str">
        <f t="shared" si="61"/>
        <v/>
      </c>
      <c r="G164" s="17" t="str">
        <f t="shared" si="62"/>
        <v/>
      </c>
      <c r="H164" t="str">
        <f t="shared" si="68"/>
        <v/>
      </c>
      <c r="I164" t="str">
        <f t="shared" si="68"/>
        <v/>
      </c>
      <c r="J164" t="str">
        <f t="shared" si="68"/>
        <v/>
      </c>
      <c r="K164" t="str">
        <f t="shared" si="68"/>
        <v/>
      </c>
      <c r="L164" t="str">
        <f t="shared" si="68"/>
        <v/>
      </c>
      <c r="M164" s="18" t="str">
        <f t="shared" si="63"/>
        <v/>
      </c>
      <c r="N164" s="17" t="str">
        <f t="shared" si="64"/>
        <v/>
      </c>
      <c r="O164" t="str">
        <f t="shared" si="65"/>
        <v/>
      </c>
    </row>
    <row r="165" spans="1:15" x14ac:dyDescent="0.2">
      <c r="A165" s="6">
        <f t="shared" si="56"/>
        <v>55</v>
      </c>
      <c r="B165" t="str">
        <f t="shared" si="66"/>
        <v/>
      </c>
      <c r="C165" t="str">
        <f t="shared" si="66"/>
        <v/>
      </c>
      <c r="D165" t="str">
        <f t="shared" si="66"/>
        <v/>
      </c>
      <c r="E165" t="str">
        <f t="shared" si="66"/>
        <v/>
      </c>
      <c r="F165" s="18" t="str">
        <f t="shared" si="61"/>
        <v/>
      </c>
      <c r="G165" s="17" t="str">
        <f t="shared" si="62"/>
        <v/>
      </c>
      <c r="H165" t="str">
        <f t="shared" si="68"/>
        <v/>
      </c>
      <c r="I165" t="str">
        <f t="shared" si="68"/>
        <v/>
      </c>
      <c r="J165" t="str">
        <f t="shared" si="68"/>
        <v/>
      </c>
      <c r="K165" t="str">
        <f t="shared" si="68"/>
        <v/>
      </c>
      <c r="L165" t="str">
        <f t="shared" si="68"/>
        <v/>
      </c>
      <c r="M165" s="18" t="str">
        <f t="shared" si="63"/>
        <v/>
      </c>
      <c r="N165" s="17" t="str">
        <f t="shared" si="64"/>
        <v/>
      </c>
      <c r="O165" t="str">
        <f t="shared" si="65"/>
        <v/>
      </c>
    </row>
    <row r="166" spans="1:15" x14ac:dyDescent="0.2">
      <c r="A166" s="6">
        <f t="shared" si="56"/>
        <v>56</v>
      </c>
      <c r="B166" t="str">
        <f t="shared" si="66"/>
        <v/>
      </c>
      <c r="C166" t="str">
        <f t="shared" si="66"/>
        <v/>
      </c>
      <c r="D166" t="str">
        <f t="shared" si="66"/>
        <v/>
      </c>
      <c r="E166" t="str">
        <f t="shared" si="66"/>
        <v/>
      </c>
      <c r="F166" s="18" t="str">
        <f t="shared" si="61"/>
        <v/>
      </c>
      <c r="G166" s="17" t="str">
        <f t="shared" si="62"/>
        <v/>
      </c>
      <c r="H166" t="str">
        <f t="shared" si="68"/>
        <v/>
      </c>
      <c r="I166" t="str">
        <f t="shared" si="68"/>
        <v/>
      </c>
      <c r="J166" t="str">
        <f t="shared" si="68"/>
        <v/>
      </c>
      <c r="K166" t="str">
        <f t="shared" si="68"/>
        <v/>
      </c>
      <c r="L166" t="str">
        <f t="shared" si="68"/>
        <v/>
      </c>
      <c r="M166" s="18" t="str">
        <f t="shared" si="63"/>
        <v/>
      </c>
      <c r="N166" s="17" t="str">
        <f t="shared" si="64"/>
        <v/>
      </c>
      <c r="O166" t="str">
        <f t="shared" si="65"/>
        <v/>
      </c>
    </row>
    <row r="167" spans="1:15" x14ac:dyDescent="0.2">
      <c r="A167" s="6">
        <f t="shared" si="56"/>
        <v>57</v>
      </c>
      <c r="B167" t="str">
        <f t="shared" si="66"/>
        <v/>
      </c>
      <c r="C167" t="str">
        <f t="shared" si="66"/>
        <v/>
      </c>
      <c r="D167" t="str">
        <f t="shared" si="66"/>
        <v/>
      </c>
      <c r="E167" t="str">
        <f t="shared" si="66"/>
        <v/>
      </c>
      <c r="F167" s="18" t="str">
        <f t="shared" si="61"/>
        <v/>
      </c>
      <c r="G167" s="17" t="str">
        <f t="shared" si="62"/>
        <v/>
      </c>
      <c r="H167" t="str">
        <f t="shared" si="68"/>
        <v/>
      </c>
      <c r="I167" t="str">
        <f t="shared" si="68"/>
        <v/>
      </c>
      <c r="J167" t="str">
        <f t="shared" si="68"/>
        <v/>
      </c>
      <c r="K167" t="str">
        <f t="shared" si="68"/>
        <v/>
      </c>
      <c r="L167" t="str">
        <f t="shared" si="68"/>
        <v/>
      </c>
      <c r="M167" s="18" t="str">
        <f t="shared" si="63"/>
        <v/>
      </c>
      <c r="N167" s="17" t="str">
        <f t="shared" si="64"/>
        <v/>
      </c>
      <c r="O167" t="str">
        <f t="shared" si="65"/>
        <v/>
      </c>
    </row>
    <row r="168" spans="1:15" x14ac:dyDescent="0.2">
      <c r="A168" s="6">
        <f t="shared" si="56"/>
        <v>58</v>
      </c>
      <c r="B168" t="str">
        <f t="shared" si="66"/>
        <v/>
      </c>
      <c r="C168" t="str">
        <f t="shared" si="66"/>
        <v/>
      </c>
      <c r="D168" t="str">
        <f t="shared" si="66"/>
        <v/>
      </c>
      <c r="E168" t="str">
        <f t="shared" si="66"/>
        <v/>
      </c>
      <c r="F168" s="18" t="str">
        <f t="shared" si="61"/>
        <v/>
      </c>
      <c r="G168" s="17" t="str">
        <f t="shared" si="62"/>
        <v/>
      </c>
      <c r="H168" t="str">
        <f t="shared" si="68"/>
        <v/>
      </c>
      <c r="I168" t="str">
        <f t="shared" si="68"/>
        <v/>
      </c>
      <c r="J168" t="str">
        <f t="shared" si="68"/>
        <v/>
      </c>
      <c r="K168" t="str">
        <f t="shared" si="68"/>
        <v/>
      </c>
      <c r="L168" t="str">
        <f t="shared" si="68"/>
        <v/>
      </c>
      <c r="M168" s="18" t="str">
        <f t="shared" si="63"/>
        <v/>
      </c>
      <c r="N168" s="17" t="str">
        <f t="shared" si="64"/>
        <v/>
      </c>
      <c r="O168" t="str">
        <f t="shared" si="65"/>
        <v/>
      </c>
    </row>
    <row r="169" spans="1:15" x14ac:dyDescent="0.2">
      <c r="A169" s="6">
        <f t="shared" si="56"/>
        <v>59</v>
      </c>
      <c r="B169" t="str">
        <f t="shared" si="66"/>
        <v/>
      </c>
      <c r="C169" t="str">
        <f t="shared" si="66"/>
        <v/>
      </c>
      <c r="D169" t="str">
        <f t="shared" si="66"/>
        <v/>
      </c>
      <c r="E169" t="str">
        <f t="shared" si="66"/>
        <v/>
      </c>
      <c r="F169" s="18" t="str">
        <f t="shared" si="61"/>
        <v/>
      </c>
      <c r="G169" s="17" t="str">
        <f t="shared" si="62"/>
        <v/>
      </c>
      <c r="H169" t="str">
        <f t="shared" si="68"/>
        <v/>
      </c>
      <c r="I169" t="str">
        <f t="shared" si="68"/>
        <v/>
      </c>
      <c r="J169" t="str">
        <f t="shared" si="68"/>
        <v/>
      </c>
      <c r="K169" t="str">
        <f t="shared" si="68"/>
        <v/>
      </c>
      <c r="L169" t="str">
        <f t="shared" si="68"/>
        <v/>
      </c>
      <c r="M169" s="18" t="str">
        <f t="shared" si="63"/>
        <v/>
      </c>
      <c r="N169" s="17" t="str">
        <f t="shared" si="64"/>
        <v/>
      </c>
      <c r="O169" t="str">
        <f t="shared" si="65"/>
        <v/>
      </c>
    </row>
    <row r="170" spans="1:15" x14ac:dyDescent="0.2">
      <c r="A170" s="6">
        <f t="shared" si="56"/>
        <v>60</v>
      </c>
      <c r="B170" t="str">
        <f t="shared" si="66"/>
        <v/>
      </c>
      <c r="C170" t="str">
        <f t="shared" si="66"/>
        <v/>
      </c>
      <c r="D170" t="str">
        <f t="shared" si="66"/>
        <v/>
      </c>
      <c r="E170" t="str">
        <f t="shared" si="66"/>
        <v/>
      </c>
      <c r="F170" s="18" t="str">
        <f t="shared" si="61"/>
        <v/>
      </c>
      <c r="G170" s="17" t="str">
        <f t="shared" si="62"/>
        <v/>
      </c>
      <c r="H170" t="str">
        <f t="shared" si="68"/>
        <v/>
      </c>
      <c r="I170" t="str">
        <f t="shared" si="68"/>
        <v/>
      </c>
      <c r="J170" t="str">
        <f t="shared" si="68"/>
        <v/>
      </c>
      <c r="K170" t="str">
        <f t="shared" si="68"/>
        <v/>
      </c>
      <c r="L170" t="str">
        <f t="shared" si="68"/>
        <v/>
      </c>
      <c r="M170" s="18" t="str">
        <f t="shared" si="63"/>
        <v/>
      </c>
      <c r="N170" s="17" t="str">
        <f t="shared" si="64"/>
        <v/>
      </c>
      <c r="O170" t="str">
        <f t="shared" si="65"/>
        <v/>
      </c>
    </row>
    <row r="171" spans="1:15" x14ac:dyDescent="0.2">
      <c r="A171" s="6">
        <f t="shared" si="56"/>
        <v>61</v>
      </c>
      <c r="B171" t="str">
        <f t="shared" ref="B171:E190" si="69">IF(ShowSeries2,IF(ChartLines13=B$4,Series2Input,IF(ChartX13=B$4,$P69,B$7)),"")</f>
        <v/>
      </c>
      <c r="C171" t="str">
        <f t="shared" si="69"/>
        <v/>
      </c>
      <c r="D171" t="str">
        <f t="shared" si="69"/>
        <v/>
      </c>
      <c r="E171" t="str">
        <f t="shared" si="69"/>
        <v/>
      </c>
      <c r="F171" s="18" t="str">
        <f t="shared" si="61"/>
        <v/>
      </c>
      <c r="G171" s="17" t="str">
        <f t="shared" si="62"/>
        <v/>
      </c>
      <c r="H171" t="str">
        <f t="shared" ref="H171:L180" si="70">IF(ShowSeries2,IF(ChartLines13=H$4,Series2Input,IF(ChartX13=H$4,$P69,H$7)),"")</f>
        <v/>
      </c>
      <c r="I171" t="str">
        <f t="shared" si="70"/>
        <v/>
      </c>
      <c r="J171" t="str">
        <f t="shared" si="70"/>
        <v/>
      </c>
      <c r="K171" t="str">
        <f t="shared" si="70"/>
        <v/>
      </c>
      <c r="L171" t="str">
        <f t="shared" si="70"/>
        <v/>
      </c>
      <c r="M171" s="18" t="str">
        <f t="shared" si="63"/>
        <v/>
      </c>
      <c r="N171" s="17" t="str">
        <f t="shared" si="64"/>
        <v/>
      </c>
      <c r="O171" t="str">
        <f t="shared" si="65"/>
        <v/>
      </c>
    </row>
    <row r="172" spans="1:15" x14ac:dyDescent="0.2">
      <c r="A172" s="6">
        <f t="shared" si="56"/>
        <v>62</v>
      </c>
      <c r="B172" t="str">
        <f t="shared" si="69"/>
        <v/>
      </c>
      <c r="C172" t="str">
        <f t="shared" si="69"/>
        <v/>
      </c>
      <c r="D172" t="str">
        <f t="shared" si="69"/>
        <v/>
      </c>
      <c r="E172" t="str">
        <f t="shared" si="69"/>
        <v/>
      </c>
      <c r="F172" s="18" t="str">
        <f t="shared" si="61"/>
        <v/>
      </c>
      <c r="G172" s="17" t="str">
        <f t="shared" si="62"/>
        <v/>
      </c>
      <c r="H172" t="str">
        <f t="shared" si="70"/>
        <v/>
      </c>
      <c r="I172" t="str">
        <f t="shared" si="70"/>
        <v/>
      </c>
      <c r="J172" t="str">
        <f t="shared" si="70"/>
        <v/>
      </c>
      <c r="K172" t="str">
        <f t="shared" si="70"/>
        <v/>
      </c>
      <c r="L172" t="str">
        <f t="shared" si="70"/>
        <v/>
      </c>
      <c r="M172" s="18" t="str">
        <f t="shared" si="63"/>
        <v/>
      </c>
      <c r="N172" s="17" t="str">
        <f t="shared" si="64"/>
        <v/>
      </c>
      <c r="O172" t="str">
        <f t="shared" si="65"/>
        <v/>
      </c>
    </row>
    <row r="173" spans="1:15" x14ac:dyDescent="0.2">
      <c r="A173" s="6">
        <f t="shared" si="56"/>
        <v>63</v>
      </c>
      <c r="B173" t="str">
        <f t="shared" si="69"/>
        <v/>
      </c>
      <c r="C173" t="str">
        <f t="shared" si="69"/>
        <v/>
      </c>
      <c r="D173" t="str">
        <f t="shared" si="69"/>
        <v/>
      </c>
      <c r="E173" t="str">
        <f t="shared" si="69"/>
        <v/>
      </c>
      <c r="F173" s="18" t="str">
        <f t="shared" si="61"/>
        <v/>
      </c>
      <c r="G173" s="17" t="str">
        <f t="shared" si="62"/>
        <v/>
      </c>
      <c r="H173" t="str">
        <f t="shared" si="70"/>
        <v/>
      </c>
      <c r="I173" t="str">
        <f t="shared" si="70"/>
        <v/>
      </c>
      <c r="J173" t="str">
        <f t="shared" si="70"/>
        <v/>
      </c>
      <c r="K173" t="str">
        <f t="shared" si="70"/>
        <v/>
      </c>
      <c r="L173" t="str">
        <f t="shared" si="70"/>
        <v/>
      </c>
      <c r="M173" s="18" t="str">
        <f t="shared" si="63"/>
        <v/>
      </c>
      <c r="N173" s="17" t="str">
        <f t="shared" si="64"/>
        <v/>
      </c>
      <c r="O173" t="str">
        <f t="shared" si="65"/>
        <v/>
      </c>
    </row>
    <row r="174" spans="1:15" x14ac:dyDescent="0.2">
      <c r="A174" s="6">
        <f t="shared" si="56"/>
        <v>64</v>
      </c>
      <c r="B174" t="str">
        <f t="shared" si="69"/>
        <v/>
      </c>
      <c r="C174" t="str">
        <f t="shared" si="69"/>
        <v/>
      </c>
      <c r="D174" t="str">
        <f t="shared" si="69"/>
        <v/>
      </c>
      <c r="E174" t="str">
        <f t="shared" si="69"/>
        <v/>
      </c>
      <c r="F174" s="18" t="str">
        <f t="shared" si="61"/>
        <v/>
      </c>
      <c r="G174" s="17" t="str">
        <f t="shared" si="62"/>
        <v/>
      </c>
      <c r="H174" t="str">
        <f t="shared" si="70"/>
        <v/>
      </c>
      <c r="I174" t="str">
        <f t="shared" si="70"/>
        <v/>
      </c>
      <c r="J174" t="str">
        <f t="shared" si="70"/>
        <v/>
      </c>
      <c r="K174" t="str">
        <f t="shared" si="70"/>
        <v/>
      </c>
      <c r="L174" t="str">
        <f t="shared" si="70"/>
        <v/>
      </c>
      <c r="M174" s="18" t="str">
        <f t="shared" si="63"/>
        <v/>
      </c>
      <c r="N174" s="17" t="str">
        <f t="shared" si="64"/>
        <v/>
      </c>
      <c r="O174" t="str">
        <f t="shared" si="65"/>
        <v/>
      </c>
    </row>
    <row r="175" spans="1:15" x14ac:dyDescent="0.2">
      <c r="A175" s="6">
        <f t="shared" si="56"/>
        <v>65</v>
      </c>
      <c r="B175" t="str">
        <f t="shared" si="69"/>
        <v/>
      </c>
      <c r="C175" t="str">
        <f t="shared" si="69"/>
        <v/>
      </c>
      <c r="D175" t="str">
        <f t="shared" si="69"/>
        <v/>
      </c>
      <c r="E175" t="str">
        <f t="shared" si="69"/>
        <v/>
      </c>
      <c r="F175" s="18" t="str">
        <f t="shared" ref="F175:F206" si="71">IF(ShowSeries2,IF(ChartLines13=F$4,Series2Input,IF(ChartX13=F$4,$P73,IF(TimeAs=1,E175-D175,IF(TimeAs=2,F$7,G175*DaysPerYear)))),"")</f>
        <v/>
      </c>
      <c r="G175" s="17" t="str">
        <f t="shared" ref="G175:G206" si="72">IF(ShowSeries2,IF(ChartLines13=G$4,Series2Input,IF(ChartX13=G$4,$P73,IF(TimeAs&lt;3,F175/DaysPerYear,G$7))),"")</f>
        <v/>
      </c>
      <c r="H175" t="str">
        <f t="shared" si="70"/>
        <v/>
      </c>
      <c r="I175" t="str">
        <f t="shared" si="70"/>
        <v/>
      </c>
      <c r="J175" t="str">
        <f t="shared" si="70"/>
        <v/>
      </c>
      <c r="K175" t="str">
        <f t="shared" si="70"/>
        <v/>
      </c>
      <c r="L175" t="str">
        <f t="shared" si="70"/>
        <v/>
      </c>
      <c r="M175" s="18" t="str">
        <f t="shared" ref="M175:M206" si="73">IF(ShowSeries2,IF(ChartLines13=M$4,Series2Input,IF(ChartX13=M$4,$P73,IF(ExDivAs=1,L175-D175,IF(ExDivAs=2,M$7,N175*DaysPerYear)))),"")</f>
        <v/>
      </c>
      <c r="N175" s="17" t="str">
        <f t="shared" ref="N175:N206" si="74">IF(ShowSeries2,IF(ChartLines13=N$4,Series2Input,IF(ChartX13=N$4,$P73,IF(ExDivAs&lt;3,M175/DaysPerYear,N$7))),"")</f>
        <v/>
      </c>
      <c r="O175" t="str">
        <f t="shared" ref="O175:O211" si="75">IF(ShowSeries2,BinOp($B175,$C175,$G175,$H175,$J175,$I175,CallPut,AmEur,Model,Steps,ModelOutput,$K175,$N175),"")</f>
        <v/>
      </c>
    </row>
    <row r="176" spans="1:15" x14ac:dyDescent="0.2">
      <c r="A176" s="6">
        <f t="shared" si="56"/>
        <v>66</v>
      </c>
      <c r="B176" t="str">
        <f t="shared" si="69"/>
        <v/>
      </c>
      <c r="C176" t="str">
        <f t="shared" si="69"/>
        <v/>
      </c>
      <c r="D176" t="str">
        <f t="shared" si="69"/>
        <v/>
      </c>
      <c r="E176" t="str">
        <f t="shared" si="69"/>
        <v/>
      </c>
      <c r="F176" s="18" t="str">
        <f t="shared" si="71"/>
        <v/>
      </c>
      <c r="G176" s="17" t="str">
        <f t="shared" si="72"/>
        <v/>
      </c>
      <c r="H176" t="str">
        <f t="shared" si="70"/>
        <v/>
      </c>
      <c r="I176" t="str">
        <f t="shared" si="70"/>
        <v/>
      </c>
      <c r="J176" t="str">
        <f t="shared" si="70"/>
        <v/>
      </c>
      <c r="K176" t="str">
        <f t="shared" si="70"/>
        <v/>
      </c>
      <c r="L176" t="str">
        <f t="shared" si="70"/>
        <v/>
      </c>
      <c r="M176" s="18" t="str">
        <f t="shared" si="73"/>
        <v/>
      </c>
      <c r="N176" s="17" t="str">
        <f t="shared" si="74"/>
        <v/>
      </c>
      <c r="O176" t="str">
        <f t="shared" si="75"/>
        <v/>
      </c>
    </row>
    <row r="177" spans="1:15" x14ac:dyDescent="0.2">
      <c r="A177" s="6">
        <f t="shared" ref="A177:A211" si="76">A176+1</f>
        <v>67</v>
      </c>
      <c r="B177" t="str">
        <f t="shared" si="69"/>
        <v/>
      </c>
      <c r="C177" t="str">
        <f t="shared" si="69"/>
        <v/>
      </c>
      <c r="D177" t="str">
        <f t="shared" si="69"/>
        <v/>
      </c>
      <c r="E177" t="str">
        <f t="shared" si="69"/>
        <v/>
      </c>
      <c r="F177" s="18" t="str">
        <f t="shared" si="71"/>
        <v/>
      </c>
      <c r="G177" s="17" t="str">
        <f t="shared" si="72"/>
        <v/>
      </c>
      <c r="H177" t="str">
        <f t="shared" si="70"/>
        <v/>
      </c>
      <c r="I177" t="str">
        <f t="shared" si="70"/>
        <v/>
      </c>
      <c r="J177" t="str">
        <f t="shared" si="70"/>
        <v/>
      </c>
      <c r="K177" t="str">
        <f t="shared" si="70"/>
        <v/>
      </c>
      <c r="L177" t="str">
        <f t="shared" si="70"/>
        <v/>
      </c>
      <c r="M177" s="18" t="str">
        <f t="shared" si="73"/>
        <v/>
      </c>
      <c r="N177" s="17" t="str">
        <f t="shared" si="74"/>
        <v/>
      </c>
      <c r="O177" t="str">
        <f t="shared" si="75"/>
        <v/>
      </c>
    </row>
    <row r="178" spans="1:15" x14ac:dyDescent="0.2">
      <c r="A178" s="6">
        <f t="shared" si="76"/>
        <v>68</v>
      </c>
      <c r="B178" t="str">
        <f t="shared" si="69"/>
        <v/>
      </c>
      <c r="C178" t="str">
        <f t="shared" si="69"/>
        <v/>
      </c>
      <c r="D178" t="str">
        <f t="shared" si="69"/>
        <v/>
      </c>
      <c r="E178" t="str">
        <f t="shared" si="69"/>
        <v/>
      </c>
      <c r="F178" s="18" t="str">
        <f t="shared" si="71"/>
        <v/>
      </c>
      <c r="G178" s="17" t="str">
        <f t="shared" si="72"/>
        <v/>
      </c>
      <c r="H178" t="str">
        <f t="shared" si="70"/>
        <v/>
      </c>
      <c r="I178" t="str">
        <f t="shared" si="70"/>
        <v/>
      </c>
      <c r="J178" t="str">
        <f t="shared" si="70"/>
        <v/>
      </c>
      <c r="K178" t="str">
        <f t="shared" si="70"/>
        <v/>
      </c>
      <c r="L178" t="str">
        <f t="shared" si="70"/>
        <v/>
      </c>
      <c r="M178" s="18" t="str">
        <f t="shared" si="73"/>
        <v/>
      </c>
      <c r="N178" s="17" t="str">
        <f t="shared" si="74"/>
        <v/>
      </c>
      <c r="O178" t="str">
        <f t="shared" si="75"/>
        <v/>
      </c>
    </row>
    <row r="179" spans="1:15" x14ac:dyDescent="0.2">
      <c r="A179" s="6">
        <f t="shared" si="76"/>
        <v>69</v>
      </c>
      <c r="B179" t="str">
        <f t="shared" si="69"/>
        <v/>
      </c>
      <c r="C179" t="str">
        <f t="shared" si="69"/>
        <v/>
      </c>
      <c r="D179" t="str">
        <f t="shared" si="69"/>
        <v/>
      </c>
      <c r="E179" t="str">
        <f t="shared" si="69"/>
        <v/>
      </c>
      <c r="F179" s="18" t="str">
        <f t="shared" si="71"/>
        <v/>
      </c>
      <c r="G179" s="17" t="str">
        <f t="shared" si="72"/>
        <v/>
      </c>
      <c r="H179" t="str">
        <f t="shared" si="70"/>
        <v/>
      </c>
      <c r="I179" t="str">
        <f t="shared" si="70"/>
        <v/>
      </c>
      <c r="J179" t="str">
        <f t="shared" si="70"/>
        <v/>
      </c>
      <c r="K179" t="str">
        <f t="shared" si="70"/>
        <v/>
      </c>
      <c r="L179" t="str">
        <f t="shared" si="70"/>
        <v/>
      </c>
      <c r="M179" s="18" t="str">
        <f t="shared" si="73"/>
        <v/>
      </c>
      <c r="N179" s="17" t="str">
        <f t="shared" si="74"/>
        <v/>
      </c>
      <c r="O179" t="str">
        <f t="shared" si="75"/>
        <v/>
      </c>
    </row>
    <row r="180" spans="1:15" x14ac:dyDescent="0.2">
      <c r="A180" s="6">
        <f t="shared" si="76"/>
        <v>70</v>
      </c>
      <c r="B180" t="str">
        <f t="shared" si="69"/>
        <v/>
      </c>
      <c r="C180" t="str">
        <f t="shared" si="69"/>
        <v/>
      </c>
      <c r="D180" t="str">
        <f t="shared" si="69"/>
        <v/>
      </c>
      <c r="E180" t="str">
        <f t="shared" si="69"/>
        <v/>
      </c>
      <c r="F180" s="18" t="str">
        <f t="shared" si="71"/>
        <v/>
      </c>
      <c r="G180" s="17" t="str">
        <f t="shared" si="72"/>
        <v/>
      </c>
      <c r="H180" t="str">
        <f t="shared" si="70"/>
        <v/>
      </c>
      <c r="I180" t="str">
        <f t="shared" si="70"/>
        <v/>
      </c>
      <c r="J180" t="str">
        <f t="shared" si="70"/>
        <v/>
      </c>
      <c r="K180" t="str">
        <f t="shared" si="70"/>
        <v/>
      </c>
      <c r="L180" t="str">
        <f t="shared" si="70"/>
        <v/>
      </c>
      <c r="M180" s="18" t="str">
        <f t="shared" si="73"/>
        <v/>
      </c>
      <c r="N180" s="17" t="str">
        <f t="shared" si="74"/>
        <v/>
      </c>
      <c r="O180" t="str">
        <f t="shared" si="75"/>
        <v/>
      </c>
    </row>
    <row r="181" spans="1:15" x14ac:dyDescent="0.2">
      <c r="A181" s="6">
        <f t="shared" si="76"/>
        <v>71</v>
      </c>
      <c r="B181" t="str">
        <f t="shared" si="69"/>
        <v/>
      </c>
      <c r="C181" t="str">
        <f t="shared" si="69"/>
        <v/>
      </c>
      <c r="D181" t="str">
        <f t="shared" si="69"/>
        <v/>
      </c>
      <c r="E181" t="str">
        <f t="shared" si="69"/>
        <v/>
      </c>
      <c r="F181" s="18" t="str">
        <f t="shared" si="71"/>
        <v/>
      </c>
      <c r="G181" s="17" t="str">
        <f t="shared" si="72"/>
        <v/>
      </c>
      <c r="H181" t="str">
        <f t="shared" ref="H181:L190" si="77">IF(ShowSeries2,IF(ChartLines13=H$4,Series2Input,IF(ChartX13=H$4,$P79,H$7)),"")</f>
        <v/>
      </c>
      <c r="I181" t="str">
        <f t="shared" si="77"/>
        <v/>
      </c>
      <c r="J181" t="str">
        <f t="shared" si="77"/>
        <v/>
      </c>
      <c r="K181" t="str">
        <f t="shared" si="77"/>
        <v/>
      </c>
      <c r="L181" t="str">
        <f t="shared" si="77"/>
        <v/>
      </c>
      <c r="M181" s="18" t="str">
        <f t="shared" si="73"/>
        <v/>
      </c>
      <c r="N181" s="17" t="str">
        <f t="shared" si="74"/>
        <v/>
      </c>
      <c r="O181" t="str">
        <f t="shared" si="75"/>
        <v/>
      </c>
    </row>
    <row r="182" spans="1:15" x14ac:dyDescent="0.2">
      <c r="A182" s="6">
        <f t="shared" si="76"/>
        <v>72</v>
      </c>
      <c r="B182" t="str">
        <f t="shared" si="69"/>
        <v/>
      </c>
      <c r="C182" t="str">
        <f t="shared" si="69"/>
        <v/>
      </c>
      <c r="D182" t="str">
        <f t="shared" si="69"/>
        <v/>
      </c>
      <c r="E182" t="str">
        <f t="shared" si="69"/>
        <v/>
      </c>
      <c r="F182" s="18" t="str">
        <f t="shared" si="71"/>
        <v/>
      </c>
      <c r="G182" s="17" t="str">
        <f t="shared" si="72"/>
        <v/>
      </c>
      <c r="H182" t="str">
        <f t="shared" si="77"/>
        <v/>
      </c>
      <c r="I182" t="str">
        <f t="shared" si="77"/>
        <v/>
      </c>
      <c r="J182" t="str">
        <f t="shared" si="77"/>
        <v/>
      </c>
      <c r="K182" t="str">
        <f t="shared" si="77"/>
        <v/>
      </c>
      <c r="L182" t="str">
        <f t="shared" si="77"/>
        <v/>
      </c>
      <c r="M182" s="18" t="str">
        <f t="shared" si="73"/>
        <v/>
      </c>
      <c r="N182" s="17" t="str">
        <f t="shared" si="74"/>
        <v/>
      </c>
      <c r="O182" t="str">
        <f t="shared" si="75"/>
        <v/>
      </c>
    </row>
    <row r="183" spans="1:15" x14ac:dyDescent="0.2">
      <c r="A183" s="6">
        <f t="shared" si="76"/>
        <v>73</v>
      </c>
      <c r="B183" t="str">
        <f t="shared" si="69"/>
        <v/>
      </c>
      <c r="C183" t="str">
        <f t="shared" si="69"/>
        <v/>
      </c>
      <c r="D183" t="str">
        <f t="shared" si="69"/>
        <v/>
      </c>
      <c r="E183" t="str">
        <f t="shared" si="69"/>
        <v/>
      </c>
      <c r="F183" s="18" t="str">
        <f t="shared" si="71"/>
        <v/>
      </c>
      <c r="G183" s="17" t="str">
        <f t="shared" si="72"/>
        <v/>
      </c>
      <c r="H183" t="str">
        <f t="shared" si="77"/>
        <v/>
      </c>
      <c r="I183" t="str">
        <f t="shared" si="77"/>
        <v/>
      </c>
      <c r="J183" t="str">
        <f t="shared" si="77"/>
        <v/>
      </c>
      <c r="K183" t="str">
        <f t="shared" si="77"/>
        <v/>
      </c>
      <c r="L183" t="str">
        <f t="shared" si="77"/>
        <v/>
      </c>
      <c r="M183" s="18" t="str">
        <f t="shared" si="73"/>
        <v/>
      </c>
      <c r="N183" s="17" t="str">
        <f t="shared" si="74"/>
        <v/>
      </c>
      <c r="O183" t="str">
        <f t="shared" si="75"/>
        <v/>
      </c>
    </row>
    <row r="184" spans="1:15" x14ac:dyDescent="0.2">
      <c r="A184" s="6">
        <f t="shared" si="76"/>
        <v>74</v>
      </c>
      <c r="B184" t="str">
        <f t="shared" si="69"/>
        <v/>
      </c>
      <c r="C184" t="str">
        <f t="shared" si="69"/>
        <v/>
      </c>
      <c r="D184" t="str">
        <f t="shared" si="69"/>
        <v/>
      </c>
      <c r="E184" t="str">
        <f t="shared" si="69"/>
        <v/>
      </c>
      <c r="F184" s="18" t="str">
        <f t="shared" si="71"/>
        <v/>
      </c>
      <c r="G184" s="17" t="str">
        <f t="shared" si="72"/>
        <v/>
      </c>
      <c r="H184" t="str">
        <f t="shared" si="77"/>
        <v/>
      </c>
      <c r="I184" t="str">
        <f t="shared" si="77"/>
        <v/>
      </c>
      <c r="J184" t="str">
        <f t="shared" si="77"/>
        <v/>
      </c>
      <c r="K184" t="str">
        <f t="shared" si="77"/>
        <v/>
      </c>
      <c r="L184" t="str">
        <f t="shared" si="77"/>
        <v/>
      </c>
      <c r="M184" s="18" t="str">
        <f t="shared" si="73"/>
        <v/>
      </c>
      <c r="N184" s="17" t="str">
        <f t="shared" si="74"/>
        <v/>
      </c>
      <c r="O184" t="str">
        <f t="shared" si="75"/>
        <v/>
      </c>
    </row>
    <row r="185" spans="1:15" x14ac:dyDescent="0.2">
      <c r="A185" s="6">
        <f t="shared" si="76"/>
        <v>75</v>
      </c>
      <c r="B185" t="str">
        <f t="shared" si="69"/>
        <v/>
      </c>
      <c r="C185" t="str">
        <f t="shared" si="69"/>
        <v/>
      </c>
      <c r="D185" t="str">
        <f t="shared" si="69"/>
        <v/>
      </c>
      <c r="E185" t="str">
        <f t="shared" si="69"/>
        <v/>
      </c>
      <c r="F185" s="18" t="str">
        <f t="shared" si="71"/>
        <v/>
      </c>
      <c r="G185" s="17" t="str">
        <f t="shared" si="72"/>
        <v/>
      </c>
      <c r="H185" t="str">
        <f t="shared" si="77"/>
        <v/>
      </c>
      <c r="I185" t="str">
        <f t="shared" si="77"/>
        <v/>
      </c>
      <c r="J185" t="str">
        <f t="shared" si="77"/>
        <v/>
      </c>
      <c r="K185" t="str">
        <f t="shared" si="77"/>
        <v/>
      </c>
      <c r="L185" t="str">
        <f t="shared" si="77"/>
        <v/>
      </c>
      <c r="M185" s="18" t="str">
        <f t="shared" si="73"/>
        <v/>
      </c>
      <c r="N185" s="17" t="str">
        <f t="shared" si="74"/>
        <v/>
      </c>
      <c r="O185" t="str">
        <f t="shared" si="75"/>
        <v/>
      </c>
    </row>
    <row r="186" spans="1:15" x14ac:dyDescent="0.2">
      <c r="A186" s="6">
        <f t="shared" si="76"/>
        <v>76</v>
      </c>
      <c r="B186" t="str">
        <f t="shared" si="69"/>
        <v/>
      </c>
      <c r="C186" t="str">
        <f t="shared" si="69"/>
        <v/>
      </c>
      <c r="D186" t="str">
        <f t="shared" si="69"/>
        <v/>
      </c>
      <c r="E186" t="str">
        <f t="shared" si="69"/>
        <v/>
      </c>
      <c r="F186" s="18" t="str">
        <f t="shared" si="71"/>
        <v/>
      </c>
      <c r="G186" s="17" t="str">
        <f t="shared" si="72"/>
        <v/>
      </c>
      <c r="H186" t="str">
        <f t="shared" si="77"/>
        <v/>
      </c>
      <c r="I186" t="str">
        <f t="shared" si="77"/>
        <v/>
      </c>
      <c r="J186" t="str">
        <f t="shared" si="77"/>
        <v/>
      </c>
      <c r="K186" t="str">
        <f t="shared" si="77"/>
        <v/>
      </c>
      <c r="L186" t="str">
        <f t="shared" si="77"/>
        <v/>
      </c>
      <c r="M186" s="18" t="str">
        <f t="shared" si="73"/>
        <v/>
      </c>
      <c r="N186" s="17" t="str">
        <f t="shared" si="74"/>
        <v/>
      </c>
      <c r="O186" t="str">
        <f t="shared" si="75"/>
        <v/>
      </c>
    </row>
    <row r="187" spans="1:15" x14ac:dyDescent="0.2">
      <c r="A187" s="6">
        <f t="shared" si="76"/>
        <v>77</v>
      </c>
      <c r="B187" t="str">
        <f t="shared" si="69"/>
        <v/>
      </c>
      <c r="C187" t="str">
        <f t="shared" si="69"/>
        <v/>
      </c>
      <c r="D187" t="str">
        <f t="shared" si="69"/>
        <v/>
      </c>
      <c r="E187" t="str">
        <f t="shared" si="69"/>
        <v/>
      </c>
      <c r="F187" s="18" t="str">
        <f t="shared" si="71"/>
        <v/>
      </c>
      <c r="G187" s="17" t="str">
        <f t="shared" si="72"/>
        <v/>
      </c>
      <c r="H187" t="str">
        <f t="shared" si="77"/>
        <v/>
      </c>
      <c r="I187" t="str">
        <f t="shared" si="77"/>
        <v/>
      </c>
      <c r="J187" t="str">
        <f t="shared" si="77"/>
        <v/>
      </c>
      <c r="K187" t="str">
        <f t="shared" si="77"/>
        <v/>
      </c>
      <c r="L187" t="str">
        <f t="shared" si="77"/>
        <v/>
      </c>
      <c r="M187" s="18" t="str">
        <f t="shared" si="73"/>
        <v/>
      </c>
      <c r="N187" s="17" t="str">
        <f t="shared" si="74"/>
        <v/>
      </c>
      <c r="O187" t="str">
        <f t="shared" si="75"/>
        <v/>
      </c>
    </row>
    <row r="188" spans="1:15" x14ac:dyDescent="0.2">
      <c r="A188" s="6">
        <f t="shared" si="76"/>
        <v>78</v>
      </c>
      <c r="B188" t="str">
        <f t="shared" si="69"/>
        <v/>
      </c>
      <c r="C188" t="str">
        <f t="shared" si="69"/>
        <v/>
      </c>
      <c r="D188" t="str">
        <f t="shared" si="69"/>
        <v/>
      </c>
      <c r="E188" t="str">
        <f t="shared" si="69"/>
        <v/>
      </c>
      <c r="F188" s="18" t="str">
        <f t="shared" si="71"/>
        <v/>
      </c>
      <c r="G188" s="17" t="str">
        <f t="shared" si="72"/>
        <v/>
      </c>
      <c r="H188" t="str">
        <f t="shared" si="77"/>
        <v/>
      </c>
      <c r="I188" t="str">
        <f t="shared" si="77"/>
        <v/>
      </c>
      <c r="J188" t="str">
        <f t="shared" si="77"/>
        <v/>
      </c>
      <c r="K188" t="str">
        <f t="shared" si="77"/>
        <v/>
      </c>
      <c r="L188" t="str">
        <f t="shared" si="77"/>
        <v/>
      </c>
      <c r="M188" s="18" t="str">
        <f t="shared" si="73"/>
        <v/>
      </c>
      <c r="N188" s="17" t="str">
        <f t="shared" si="74"/>
        <v/>
      </c>
      <c r="O188" t="str">
        <f t="shared" si="75"/>
        <v/>
      </c>
    </row>
    <row r="189" spans="1:15" x14ac:dyDescent="0.2">
      <c r="A189" s="6">
        <f t="shared" si="76"/>
        <v>79</v>
      </c>
      <c r="B189" t="str">
        <f t="shared" si="69"/>
        <v/>
      </c>
      <c r="C189" t="str">
        <f t="shared" si="69"/>
        <v/>
      </c>
      <c r="D189" t="str">
        <f t="shared" si="69"/>
        <v/>
      </c>
      <c r="E189" t="str">
        <f t="shared" si="69"/>
        <v/>
      </c>
      <c r="F189" s="18" t="str">
        <f t="shared" si="71"/>
        <v/>
      </c>
      <c r="G189" s="17" t="str">
        <f t="shared" si="72"/>
        <v/>
      </c>
      <c r="H189" t="str">
        <f t="shared" si="77"/>
        <v/>
      </c>
      <c r="I189" t="str">
        <f t="shared" si="77"/>
        <v/>
      </c>
      <c r="J189" t="str">
        <f t="shared" si="77"/>
        <v/>
      </c>
      <c r="K189" t="str">
        <f t="shared" si="77"/>
        <v/>
      </c>
      <c r="L189" t="str">
        <f t="shared" si="77"/>
        <v/>
      </c>
      <c r="M189" s="18" t="str">
        <f t="shared" si="73"/>
        <v/>
      </c>
      <c r="N189" s="17" t="str">
        <f t="shared" si="74"/>
        <v/>
      </c>
      <c r="O189" t="str">
        <f t="shared" si="75"/>
        <v/>
      </c>
    </row>
    <row r="190" spans="1:15" x14ac:dyDescent="0.2">
      <c r="A190" s="6">
        <f t="shared" si="76"/>
        <v>80</v>
      </c>
      <c r="B190" t="str">
        <f t="shared" si="69"/>
        <v/>
      </c>
      <c r="C190" t="str">
        <f t="shared" si="69"/>
        <v/>
      </c>
      <c r="D190" t="str">
        <f t="shared" si="69"/>
        <v/>
      </c>
      <c r="E190" t="str">
        <f t="shared" si="69"/>
        <v/>
      </c>
      <c r="F190" s="18" t="str">
        <f t="shared" si="71"/>
        <v/>
      </c>
      <c r="G190" s="17" t="str">
        <f t="shared" si="72"/>
        <v/>
      </c>
      <c r="H190" t="str">
        <f t="shared" si="77"/>
        <v/>
      </c>
      <c r="I190" t="str">
        <f t="shared" si="77"/>
        <v/>
      </c>
      <c r="J190" t="str">
        <f t="shared" si="77"/>
        <v/>
      </c>
      <c r="K190" t="str">
        <f t="shared" si="77"/>
        <v/>
      </c>
      <c r="L190" t="str">
        <f t="shared" si="77"/>
        <v/>
      </c>
      <c r="M190" s="18" t="str">
        <f t="shared" si="73"/>
        <v/>
      </c>
      <c r="N190" s="17" t="str">
        <f t="shared" si="74"/>
        <v/>
      </c>
      <c r="O190" t="str">
        <f t="shared" si="75"/>
        <v/>
      </c>
    </row>
    <row r="191" spans="1:15" x14ac:dyDescent="0.2">
      <c r="A191" s="6">
        <f t="shared" si="76"/>
        <v>81</v>
      </c>
      <c r="B191" t="str">
        <f t="shared" ref="B191:E210" si="78">IF(ShowSeries2,IF(ChartLines13=B$4,Series2Input,IF(ChartX13=B$4,$P89,B$7)),"")</f>
        <v/>
      </c>
      <c r="C191" t="str">
        <f t="shared" si="78"/>
        <v/>
      </c>
      <c r="D191" t="str">
        <f t="shared" si="78"/>
        <v/>
      </c>
      <c r="E191" t="str">
        <f t="shared" si="78"/>
        <v/>
      </c>
      <c r="F191" s="18" t="str">
        <f t="shared" si="71"/>
        <v/>
      </c>
      <c r="G191" s="17" t="str">
        <f t="shared" si="72"/>
        <v/>
      </c>
      <c r="H191" t="str">
        <f t="shared" ref="H191:L200" si="79">IF(ShowSeries2,IF(ChartLines13=H$4,Series2Input,IF(ChartX13=H$4,$P89,H$7)),"")</f>
        <v/>
      </c>
      <c r="I191" t="str">
        <f t="shared" si="79"/>
        <v/>
      </c>
      <c r="J191" t="str">
        <f t="shared" si="79"/>
        <v/>
      </c>
      <c r="K191" t="str">
        <f t="shared" si="79"/>
        <v/>
      </c>
      <c r="L191" t="str">
        <f t="shared" si="79"/>
        <v/>
      </c>
      <c r="M191" s="18" t="str">
        <f t="shared" si="73"/>
        <v/>
      </c>
      <c r="N191" s="17" t="str">
        <f t="shared" si="74"/>
        <v/>
      </c>
      <c r="O191" t="str">
        <f t="shared" si="75"/>
        <v/>
      </c>
    </row>
    <row r="192" spans="1:15" x14ac:dyDescent="0.2">
      <c r="A192" s="6">
        <f t="shared" si="76"/>
        <v>82</v>
      </c>
      <c r="B192" t="str">
        <f t="shared" si="78"/>
        <v/>
      </c>
      <c r="C192" t="str">
        <f t="shared" si="78"/>
        <v/>
      </c>
      <c r="D192" t="str">
        <f t="shared" si="78"/>
        <v/>
      </c>
      <c r="E192" t="str">
        <f t="shared" si="78"/>
        <v/>
      </c>
      <c r="F192" s="18" t="str">
        <f t="shared" si="71"/>
        <v/>
      </c>
      <c r="G192" s="17" t="str">
        <f t="shared" si="72"/>
        <v/>
      </c>
      <c r="H192" t="str">
        <f t="shared" si="79"/>
        <v/>
      </c>
      <c r="I192" t="str">
        <f t="shared" si="79"/>
        <v/>
      </c>
      <c r="J192" t="str">
        <f t="shared" si="79"/>
        <v/>
      </c>
      <c r="K192" t="str">
        <f t="shared" si="79"/>
        <v/>
      </c>
      <c r="L192" t="str">
        <f t="shared" si="79"/>
        <v/>
      </c>
      <c r="M192" s="18" t="str">
        <f t="shared" si="73"/>
        <v/>
      </c>
      <c r="N192" s="17" t="str">
        <f t="shared" si="74"/>
        <v/>
      </c>
      <c r="O192" t="str">
        <f t="shared" si="75"/>
        <v/>
      </c>
    </row>
    <row r="193" spans="1:15" x14ac:dyDescent="0.2">
      <c r="A193" s="6">
        <f t="shared" si="76"/>
        <v>83</v>
      </c>
      <c r="B193" t="str">
        <f t="shared" si="78"/>
        <v/>
      </c>
      <c r="C193" t="str">
        <f t="shared" si="78"/>
        <v/>
      </c>
      <c r="D193" t="str">
        <f t="shared" si="78"/>
        <v/>
      </c>
      <c r="E193" t="str">
        <f t="shared" si="78"/>
        <v/>
      </c>
      <c r="F193" s="18" t="str">
        <f t="shared" si="71"/>
        <v/>
      </c>
      <c r="G193" s="17" t="str">
        <f t="shared" si="72"/>
        <v/>
      </c>
      <c r="H193" t="str">
        <f t="shared" si="79"/>
        <v/>
      </c>
      <c r="I193" t="str">
        <f t="shared" si="79"/>
        <v/>
      </c>
      <c r="J193" t="str">
        <f t="shared" si="79"/>
        <v/>
      </c>
      <c r="K193" t="str">
        <f t="shared" si="79"/>
        <v/>
      </c>
      <c r="L193" t="str">
        <f t="shared" si="79"/>
        <v/>
      </c>
      <c r="M193" s="18" t="str">
        <f t="shared" si="73"/>
        <v/>
      </c>
      <c r="N193" s="17" t="str">
        <f t="shared" si="74"/>
        <v/>
      </c>
      <c r="O193" t="str">
        <f t="shared" si="75"/>
        <v/>
      </c>
    </row>
    <row r="194" spans="1:15" x14ac:dyDescent="0.2">
      <c r="A194" s="6">
        <f t="shared" si="76"/>
        <v>84</v>
      </c>
      <c r="B194" t="str">
        <f t="shared" si="78"/>
        <v/>
      </c>
      <c r="C194" t="str">
        <f t="shared" si="78"/>
        <v/>
      </c>
      <c r="D194" t="str">
        <f t="shared" si="78"/>
        <v/>
      </c>
      <c r="E194" t="str">
        <f t="shared" si="78"/>
        <v/>
      </c>
      <c r="F194" s="18" t="str">
        <f t="shared" si="71"/>
        <v/>
      </c>
      <c r="G194" s="17" t="str">
        <f t="shared" si="72"/>
        <v/>
      </c>
      <c r="H194" t="str">
        <f t="shared" si="79"/>
        <v/>
      </c>
      <c r="I194" t="str">
        <f t="shared" si="79"/>
        <v/>
      </c>
      <c r="J194" t="str">
        <f t="shared" si="79"/>
        <v/>
      </c>
      <c r="K194" t="str">
        <f t="shared" si="79"/>
        <v/>
      </c>
      <c r="L194" t="str">
        <f t="shared" si="79"/>
        <v/>
      </c>
      <c r="M194" s="18" t="str">
        <f t="shared" si="73"/>
        <v/>
      </c>
      <c r="N194" s="17" t="str">
        <f t="shared" si="74"/>
        <v/>
      </c>
      <c r="O194" t="str">
        <f t="shared" si="75"/>
        <v/>
      </c>
    </row>
    <row r="195" spans="1:15" x14ac:dyDescent="0.2">
      <c r="A195" s="6">
        <f t="shared" si="76"/>
        <v>85</v>
      </c>
      <c r="B195" t="str">
        <f t="shared" si="78"/>
        <v/>
      </c>
      <c r="C195" t="str">
        <f t="shared" si="78"/>
        <v/>
      </c>
      <c r="D195" t="str">
        <f t="shared" si="78"/>
        <v/>
      </c>
      <c r="E195" t="str">
        <f t="shared" si="78"/>
        <v/>
      </c>
      <c r="F195" s="18" t="str">
        <f t="shared" si="71"/>
        <v/>
      </c>
      <c r="G195" s="17" t="str">
        <f t="shared" si="72"/>
        <v/>
      </c>
      <c r="H195" t="str">
        <f t="shared" si="79"/>
        <v/>
      </c>
      <c r="I195" t="str">
        <f t="shared" si="79"/>
        <v/>
      </c>
      <c r="J195" t="str">
        <f t="shared" si="79"/>
        <v/>
      </c>
      <c r="K195" t="str">
        <f t="shared" si="79"/>
        <v/>
      </c>
      <c r="L195" t="str">
        <f t="shared" si="79"/>
        <v/>
      </c>
      <c r="M195" s="18" t="str">
        <f t="shared" si="73"/>
        <v/>
      </c>
      <c r="N195" s="17" t="str">
        <f t="shared" si="74"/>
        <v/>
      </c>
      <c r="O195" t="str">
        <f t="shared" si="75"/>
        <v/>
      </c>
    </row>
    <row r="196" spans="1:15" x14ac:dyDescent="0.2">
      <c r="A196" s="6">
        <f t="shared" si="76"/>
        <v>86</v>
      </c>
      <c r="B196" t="str">
        <f t="shared" si="78"/>
        <v/>
      </c>
      <c r="C196" t="str">
        <f t="shared" si="78"/>
        <v/>
      </c>
      <c r="D196" t="str">
        <f t="shared" si="78"/>
        <v/>
      </c>
      <c r="E196" t="str">
        <f t="shared" si="78"/>
        <v/>
      </c>
      <c r="F196" s="18" t="str">
        <f t="shared" si="71"/>
        <v/>
      </c>
      <c r="G196" s="17" t="str">
        <f t="shared" si="72"/>
        <v/>
      </c>
      <c r="H196" t="str">
        <f t="shared" si="79"/>
        <v/>
      </c>
      <c r="I196" t="str">
        <f t="shared" si="79"/>
        <v/>
      </c>
      <c r="J196" t="str">
        <f t="shared" si="79"/>
        <v/>
      </c>
      <c r="K196" t="str">
        <f t="shared" si="79"/>
        <v/>
      </c>
      <c r="L196" t="str">
        <f t="shared" si="79"/>
        <v/>
      </c>
      <c r="M196" s="18" t="str">
        <f t="shared" si="73"/>
        <v/>
      </c>
      <c r="N196" s="17" t="str">
        <f t="shared" si="74"/>
        <v/>
      </c>
      <c r="O196" t="str">
        <f t="shared" si="75"/>
        <v/>
      </c>
    </row>
    <row r="197" spans="1:15" x14ac:dyDescent="0.2">
      <c r="A197" s="6">
        <f t="shared" si="76"/>
        <v>87</v>
      </c>
      <c r="B197" t="str">
        <f t="shared" si="78"/>
        <v/>
      </c>
      <c r="C197" t="str">
        <f t="shared" si="78"/>
        <v/>
      </c>
      <c r="D197" t="str">
        <f t="shared" si="78"/>
        <v/>
      </c>
      <c r="E197" t="str">
        <f t="shared" si="78"/>
        <v/>
      </c>
      <c r="F197" s="18" t="str">
        <f t="shared" si="71"/>
        <v/>
      </c>
      <c r="G197" s="17" t="str">
        <f t="shared" si="72"/>
        <v/>
      </c>
      <c r="H197" t="str">
        <f t="shared" si="79"/>
        <v/>
      </c>
      <c r="I197" t="str">
        <f t="shared" si="79"/>
        <v/>
      </c>
      <c r="J197" t="str">
        <f t="shared" si="79"/>
        <v/>
      </c>
      <c r="K197" t="str">
        <f t="shared" si="79"/>
        <v/>
      </c>
      <c r="L197" t="str">
        <f t="shared" si="79"/>
        <v/>
      </c>
      <c r="M197" s="18" t="str">
        <f t="shared" si="73"/>
        <v/>
      </c>
      <c r="N197" s="17" t="str">
        <f t="shared" si="74"/>
        <v/>
      </c>
      <c r="O197" t="str">
        <f t="shared" si="75"/>
        <v/>
      </c>
    </row>
    <row r="198" spans="1:15" x14ac:dyDescent="0.2">
      <c r="A198" s="6">
        <f t="shared" si="76"/>
        <v>88</v>
      </c>
      <c r="B198" t="str">
        <f t="shared" si="78"/>
        <v/>
      </c>
      <c r="C198" t="str">
        <f t="shared" si="78"/>
        <v/>
      </c>
      <c r="D198" t="str">
        <f t="shared" si="78"/>
        <v/>
      </c>
      <c r="E198" t="str">
        <f t="shared" si="78"/>
        <v/>
      </c>
      <c r="F198" s="18" t="str">
        <f t="shared" si="71"/>
        <v/>
      </c>
      <c r="G198" s="17" t="str">
        <f t="shared" si="72"/>
        <v/>
      </c>
      <c r="H198" t="str">
        <f t="shared" si="79"/>
        <v/>
      </c>
      <c r="I198" t="str">
        <f t="shared" si="79"/>
        <v/>
      </c>
      <c r="J198" t="str">
        <f t="shared" si="79"/>
        <v/>
      </c>
      <c r="K198" t="str">
        <f t="shared" si="79"/>
        <v/>
      </c>
      <c r="L198" t="str">
        <f t="shared" si="79"/>
        <v/>
      </c>
      <c r="M198" s="18" t="str">
        <f t="shared" si="73"/>
        <v/>
      </c>
      <c r="N198" s="17" t="str">
        <f t="shared" si="74"/>
        <v/>
      </c>
      <c r="O198" t="str">
        <f t="shared" si="75"/>
        <v/>
      </c>
    </row>
    <row r="199" spans="1:15" x14ac:dyDescent="0.2">
      <c r="A199" s="6">
        <f t="shared" si="76"/>
        <v>89</v>
      </c>
      <c r="B199" t="str">
        <f t="shared" si="78"/>
        <v/>
      </c>
      <c r="C199" t="str">
        <f t="shared" si="78"/>
        <v/>
      </c>
      <c r="D199" t="str">
        <f t="shared" si="78"/>
        <v/>
      </c>
      <c r="E199" t="str">
        <f t="shared" si="78"/>
        <v/>
      </c>
      <c r="F199" s="18" t="str">
        <f t="shared" si="71"/>
        <v/>
      </c>
      <c r="G199" s="17" t="str">
        <f t="shared" si="72"/>
        <v/>
      </c>
      <c r="H199" t="str">
        <f t="shared" si="79"/>
        <v/>
      </c>
      <c r="I199" t="str">
        <f t="shared" si="79"/>
        <v/>
      </c>
      <c r="J199" t="str">
        <f t="shared" si="79"/>
        <v/>
      </c>
      <c r="K199" t="str">
        <f t="shared" si="79"/>
        <v/>
      </c>
      <c r="L199" t="str">
        <f t="shared" si="79"/>
        <v/>
      </c>
      <c r="M199" s="18" t="str">
        <f t="shared" si="73"/>
        <v/>
      </c>
      <c r="N199" s="17" t="str">
        <f t="shared" si="74"/>
        <v/>
      </c>
      <c r="O199" t="str">
        <f t="shared" si="75"/>
        <v/>
      </c>
    </row>
    <row r="200" spans="1:15" x14ac:dyDescent="0.2">
      <c r="A200" s="6">
        <f t="shared" si="76"/>
        <v>90</v>
      </c>
      <c r="B200" t="str">
        <f t="shared" si="78"/>
        <v/>
      </c>
      <c r="C200" t="str">
        <f t="shared" si="78"/>
        <v/>
      </c>
      <c r="D200" t="str">
        <f t="shared" si="78"/>
        <v/>
      </c>
      <c r="E200" t="str">
        <f t="shared" si="78"/>
        <v/>
      </c>
      <c r="F200" s="18" t="str">
        <f t="shared" si="71"/>
        <v/>
      </c>
      <c r="G200" s="17" t="str">
        <f t="shared" si="72"/>
        <v/>
      </c>
      <c r="H200" t="str">
        <f t="shared" si="79"/>
        <v/>
      </c>
      <c r="I200" t="str">
        <f t="shared" si="79"/>
        <v/>
      </c>
      <c r="J200" t="str">
        <f t="shared" si="79"/>
        <v/>
      </c>
      <c r="K200" t="str">
        <f t="shared" si="79"/>
        <v/>
      </c>
      <c r="L200" t="str">
        <f t="shared" si="79"/>
        <v/>
      </c>
      <c r="M200" s="18" t="str">
        <f t="shared" si="73"/>
        <v/>
      </c>
      <c r="N200" s="17" t="str">
        <f t="shared" si="74"/>
        <v/>
      </c>
      <c r="O200" t="str">
        <f t="shared" si="75"/>
        <v/>
      </c>
    </row>
    <row r="201" spans="1:15" x14ac:dyDescent="0.2">
      <c r="A201" s="6">
        <f t="shared" si="76"/>
        <v>91</v>
      </c>
      <c r="B201" t="str">
        <f t="shared" si="78"/>
        <v/>
      </c>
      <c r="C201" t="str">
        <f t="shared" si="78"/>
        <v/>
      </c>
      <c r="D201" t="str">
        <f t="shared" si="78"/>
        <v/>
      </c>
      <c r="E201" t="str">
        <f t="shared" si="78"/>
        <v/>
      </c>
      <c r="F201" s="18" t="str">
        <f t="shared" si="71"/>
        <v/>
      </c>
      <c r="G201" s="17" t="str">
        <f t="shared" si="72"/>
        <v/>
      </c>
      <c r="H201" t="str">
        <f t="shared" ref="H201:L210" si="80">IF(ShowSeries2,IF(ChartLines13=H$4,Series2Input,IF(ChartX13=H$4,$P99,H$7)),"")</f>
        <v/>
      </c>
      <c r="I201" t="str">
        <f t="shared" si="80"/>
        <v/>
      </c>
      <c r="J201" t="str">
        <f t="shared" si="80"/>
        <v/>
      </c>
      <c r="K201" t="str">
        <f t="shared" si="80"/>
        <v/>
      </c>
      <c r="L201" t="str">
        <f t="shared" si="80"/>
        <v/>
      </c>
      <c r="M201" s="18" t="str">
        <f t="shared" si="73"/>
        <v/>
      </c>
      <c r="N201" s="17" t="str">
        <f t="shared" si="74"/>
        <v/>
      </c>
      <c r="O201" t="str">
        <f t="shared" si="75"/>
        <v/>
      </c>
    </row>
    <row r="202" spans="1:15" x14ac:dyDescent="0.2">
      <c r="A202" s="6">
        <f t="shared" si="76"/>
        <v>92</v>
      </c>
      <c r="B202" t="str">
        <f t="shared" si="78"/>
        <v/>
      </c>
      <c r="C202" t="str">
        <f t="shared" si="78"/>
        <v/>
      </c>
      <c r="D202" t="str">
        <f t="shared" si="78"/>
        <v/>
      </c>
      <c r="E202" t="str">
        <f t="shared" si="78"/>
        <v/>
      </c>
      <c r="F202" s="18" t="str">
        <f t="shared" si="71"/>
        <v/>
      </c>
      <c r="G202" s="17" t="str">
        <f t="shared" si="72"/>
        <v/>
      </c>
      <c r="H202" t="str">
        <f t="shared" si="80"/>
        <v/>
      </c>
      <c r="I202" t="str">
        <f t="shared" si="80"/>
        <v/>
      </c>
      <c r="J202" t="str">
        <f t="shared" si="80"/>
        <v/>
      </c>
      <c r="K202" t="str">
        <f t="shared" si="80"/>
        <v/>
      </c>
      <c r="L202" t="str">
        <f t="shared" si="80"/>
        <v/>
      </c>
      <c r="M202" s="18" t="str">
        <f t="shared" si="73"/>
        <v/>
      </c>
      <c r="N202" s="17" t="str">
        <f t="shared" si="74"/>
        <v/>
      </c>
      <c r="O202" t="str">
        <f t="shared" si="75"/>
        <v/>
      </c>
    </row>
    <row r="203" spans="1:15" x14ac:dyDescent="0.2">
      <c r="A203" s="6">
        <f t="shared" si="76"/>
        <v>93</v>
      </c>
      <c r="B203" t="str">
        <f t="shared" si="78"/>
        <v/>
      </c>
      <c r="C203" t="str">
        <f t="shared" si="78"/>
        <v/>
      </c>
      <c r="D203" t="str">
        <f t="shared" si="78"/>
        <v/>
      </c>
      <c r="E203" t="str">
        <f t="shared" si="78"/>
        <v/>
      </c>
      <c r="F203" s="18" t="str">
        <f t="shared" si="71"/>
        <v/>
      </c>
      <c r="G203" s="17" t="str">
        <f t="shared" si="72"/>
        <v/>
      </c>
      <c r="H203" t="str">
        <f t="shared" si="80"/>
        <v/>
      </c>
      <c r="I203" t="str">
        <f t="shared" si="80"/>
        <v/>
      </c>
      <c r="J203" t="str">
        <f t="shared" si="80"/>
        <v/>
      </c>
      <c r="K203" t="str">
        <f t="shared" si="80"/>
        <v/>
      </c>
      <c r="L203" t="str">
        <f t="shared" si="80"/>
        <v/>
      </c>
      <c r="M203" s="18" t="str">
        <f t="shared" si="73"/>
        <v/>
      </c>
      <c r="N203" s="17" t="str">
        <f t="shared" si="74"/>
        <v/>
      </c>
      <c r="O203" t="str">
        <f t="shared" si="75"/>
        <v/>
      </c>
    </row>
    <row r="204" spans="1:15" x14ac:dyDescent="0.2">
      <c r="A204" s="6">
        <f t="shared" si="76"/>
        <v>94</v>
      </c>
      <c r="B204" t="str">
        <f t="shared" si="78"/>
        <v/>
      </c>
      <c r="C204" t="str">
        <f t="shared" si="78"/>
        <v/>
      </c>
      <c r="D204" t="str">
        <f t="shared" si="78"/>
        <v/>
      </c>
      <c r="E204" t="str">
        <f t="shared" si="78"/>
        <v/>
      </c>
      <c r="F204" s="18" t="str">
        <f t="shared" si="71"/>
        <v/>
      </c>
      <c r="G204" s="17" t="str">
        <f t="shared" si="72"/>
        <v/>
      </c>
      <c r="H204" t="str">
        <f t="shared" si="80"/>
        <v/>
      </c>
      <c r="I204" t="str">
        <f t="shared" si="80"/>
        <v/>
      </c>
      <c r="J204" t="str">
        <f t="shared" si="80"/>
        <v/>
      </c>
      <c r="K204" t="str">
        <f t="shared" si="80"/>
        <v/>
      </c>
      <c r="L204" t="str">
        <f t="shared" si="80"/>
        <v/>
      </c>
      <c r="M204" s="18" t="str">
        <f t="shared" si="73"/>
        <v/>
      </c>
      <c r="N204" s="17" t="str">
        <f t="shared" si="74"/>
        <v/>
      </c>
      <c r="O204" t="str">
        <f t="shared" si="75"/>
        <v/>
      </c>
    </row>
    <row r="205" spans="1:15" x14ac:dyDescent="0.2">
      <c r="A205" s="6">
        <f t="shared" si="76"/>
        <v>95</v>
      </c>
      <c r="B205" t="str">
        <f t="shared" si="78"/>
        <v/>
      </c>
      <c r="C205" t="str">
        <f t="shared" si="78"/>
        <v/>
      </c>
      <c r="D205" t="str">
        <f t="shared" si="78"/>
        <v/>
      </c>
      <c r="E205" t="str">
        <f t="shared" si="78"/>
        <v/>
      </c>
      <c r="F205" s="18" t="str">
        <f t="shared" si="71"/>
        <v/>
      </c>
      <c r="G205" s="17" t="str">
        <f t="shared" si="72"/>
        <v/>
      </c>
      <c r="H205" t="str">
        <f t="shared" si="80"/>
        <v/>
      </c>
      <c r="I205" t="str">
        <f t="shared" si="80"/>
        <v/>
      </c>
      <c r="J205" t="str">
        <f t="shared" si="80"/>
        <v/>
      </c>
      <c r="K205" t="str">
        <f t="shared" si="80"/>
        <v/>
      </c>
      <c r="L205" t="str">
        <f t="shared" si="80"/>
        <v/>
      </c>
      <c r="M205" s="18" t="str">
        <f t="shared" si="73"/>
        <v/>
      </c>
      <c r="N205" s="17" t="str">
        <f t="shared" si="74"/>
        <v/>
      </c>
      <c r="O205" t="str">
        <f t="shared" si="75"/>
        <v/>
      </c>
    </row>
    <row r="206" spans="1:15" x14ac:dyDescent="0.2">
      <c r="A206" s="6">
        <f t="shared" si="76"/>
        <v>96</v>
      </c>
      <c r="B206" t="str">
        <f t="shared" si="78"/>
        <v/>
      </c>
      <c r="C206" t="str">
        <f t="shared" si="78"/>
        <v/>
      </c>
      <c r="D206" t="str">
        <f t="shared" si="78"/>
        <v/>
      </c>
      <c r="E206" t="str">
        <f t="shared" si="78"/>
        <v/>
      </c>
      <c r="F206" s="18" t="str">
        <f t="shared" si="71"/>
        <v/>
      </c>
      <c r="G206" s="17" t="str">
        <f t="shared" si="72"/>
        <v/>
      </c>
      <c r="H206" t="str">
        <f t="shared" si="80"/>
        <v/>
      </c>
      <c r="I206" t="str">
        <f t="shared" si="80"/>
        <v/>
      </c>
      <c r="J206" t="str">
        <f t="shared" si="80"/>
        <v/>
      </c>
      <c r="K206" t="str">
        <f t="shared" si="80"/>
        <v/>
      </c>
      <c r="L206" t="str">
        <f t="shared" si="80"/>
        <v/>
      </c>
      <c r="M206" s="18" t="str">
        <f t="shared" si="73"/>
        <v/>
      </c>
      <c r="N206" s="17" t="str">
        <f t="shared" si="74"/>
        <v/>
      </c>
      <c r="O206" t="str">
        <f t="shared" si="75"/>
        <v/>
      </c>
    </row>
    <row r="207" spans="1:15" x14ac:dyDescent="0.2">
      <c r="A207" s="6">
        <f t="shared" si="76"/>
        <v>97</v>
      </c>
      <c r="B207" t="str">
        <f t="shared" si="78"/>
        <v/>
      </c>
      <c r="C207" t="str">
        <f t="shared" si="78"/>
        <v/>
      </c>
      <c r="D207" t="str">
        <f t="shared" si="78"/>
        <v/>
      </c>
      <c r="E207" t="str">
        <f t="shared" si="78"/>
        <v/>
      </c>
      <c r="F207" s="18" t="str">
        <f t="shared" ref="F207:F211" si="81">IF(ShowSeries2,IF(ChartLines13=F$4,Series2Input,IF(ChartX13=F$4,$P105,IF(TimeAs=1,E207-D207,IF(TimeAs=2,F$7,G207*DaysPerYear)))),"")</f>
        <v/>
      </c>
      <c r="G207" s="17" t="str">
        <f t="shared" ref="G207:G211" si="82">IF(ShowSeries2,IF(ChartLines13=G$4,Series2Input,IF(ChartX13=G$4,$P105,IF(TimeAs&lt;3,F207/DaysPerYear,G$7))),"")</f>
        <v/>
      </c>
      <c r="H207" t="str">
        <f t="shared" si="80"/>
        <v/>
      </c>
      <c r="I207" t="str">
        <f t="shared" si="80"/>
        <v/>
      </c>
      <c r="J207" t="str">
        <f t="shared" si="80"/>
        <v/>
      </c>
      <c r="K207" t="str">
        <f t="shared" si="80"/>
        <v/>
      </c>
      <c r="L207" t="str">
        <f t="shared" si="80"/>
        <v/>
      </c>
      <c r="M207" s="18" t="str">
        <f t="shared" ref="M207:M211" si="83">IF(ShowSeries2,IF(ChartLines13=M$4,Series2Input,IF(ChartX13=M$4,$P105,IF(ExDivAs=1,L207-D207,IF(ExDivAs=2,M$7,N207*DaysPerYear)))),"")</f>
        <v/>
      </c>
      <c r="N207" s="17" t="str">
        <f t="shared" ref="N207:N211" si="84">IF(ShowSeries2,IF(ChartLines13=N$4,Series2Input,IF(ChartX13=N$4,$P105,IF(ExDivAs&lt;3,M207/DaysPerYear,N$7))),"")</f>
        <v/>
      </c>
      <c r="O207" t="str">
        <f t="shared" si="75"/>
        <v/>
      </c>
    </row>
    <row r="208" spans="1:15" x14ac:dyDescent="0.2">
      <c r="A208" s="6">
        <f t="shared" si="76"/>
        <v>98</v>
      </c>
      <c r="B208" t="str">
        <f t="shared" si="78"/>
        <v/>
      </c>
      <c r="C208" t="str">
        <f t="shared" si="78"/>
        <v/>
      </c>
      <c r="D208" t="str">
        <f t="shared" si="78"/>
        <v/>
      </c>
      <c r="E208" t="str">
        <f t="shared" si="78"/>
        <v/>
      </c>
      <c r="F208" s="18" t="str">
        <f t="shared" si="81"/>
        <v/>
      </c>
      <c r="G208" s="17" t="str">
        <f t="shared" si="82"/>
        <v/>
      </c>
      <c r="H208" t="str">
        <f t="shared" si="80"/>
        <v/>
      </c>
      <c r="I208" t="str">
        <f t="shared" si="80"/>
        <v/>
      </c>
      <c r="J208" t="str">
        <f t="shared" si="80"/>
        <v/>
      </c>
      <c r="K208" t="str">
        <f t="shared" si="80"/>
        <v/>
      </c>
      <c r="L208" t="str">
        <f t="shared" si="80"/>
        <v/>
      </c>
      <c r="M208" s="18" t="str">
        <f t="shared" si="83"/>
        <v/>
      </c>
      <c r="N208" s="17" t="str">
        <f t="shared" si="84"/>
        <v/>
      </c>
      <c r="O208" t="str">
        <f t="shared" si="75"/>
        <v/>
      </c>
    </row>
    <row r="209" spans="1:15" x14ac:dyDescent="0.2">
      <c r="A209" s="6">
        <f t="shared" si="76"/>
        <v>99</v>
      </c>
      <c r="B209" t="str">
        <f t="shared" si="78"/>
        <v/>
      </c>
      <c r="C209" t="str">
        <f t="shared" si="78"/>
        <v/>
      </c>
      <c r="D209" t="str">
        <f t="shared" si="78"/>
        <v/>
      </c>
      <c r="E209" t="str">
        <f t="shared" si="78"/>
        <v/>
      </c>
      <c r="F209" s="18" t="str">
        <f t="shared" si="81"/>
        <v/>
      </c>
      <c r="G209" s="17" t="str">
        <f t="shared" si="82"/>
        <v/>
      </c>
      <c r="H209" t="str">
        <f t="shared" si="80"/>
        <v/>
      </c>
      <c r="I209" t="str">
        <f t="shared" si="80"/>
        <v/>
      </c>
      <c r="J209" t="str">
        <f t="shared" si="80"/>
        <v/>
      </c>
      <c r="K209" t="str">
        <f t="shared" si="80"/>
        <v/>
      </c>
      <c r="L209" t="str">
        <f t="shared" si="80"/>
        <v/>
      </c>
      <c r="M209" s="18" t="str">
        <f t="shared" si="83"/>
        <v/>
      </c>
      <c r="N209" s="17" t="str">
        <f t="shared" si="84"/>
        <v/>
      </c>
      <c r="O209" t="str">
        <f t="shared" si="75"/>
        <v/>
      </c>
    </row>
    <row r="210" spans="1:15" x14ac:dyDescent="0.2">
      <c r="A210" s="6">
        <f t="shared" si="76"/>
        <v>100</v>
      </c>
      <c r="B210" t="str">
        <f t="shared" si="78"/>
        <v/>
      </c>
      <c r="C210" t="str">
        <f t="shared" si="78"/>
        <v/>
      </c>
      <c r="D210" t="str">
        <f t="shared" si="78"/>
        <v/>
      </c>
      <c r="E210" t="str">
        <f t="shared" si="78"/>
        <v/>
      </c>
      <c r="F210" s="18" t="str">
        <f t="shared" si="81"/>
        <v/>
      </c>
      <c r="G210" s="17" t="str">
        <f t="shared" si="82"/>
        <v/>
      </c>
      <c r="H210" t="str">
        <f t="shared" si="80"/>
        <v/>
      </c>
      <c r="I210" t="str">
        <f t="shared" si="80"/>
        <v/>
      </c>
      <c r="J210" t="str">
        <f t="shared" si="80"/>
        <v/>
      </c>
      <c r="K210" t="str">
        <f t="shared" si="80"/>
        <v/>
      </c>
      <c r="L210" t="str">
        <f t="shared" si="80"/>
        <v/>
      </c>
      <c r="M210" s="18" t="str">
        <f t="shared" si="83"/>
        <v/>
      </c>
      <c r="N210" s="17" t="str">
        <f t="shared" si="84"/>
        <v/>
      </c>
      <c r="O210" t="str">
        <f t="shared" si="75"/>
        <v/>
      </c>
    </row>
    <row r="211" spans="1:15" x14ac:dyDescent="0.2">
      <c r="A211" s="6">
        <f t="shared" si="76"/>
        <v>101</v>
      </c>
      <c r="B211" t="str">
        <f t="shared" ref="B211:E211" si="85">IF(ShowSeries2,IF(ChartLines13=B$4,Series2Input,IF(ChartX13=B$4,$P109,B$7)),"")</f>
        <v/>
      </c>
      <c r="C211" t="str">
        <f t="shared" si="85"/>
        <v/>
      </c>
      <c r="D211" t="str">
        <f t="shared" si="85"/>
        <v/>
      </c>
      <c r="E211" t="str">
        <f t="shared" si="85"/>
        <v/>
      </c>
      <c r="F211" s="18" t="str">
        <f t="shared" si="81"/>
        <v/>
      </c>
      <c r="G211" s="17" t="str">
        <f t="shared" si="82"/>
        <v/>
      </c>
      <c r="H211" t="str">
        <f t="shared" ref="H211:L211" si="86">IF(ShowSeries2,IF(ChartLines13=H$4,Series2Input,IF(ChartX13=H$4,$P109,H$7)),"")</f>
        <v/>
      </c>
      <c r="I211" t="str">
        <f t="shared" si="86"/>
        <v/>
      </c>
      <c r="J211" t="str">
        <f t="shared" si="86"/>
        <v/>
      </c>
      <c r="K211" t="str">
        <f t="shared" si="86"/>
        <v/>
      </c>
      <c r="L211" t="str">
        <f t="shared" si="86"/>
        <v/>
      </c>
      <c r="M211" s="18" t="str">
        <f t="shared" si="83"/>
        <v/>
      </c>
      <c r="N211" s="17" t="str">
        <f t="shared" si="84"/>
        <v/>
      </c>
      <c r="O211" t="str">
        <f t="shared" si="75"/>
        <v/>
      </c>
    </row>
    <row r="212" spans="1:15" x14ac:dyDescent="0.2">
      <c r="A212" s="52" t="s">
        <v>50</v>
      </c>
      <c r="B212" s="3" t="s">
        <v>51</v>
      </c>
      <c r="C212" s="3" t="s">
        <v>40</v>
      </c>
      <c r="D212" s="3" t="s">
        <v>65</v>
      </c>
      <c r="E212" s="3" t="s">
        <v>66</v>
      </c>
      <c r="F212" s="3" t="s">
        <v>68</v>
      </c>
      <c r="G212" s="3" t="s">
        <v>290</v>
      </c>
      <c r="H212" s="3" t="s">
        <v>52</v>
      </c>
      <c r="I212" s="3" t="s">
        <v>54</v>
      </c>
      <c r="J212" s="3" t="s">
        <v>53</v>
      </c>
      <c r="K212" s="3" t="s">
        <v>64</v>
      </c>
      <c r="L212" s="3" t="s">
        <v>67</v>
      </c>
      <c r="M212" s="3" t="s">
        <v>69</v>
      </c>
      <c r="N212" s="53" t="s">
        <v>291</v>
      </c>
      <c r="O212" s="13" t="s">
        <v>200</v>
      </c>
    </row>
    <row r="213" spans="1:15" x14ac:dyDescent="0.2">
      <c r="A213" s="5">
        <v>1</v>
      </c>
      <c r="B213" t="str">
        <f t="shared" ref="B213:E232" si="87">IF(ShowSeries3,IF(ChartLines13=B$4,Series3Input,IF(ChartX13=B$4,$P9,B$7)),"")</f>
        <v/>
      </c>
      <c r="C213" t="str">
        <f t="shared" si="87"/>
        <v/>
      </c>
      <c r="D213" t="str">
        <f t="shared" si="87"/>
        <v/>
      </c>
      <c r="E213" t="str">
        <f t="shared" si="87"/>
        <v/>
      </c>
      <c r="F213" s="17" t="str">
        <f t="shared" ref="F213:F244" si="88">IF(ShowSeries3,IF(ChartLines13=F$4,Series3Input,IF(ChartX13=F$4,$P9,IF(TimeAs=1,E213-D213,IF(TimeAs=2,F$7,G213*DaysPerYear)))),"")</f>
        <v/>
      </c>
      <c r="G213" s="18" t="str">
        <f t="shared" ref="G213:G244" si="89">IF(ShowSeries3,IF(ChartLines13=G$4,Series3Input,IF(ChartX13=G$4,$P9,IF(TimeAs&lt;3,F213/DaysPerYear,G$7))),"")</f>
        <v/>
      </c>
      <c r="H213" t="str">
        <f t="shared" ref="H213:L222" si="90">IF(ShowSeries3,IF(ChartLines13=H$4,Series3Input,IF(ChartX13=H$4,$P9,H$7)),"")</f>
        <v/>
      </c>
      <c r="I213" t="str">
        <f t="shared" si="90"/>
        <v/>
      </c>
      <c r="J213" t="str">
        <f t="shared" si="90"/>
        <v/>
      </c>
      <c r="K213" t="str">
        <f t="shared" si="90"/>
        <v/>
      </c>
      <c r="L213" t="str">
        <f t="shared" si="90"/>
        <v/>
      </c>
      <c r="M213" s="17" t="str">
        <f t="shared" ref="M213:M244" si="91">IF(ShowSeries3,IF(ChartLines13=M$4,Series3Input,IF(ChartX13=M$4,$P9,IF(ExDivAs=1,L213-D213,IF(ExDivAs=2,M$7,N213*DaysPerYear)))),"")</f>
        <v/>
      </c>
      <c r="N213" s="18" t="str">
        <f t="shared" ref="N213:N244" si="92">IF(ShowSeries3,IF(ChartLines13=N$4,Series3Input,IF(ChartX13=N$4,$P9,IF(ExDivAs&lt;3,M213/DaysPerYear,N$7))),"")</f>
        <v/>
      </c>
      <c r="O213" t="str">
        <f t="shared" ref="O213:O244" si="93">IF(ShowSeries3,BinOp($B213,$C213,$G213,$H213,$J213,$I213,CallPut,AmEur,Model,Steps,ModelOutput,$K213,$N213),"")</f>
        <v/>
      </c>
    </row>
    <row r="214" spans="1:15" x14ac:dyDescent="0.2">
      <c r="A214" s="6">
        <f>A213+1</f>
        <v>2</v>
      </c>
      <c r="B214" t="str">
        <f t="shared" si="87"/>
        <v/>
      </c>
      <c r="C214" t="str">
        <f t="shared" si="87"/>
        <v/>
      </c>
      <c r="D214" t="str">
        <f t="shared" si="87"/>
        <v/>
      </c>
      <c r="E214" t="str">
        <f t="shared" si="87"/>
        <v/>
      </c>
      <c r="F214" s="17" t="str">
        <f t="shared" si="88"/>
        <v/>
      </c>
      <c r="G214" s="18" t="str">
        <f t="shared" si="89"/>
        <v/>
      </c>
      <c r="H214" t="str">
        <f t="shared" si="90"/>
        <v/>
      </c>
      <c r="I214" t="str">
        <f t="shared" si="90"/>
        <v/>
      </c>
      <c r="J214" t="str">
        <f t="shared" si="90"/>
        <v/>
      </c>
      <c r="K214" t="str">
        <f t="shared" si="90"/>
        <v/>
      </c>
      <c r="L214" t="str">
        <f t="shared" si="90"/>
        <v/>
      </c>
      <c r="M214" s="17" t="str">
        <f t="shared" si="91"/>
        <v/>
      </c>
      <c r="N214" s="18" t="str">
        <f t="shared" si="92"/>
        <v/>
      </c>
      <c r="O214" t="str">
        <f t="shared" si="93"/>
        <v/>
      </c>
    </row>
    <row r="215" spans="1:15" x14ac:dyDescent="0.2">
      <c r="A215" s="6">
        <f t="shared" ref="A215:A278" si="94">A214+1</f>
        <v>3</v>
      </c>
      <c r="B215" t="str">
        <f t="shared" si="87"/>
        <v/>
      </c>
      <c r="C215" t="str">
        <f t="shared" si="87"/>
        <v/>
      </c>
      <c r="D215" t="str">
        <f t="shared" si="87"/>
        <v/>
      </c>
      <c r="E215" t="str">
        <f t="shared" si="87"/>
        <v/>
      </c>
      <c r="F215" s="17" t="str">
        <f t="shared" si="88"/>
        <v/>
      </c>
      <c r="G215" s="18" t="str">
        <f t="shared" si="89"/>
        <v/>
      </c>
      <c r="H215" t="str">
        <f t="shared" si="90"/>
        <v/>
      </c>
      <c r="I215" t="str">
        <f t="shared" si="90"/>
        <v/>
      </c>
      <c r="J215" t="str">
        <f t="shared" si="90"/>
        <v/>
      </c>
      <c r="K215" t="str">
        <f t="shared" si="90"/>
        <v/>
      </c>
      <c r="L215" t="str">
        <f t="shared" si="90"/>
        <v/>
      </c>
      <c r="M215" s="17" t="str">
        <f t="shared" si="91"/>
        <v/>
      </c>
      <c r="N215" s="18" t="str">
        <f t="shared" si="92"/>
        <v/>
      </c>
      <c r="O215" t="str">
        <f t="shared" si="93"/>
        <v/>
      </c>
    </row>
    <row r="216" spans="1:15" x14ac:dyDescent="0.2">
      <c r="A216" s="6">
        <f t="shared" si="94"/>
        <v>4</v>
      </c>
      <c r="B216" t="str">
        <f t="shared" si="87"/>
        <v/>
      </c>
      <c r="C216" t="str">
        <f t="shared" si="87"/>
        <v/>
      </c>
      <c r="D216" t="str">
        <f t="shared" si="87"/>
        <v/>
      </c>
      <c r="E216" t="str">
        <f t="shared" si="87"/>
        <v/>
      </c>
      <c r="F216" s="17" t="str">
        <f t="shared" si="88"/>
        <v/>
      </c>
      <c r="G216" s="18" t="str">
        <f t="shared" si="89"/>
        <v/>
      </c>
      <c r="H216" t="str">
        <f t="shared" si="90"/>
        <v/>
      </c>
      <c r="I216" t="str">
        <f t="shared" si="90"/>
        <v/>
      </c>
      <c r="J216" t="str">
        <f t="shared" si="90"/>
        <v/>
      </c>
      <c r="K216" t="str">
        <f t="shared" si="90"/>
        <v/>
      </c>
      <c r="L216" t="str">
        <f t="shared" si="90"/>
        <v/>
      </c>
      <c r="M216" s="17" t="str">
        <f t="shared" si="91"/>
        <v/>
      </c>
      <c r="N216" s="18" t="str">
        <f t="shared" si="92"/>
        <v/>
      </c>
      <c r="O216" t="str">
        <f t="shared" si="93"/>
        <v/>
      </c>
    </row>
    <row r="217" spans="1:15" x14ac:dyDescent="0.2">
      <c r="A217" s="6">
        <f t="shared" si="94"/>
        <v>5</v>
      </c>
      <c r="B217" t="str">
        <f t="shared" si="87"/>
        <v/>
      </c>
      <c r="C217" t="str">
        <f t="shared" si="87"/>
        <v/>
      </c>
      <c r="D217" t="str">
        <f t="shared" si="87"/>
        <v/>
      </c>
      <c r="E217" t="str">
        <f t="shared" si="87"/>
        <v/>
      </c>
      <c r="F217" s="17" t="str">
        <f t="shared" si="88"/>
        <v/>
      </c>
      <c r="G217" s="18" t="str">
        <f t="shared" si="89"/>
        <v/>
      </c>
      <c r="H217" t="str">
        <f t="shared" si="90"/>
        <v/>
      </c>
      <c r="I217" t="str">
        <f t="shared" si="90"/>
        <v/>
      </c>
      <c r="J217" t="str">
        <f t="shared" si="90"/>
        <v/>
      </c>
      <c r="K217" t="str">
        <f t="shared" si="90"/>
        <v/>
      </c>
      <c r="L217" t="str">
        <f t="shared" si="90"/>
        <v/>
      </c>
      <c r="M217" s="17" t="str">
        <f t="shared" si="91"/>
        <v/>
      </c>
      <c r="N217" s="18" t="str">
        <f t="shared" si="92"/>
        <v/>
      </c>
      <c r="O217" t="str">
        <f t="shared" si="93"/>
        <v/>
      </c>
    </row>
    <row r="218" spans="1:15" x14ac:dyDescent="0.2">
      <c r="A218" s="6">
        <f t="shared" si="94"/>
        <v>6</v>
      </c>
      <c r="B218" t="str">
        <f t="shared" si="87"/>
        <v/>
      </c>
      <c r="C218" t="str">
        <f t="shared" si="87"/>
        <v/>
      </c>
      <c r="D218" t="str">
        <f t="shared" si="87"/>
        <v/>
      </c>
      <c r="E218" t="str">
        <f t="shared" si="87"/>
        <v/>
      </c>
      <c r="F218" s="17" t="str">
        <f t="shared" si="88"/>
        <v/>
      </c>
      <c r="G218" s="18" t="str">
        <f t="shared" si="89"/>
        <v/>
      </c>
      <c r="H218" t="str">
        <f t="shared" si="90"/>
        <v/>
      </c>
      <c r="I218" t="str">
        <f t="shared" si="90"/>
        <v/>
      </c>
      <c r="J218" t="str">
        <f t="shared" si="90"/>
        <v/>
      </c>
      <c r="K218" t="str">
        <f t="shared" si="90"/>
        <v/>
      </c>
      <c r="L218" t="str">
        <f t="shared" si="90"/>
        <v/>
      </c>
      <c r="M218" s="17" t="str">
        <f t="shared" si="91"/>
        <v/>
      </c>
      <c r="N218" s="18" t="str">
        <f t="shared" si="92"/>
        <v/>
      </c>
      <c r="O218" t="str">
        <f t="shared" si="93"/>
        <v/>
      </c>
    </row>
    <row r="219" spans="1:15" x14ac:dyDescent="0.2">
      <c r="A219" s="6">
        <f t="shared" si="94"/>
        <v>7</v>
      </c>
      <c r="B219" t="str">
        <f t="shared" si="87"/>
        <v/>
      </c>
      <c r="C219" t="str">
        <f t="shared" si="87"/>
        <v/>
      </c>
      <c r="D219" t="str">
        <f t="shared" si="87"/>
        <v/>
      </c>
      <c r="E219" t="str">
        <f t="shared" si="87"/>
        <v/>
      </c>
      <c r="F219" s="17" t="str">
        <f t="shared" si="88"/>
        <v/>
      </c>
      <c r="G219" s="18" t="str">
        <f t="shared" si="89"/>
        <v/>
      </c>
      <c r="H219" t="str">
        <f t="shared" si="90"/>
        <v/>
      </c>
      <c r="I219" t="str">
        <f t="shared" si="90"/>
        <v/>
      </c>
      <c r="J219" t="str">
        <f t="shared" si="90"/>
        <v/>
      </c>
      <c r="K219" t="str">
        <f t="shared" si="90"/>
        <v/>
      </c>
      <c r="L219" t="str">
        <f t="shared" si="90"/>
        <v/>
      </c>
      <c r="M219" s="17" t="str">
        <f t="shared" si="91"/>
        <v/>
      </c>
      <c r="N219" s="18" t="str">
        <f t="shared" si="92"/>
        <v/>
      </c>
      <c r="O219" t="str">
        <f t="shared" si="93"/>
        <v/>
      </c>
    </row>
    <row r="220" spans="1:15" x14ac:dyDescent="0.2">
      <c r="A220" s="6">
        <f t="shared" si="94"/>
        <v>8</v>
      </c>
      <c r="B220" t="str">
        <f t="shared" si="87"/>
        <v/>
      </c>
      <c r="C220" t="str">
        <f t="shared" si="87"/>
        <v/>
      </c>
      <c r="D220" t="str">
        <f t="shared" si="87"/>
        <v/>
      </c>
      <c r="E220" t="str">
        <f t="shared" si="87"/>
        <v/>
      </c>
      <c r="F220" s="17" t="str">
        <f t="shared" si="88"/>
        <v/>
      </c>
      <c r="G220" s="18" t="str">
        <f t="shared" si="89"/>
        <v/>
      </c>
      <c r="H220" t="str">
        <f t="shared" si="90"/>
        <v/>
      </c>
      <c r="I220" t="str">
        <f t="shared" si="90"/>
        <v/>
      </c>
      <c r="J220" t="str">
        <f t="shared" si="90"/>
        <v/>
      </c>
      <c r="K220" t="str">
        <f t="shared" si="90"/>
        <v/>
      </c>
      <c r="L220" t="str">
        <f t="shared" si="90"/>
        <v/>
      </c>
      <c r="M220" s="17" t="str">
        <f t="shared" si="91"/>
        <v/>
      </c>
      <c r="N220" s="18" t="str">
        <f t="shared" si="92"/>
        <v/>
      </c>
      <c r="O220" t="str">
        <f t="shared" si="93"/>
        <v/>
      </c>
    </row>
    <row r="221" spans="1:15" x14ac:dyDescent="0.2">
      <c r="A221" s="6">
        <f t="shared" si="94"/>
        <v>9</v>
      </c>
      <c r="B221" t="str">
        <f t="shared" si="87"/>
        <v/>
      </c>
      <c r="C221" t="str">
        <f t="shared" si="87"/>
        <v/>
      </c>
      <c r="D221" t="str">
        <f t="shared" si="87"/>
        <v/>
      </c>
      <c r="E221" t="str">
        <f t="shared" si="87"/>
        <v/>
      </c>
      <c r="F221" s="17" t="str">
        <f t="shared" si="88"/>
        <v/>
      </c>
      <c r="G221" s="18" t="str">
        <f t="shared" si="89"/>
        <v/>
      </c>
      <c r="H221" t="str">
        <f t="shared" si="90"/>
        <v/>
      </c>
      <c r="I221" t="str">
        <f t="shared" si="90"/>
        <v/>
      </c>
      <c r="J221" t="str">
        <f t="shared" si="90"/>
        <v/>
      </c>
      <c r="K221" t="str">
        <f t="shared" si="90"/>
        <v/>
      </c>
      <c r="L221" t="str">
        <f t="shared" si="90"/>
        <v/>
      </c>
      <c r="M221" s="17" t="str">
        <f t="shared" si="91"/>
        <v/>
      </c>
      <c r="N221" s="18" t="str">
        <f t="shared" si="92"/>
        <v/>
      </c>
      <c r="O221" t="str">
        <f t="shared" si="93"/>
        <v/>
      </c>
    </row>
    <row r="222" spans="1:15" x14ac:dyDescent="0.2">
      <c r="A222" s="6">
        <f t="shared" si="94"/>
        <v>10</v>
      </c>
      <c r="B222" t="str">
        <f t="shared" si="87"/>
        <v/>
      </c>
      <c r="C222" t="str">
        <f t="shared" si="87"/>
        <v/>
      </c>
      <c r="D222" t="str">
        <f t="shared" si="87"/>
        <v/>
      </c>
      <c r="E222" t="str">
        <f t="shared" si="87"/>
        <v/>
      </c>
      <c r="F222" s="17" t="str">
        <f t="shared" si="88"/>
        <v/>
      </c>
      <c r="G222" s="18" t="str">
        <f t="shared" si="89"/>
        <v/>
      </c>
      <c r="H222" t="str">
        <f t="shared" si="90"/>
        <v/>
      </c>
      <c r="I222" t="str">
        <f t="shared" si="90"/>
        <v/>
      </c>
      <c r="J222" t="str">
        <f t="shared" si="90"/>
        <v/>
      </c>
      <c r="K222" t="str">
        <f t="shared" si="90"/>
        <v/>
      </c>
      <c r="L222" t="str">
        <f t="shared" si="90"/>
        <v/>
      </c>
      <c r="M222" s="17" t="str">
        <f t="shared" si="91"/>
        <v/>
      </c>
      <c r="N222" s="18" t="str">
        <f t="shared" si="92"/>
        <v/>
      </c>
      <c r="O222" t="str">
        <f t="shared" si="93"/>
        <v/>
      </c>
    </row>
    <row r="223" spans="1:15" x14ac:dyDescent="0.2">
      <c r="A223" s="6">
        <f t="shared" si="94"/>
        <v>11</v>
      </c>
      <c r="B223" t="str">
        <f t="shared" si="87"/>
        <v/>
      </c>
      <c r="C223" t="str">
        <f t="shared" si="87"/>
        <v/>
      </c>
      <c r="D223" t="str">
        <f t="shared" si="87"/>
        <v/>
      </c>
      <c r="E223" t="str">
        <f t="shared" si="87"/>
        <v/>
      </c>
      <c r="F223" s="17" t="str">
        <f t="shared" si="88"/>
        <v/>
      </c>
      <c r="G223" s="18" t="str">
        <f t="shared" si="89"/>
        <v/>
      </c>
      <c r="H223" t="str">
        <f t="shared" ref="H223:L232" si="95">IF(ShowSeries3,IF(ChartLines13=H$4,Series3Input,IF(ChartX13=H$4,$P19,H$7)),"")</f>
        <v/>
      </c>
      <c r="I223" t="str">
        <f t="shared" si="95"/>
        <v/>
      </c>
      <c r="J223" t="str">
        <f t="shared" si="95"/>
        <v/>
      </c>
      <c r="K223" t="str">
        <f t="shared" si="95"/>
        <v/>
      </c>
      <c r="L223" t="str">
        <f t="shared" si="95"/>
        <v/>
      </c>
      <c r="M223" s="17" t="str">
        <f t="shared" si="91"/>
        <v/>
      </c>
      <c r="N223" s="18" t="str">
        <f t="shared" si="92"/>
        <v/>
      </c>
      <c r="O223" t="str">
        <f t="shared" si="93"/>
        <v/>
      </c>
    </row>
    <row r="224" spans="1:15" x14ac:dyDescent="0.2">
      <c r="A224" s="6">
        <f t="shared" si="94"/>
        <v>12</v>
      </c>
      <c r="B224" t="str">
        <f t="shared" si="87"/>
        <v/>
      </c>
      <c r="C224" t="str">
        <f t="shared" si="87"/>
        <v/>
      </c>
      <c r="D224" t="str">
        <f t="shared" si="87"/>
        <v/>
      </c>
      <c r="E224" t="str">
        <f t="shared" si="87"/>
        <v/>
      </c>
      <c r="F224" s="17" t="str">
        <f t="shared" si="88"/>
        <v/>
      </c>
      <c r="G224" s="18" t="str">
        <f t="shared" si="89"/>
        <v/>
      </c>
      <c r="H224" t="str">
        <f t="shared" si="95"/>
        <v/>
      </c>
      <c r="I224" t="str">
        <f t="shared" si="95"/>
        <v/>
      </c>
      <c r="J224" t="str">
        <f t="shared" si="95"/>
        <v/>
      </c>
      <c r="K224" t="str">
        <f t="shared" si="95"/>
        <v/>
      </c>
      <c r="L224" t="str">
        <f t="shared" si="95"/>
        <v/>
      </c>
      <c r="M224" s="17" t="str">
        <f t="shared" si="91"/>
        <v/>
      </c>
      <c r="N224" s="18" t="str">
        <f t="shared" si="92"/>
        <v/>
      </c>
      <c r="O224" t="str">
        <f t="shared" si="93"/>
        <v/>
      </c>
    </row>
    <row r="225" spans="1:15" x14ac:dyDescent="0.2">
      <c r="A225" s="6">
        <f t="shared" si="94"/>
        <v>13</v>
      </c>
      <c r="B225" t="str">
        <f t="shared" si="87"/>
        <v/>
      </c>
      <c r="C225" t="str">
        <f t="shared" si="87"/>
        <v/>
      </c>
      <c r="D225" t="str">
        <f t="shared" si="87"/>
        <v/>
      </c>
      <c r="E225" t="str">
        <f t="shared" si="87"/>
        <v/>
      </c>
      <c r="F225" s="17" t="str">
        <f t="shared" si="88"/>
        <v/>
      </c>
      <c r="G225" s="18" t="str">
        <f t="shared" si="89"/>
        <v/>
      </c>
      <c r="H225" t="str">
        <f t="shared" si="95"/>
        <v/>
      </c>
      <c r="I225" t="str">
        <f t="shared" si="95"/>
        <v/>
      </c>
      <c r="J225" t="str">
        <f t="shared" si="95"/>
        <v/>
      </c>
      <c r="K225" t="str">
        <f t="shared" si="95"/>
        <v/>
      </c>
      <c r="L225" t="str">
        <f t="shared" si="95"/>
        <v/>
      </c>
      <c r="M225" s="17" t="str">
        <f t="shared" si="91"/>
        <v/>
      </c>
      <c r="N225" s="18" t="str">
        <f t="shared" si="92"/>
        <v/>
      </c>
      <c r="O225" t="str">
        <f t="shared" si="93"/>
        <v/>
      </c>
    </row>
    <row r="226" spans="1:15" x14ac:dyDescent="0.2">
      <c r="A226" s="6">
        <f t="shared" si="94"/>
        <v>14</v>
      </c>
      <c r="B226" t="str">
        <f t="shared" si="87"/>
        <v/>
      </c>
      <c r="C226" t="str">
        <f t="shared" si="87"/>
        <v/>
      </c>
      <c r="D226" t="str">
        <f t="shared" si="87"/>
        <v/>
      </c>
      <c r="E226" t="str">
        <f t="shared" si="87"/>
        <v/>
      </c>
      <c r="F226" s="17" t="str">
        <f t="shared" si="88"/>
        <v/>
      </c>
      <c r="G226" s="18" t="str">
        <f t="shared" si="89"/>
        <v/>
      </c>
      <c r="H226" t="str">
        <f t="shared" si="95"/>
        <v/>
      </c>
      <c r="I226" t="str">
        <f t="shared" si="95"/>
        <v/>
      </c>
      <c r="J226" t="str">
        <f t="shared" si="95"/>
        <v/>
      </c>
      <c r="K226" t="str">
        <f t="shared" si="95"/>
        <v/>
      </c>
      <c r="L226" t="str">
        <f t="shared" si="95"/>
        <v/>
      </c>
      <c r="M226" s="17" t="str">
        <f t="shared" si="91"/>
        <v/>
      </c>
      <c r="N226" s="18" t="str">
        <f t="shared" si="92"/>
        <v/>
      </c>
      <c r="O226" t="str">
        <f t="shared" si="93"/>
        <v/>
      </c>
    </row>
    <row r="227" spans="1:15" x14ac:dyDescent="0.2">
      <c r="A227" s="6">
        <f t="shared" si="94"/>
        <v>15</v>
      </c>
      <c r="B227" t="str">
        <f t="shared" si="87"/>
        <v/>
      </c>
      <c r="C227" t="str">
        <f t="shared" si="87"/>
        <v/>
      </c>
      <c r="D227" t="str">
        <f t="shared" si="87"/>
        <v/>
      </c>
      <c r="E227" t="str">
        <f t="shared" si="87"/>
        <v/>
      </c>
      <c r="F227" s="17" t="str">
        <f t="shared" si="88"/>
        <v/>
      </c>
      <c r="G227" s="18" t="str">
        <f t="shared" si="89"/>
        <v/>
      </c>
      <c r="H227" t="str">
        <f t="shared" si="95"/>
        <v/>
      </c>
      <c r="I227" t="str">
        <f t="shared" si="95"/>
        <v/>
      </c>
      <c r="J227" t="str">
        <f t="shared" si="95"/>
        <v/>
      </c>
      <c r="K227" t="str">
        <f t="shared" si="95"/>
        <v/>
      </c>
      <c r="L227" t="str">
        <f t="shared" si="95"/>
        <v/>
      </c>
      <c r="M227" s="17" t="str">
        <f t="shared" si="91"/>
        <v/>
      </c>
      <c r="N227" s="18" t="str">
        <f t="shared" si="92"/>
        <v/>
      </c>
      <c r="O227" t="str">
        <f t="shared" si="93"/>
        <v/>
      </c>
    </row>
    <row r="228" spans="1:15" x14ac:dyDescent="0.2">
      <c r="A228" s="6">
        <f t="shared" si="94"/>
        <v>16</v>
      </c>
      <c r="B228" t="str">
        <f t="shared" si="87"/>
        <v/>
      </c>
      <c r="C228" t="str">
        <f t="shared" si="87"/>
        <v/>
      </c>
      <c r="D228" t="str">
        <f t="shared" si="87"/>
        <v/>
      </c>
      <c r="E228" t="str">
        <f t="shared" si="87"/>
        <v/>
      </c>
      <c r="F228" s="17" t="str">
        <f t="shared" si="88"/>
        <v/>
      </c>
      <c r="G228" s="18" t="str">
        <f t="shared" si="89"/>
        <v/>
      </c>
      <c r="H228" t="str">
        <f t="shared" si="95"/>
        <v/>
      </c>
      <c r="I228" t="str">
        <f t="shared" si="95"/>
        <v/>
      </c>
      <c r="J228" t="str">
        <f t="shared" si="95"/>
        <v/>
      </c>
      <c r="K228" t="str">
        <f t="shared" si="95"/>
        <v/>
      </c>
      <c r="L228" t="str">
        <f t="shared" si="95"/>
        <v/>
      </c>
      <c r="M228" s="17" t="str">
        <f t="shared" si="91"/>
        <v/>
      </c>
      <c r="N228" s="18" t="str">
        <f t="shared" si="92"/>
        <v/>
      </c>
      <c r="O228" t="str">
        <f t="shared" si="93"/>
        <v/>
      </c>
    </row>
    <row r="229" spans="1:15" x14ac:dyDescent="0.2">
      <c r="A229" s="6">
        <f t="shared" si="94"/>
        <v>17</v>
      </c>
      <c r="B229" t="str">
        <f t="shared" si="87"/>
        <v/>
      </c>
      <c r="C229" t="str">
        <f t="shared" si="87"/>
        <v/>
      </c>
      <c r="D229" t="str">
        <f t="shared" si="87"/>
        <v/>
      </c>
      <c r="E229" t="str">
        <f t="shared" si="87"/>
        <v/>
      </c>
      <c r="F229" s="17" t="str">
        <f t="shared" si="88"/>
        <v/>
      </c>
      <c r="G229" s="18" t="str">
        <f t="shared" si="89"/>
        <v/>
      </c>
      <c r="H229" t="str">
        <f t="shared" si="95"/>
        <v/>
      </c>
      <c r="I229" t="str">
        <f t="shared" si="95"/>
        <v/>
      </c>
      <c r="J229" t="str">
        <f t="shared" si="95"/>
        <v/>
      </c>
      <c r="K229" t="str">
        <f t="shared" si="95"/>
        <v/>
      </c>
      <c r="L229" t="str">
        <f t="shared" si="95"/>
        <v/>
      </c>
      <c r="M229" s="17" t="str">
        <f t="shared" si="91"/>
        <v/>
      </c>
      <c r="N229" s="18" t="str">
        <f t="shared" si="92"/>
        <v/>
      </c>
      <c r="O229" t="str">
        <f t="shared" si="93"/>
        <v/>
      </c>
    </row>
    <row r="230" spans="1:15" x14ac:dyDescent="0.2">
      <c r="A230" s="6">
        <f t="shared" si="94"/>
        <v>18</v>
      </c>
      <c r="B230" t="str">
        <f t="shared" si="87"/>
        <v/>
      </c>
      <c r="C230" t="str">
        <f t="shared" si="87"/>
        <v/>
      </c>
      <c r="D230" t="str">
        <f t="shared" si="87"/>
        <v/>
      </c>
      <c r="E230" t="str">
        <f t="shared" si="87"/>
        <v/>
      </c>
      <c r="F230" s="17" t="str">
        <f t="shared" si="88"/>
        <v/>
      </c>
      <c r="G230" s="18" t="str">
        <f t="shared" si="89"/>
        <v/>
      </c>
      <c r="H230" t="str">
        <f t="shared" si="95"/>
        <v/>
      </c>
      <c r="I230" t="str">
        <f t="shared" si="95"/>
        <v/>
      </c>
      <c r="J230" t="str">
        <f t="shared" si="95"/>
        <v/>
      </c>
      <c r="K230" t="str">
        <f t="shared" si="95"/>
        <v/>
      </c>
      <c r="L230" t="str">
        <f t="shared" si="95"/>
        <v/>
      </c>
      <c r="M230" s="17" t="str">
        <f t="shared" si="91"/>
        <v/>
      </c>
      <c r="N230" s="18" t="str">
        <f t="shared" si="92"/>
        <v/>
      </c>
      <c r="O230" t="str">
        <f t="shared" si="93"/>
        <v/>
      </c>
    </row>
    <row r="231" spans="1:15" x14ac:dyDescent="0.2">
      <c r="A231" s="6">
        <f t="shared" si="94"/>
        <v>19</v>
      </c>
      <c r="B231" t="str">
        <f t="shared" si="87"/>
        <v/>
      </c>
      <c r="C231" t="str">
        <f t="shared" si="87"/>
        <v/>
      </c>
      <c r="D231" t="str">
        <f t="shared" si="87"/>
        <v/>
      </c>
      <c r="E231" t="str">
        <f t="shared" si="87"/>
        <v/>
      </c>
      <c r="F231" s="17" t="str">
        <f t="shared" si="88"/>
        <v/>
      </c>
      <c r="G231" s="18" t="str">
        <f t="shared" si="89"/>
        <v/>
      </c>
      <c r="H231" t="str">
        <f t="shared" si="95"/>
        <v/>
      </c>
      <c r="I231" t="str">
        <f t="shared" si="95"/>
        <v/>
      </c>
      <c r="J231" t="str">
        <f t="shared" si="95"/>
        <v/>
      </c>
      <c r="K231" t="str">
        <f t="shared" si="95"/>
        <v/>
      </c>
      <c r="L231" t="str">
        <f t="shared" si="95"/>
        <v/>
      </c>
      <c r="M231" s="17" t="str">
        <f t="shared" si="91"/>
        <v/>
      </c>
      <c r="N231" s="18" t="str">
        <f t="shared" si="92"/>
        <v/>
      </c>
      <c r="O231" t="str">
        <f t="shared" si="93"/>
        <v/>
      </c>
    </row>
    <row r="232" spans="1:15" x14ac:dyDescent="0.2">
      <c r="A232" s="6">
        <f t="shared" si="94"/>
        <v>20</v>
      </c>
      <c r="B232" t="str">
        <f t="shared" si="87"/>
        <v/>
      </c>
      <c r="C232" t="str">
        <f t="shared" si="87"/>
        <v/>
      </c>
      <c r="D232" t="str">
        <f t="shared" si="87"/>
        <v/>
      </c>
      <c r="E232" t="str">
        <f t="shared" si="87"/>
        <v/>
      </c>
      <c r="F232" s="17" t="str">
        <f t="shared" si="88"/>
        <v/>
      </c>
      <c r="G232" s="18" t="str">
        <f t="shared" si="89"/>
        <v/>
      </c>
      <c r="H232" t="str">
        <f t="shared" si="95"/>
        <v/>
      </c>
      <c r="I232" t="str">
        <f t="shared" si="95"/>
        <v/>
      </c>
      <c r="J232" t="str">
        <f t="shared" si="95"/>
        <v/>
      </c>
      <c r="K232" t="str">
        <f t="shared" si="95"/>
        <v/>
      </c>
      <c r="L232" t="str">
        <f t="shared" si="95"/>
        <v/>
      </c>
      <c r="M232" s="17" t="str">
        <f t="shared" si="91"/>
        <v/>
      </c>
      <c r="N232" s="18" t="str">
        <f t="shared" si="92"/>
        <v/>
      </c>
      <c r="O232" t="str">
        <f t="shared" si="93"/>
        <v/>
      </c>
    </row>
    <row r="233" spans="1:15" x14ac:dyDescent="0.2">
      <c r="A233" s="6">
        <f t="shared" si="94"/>
        <v>21</v>
      </c>
      <c r="B233" t="str">
        <f t="shared" ref="B233:E252" si="96">IF(ShowSeries3,IF(ChartLines13=B$4,Series3Input,IF(ChartX13=B$4,$P29,B$7)),"")</f>
        <v/>
      </c>
      <c r="C233" t="str">
        <f t="shared" si="96"/>
        <v/>
      </c>
      <c r="D233" t="str">
        <f t="shared" si="96"/>
        <v/>
      </c>
      <c r="E233" t="str">
        <f t="shared" si="96"/>
        <v/>
      </c>
      <c r="F233" s="17" t="str">
        <f t="shared" si="88"/>
        <v/>
      </c>
      <c r="G233" s="18" t="str">
        <f t="shared" si="89"/>
        <v/>
      </c>
      <c r="H233" t="str">
        <f t="shared" ref="H233:L242" si="97">IF(ShowSeries3,IF(ChartLines13=H$4,Series3Input,IF(ChartX13=H$4,$P29,H$7)),"")</f>
        <v/>
      </c>
      <c r="I233" t="str">
        <f t="shared" si="97"/>
        <v/>
      </c>
      <c r="J233" t="str">
        <f t="shared" si="97"/>
        <v/>
      </c>
      <c r="K233" t="str">
        <f t="shared" si="97"/>
        <v/>
      </c>
      <c r="L233" t="str">
        <f t="shared" si="97"/>
        <v/>
      </c>
      <c r="M233" s="17" t="str">
        <f t="shared" si="91"/>
        <v/>
      </c>
      <c r="N233" s="18" t="str">
        <f t="shared" si="92"/>
        <v/>
      </c>
      <c r="O233" t="str">
        <f t="shared" si="93"/>
        <v/>
      </c>
    </row>
    <row r="234" spans="1:15" x14ac:dyDescent="0.2">
      <c r="A234" s="6">
        <f t="shared" si="94"/>
        <v>22</v>
      </c>
      <c r="B234" t="str">
        <f t="shared" si="96"/>
        <v/>
      </c>
      <c r="C234" t="str">
        <f t="shared" si="96"/>
        <v/>
      </c>
      <c r="D234" t="str">
        <f t="shared" si="96"/>
        <v/>
      </c>
      <c r="E234" t="str">
        <f t="shared" si="96"/>
        <v/>
      </c>
      <c r="F234" s="17" t="str">
        <f t="shared" si="88"/>
        <v/>
      </c>
      <c r="G234" s="18" t="str">
        <f t="shared" si="89"/>
        <v/>
      </c>
      <c r="H234" t="str">
        <f t="shared" si="97"/>
        <v/>
      </c>
      <c r="I234" t="str">
        <f t="shared" si="97"/>
        <v/>
      </c>
      <c r="J234" t="str">
        <f t="shared" si="97"/>
        <v/>
      </c>
      <c r="K234" t="str">
        <f t="shared" si="97"/>
        <v/>
      </c>
      <c r="L234" t="str">
        <f t="shared" si="97"/>
        <v/>
      </c>
      <c r="M234" s="17" t="str">
        <f t="shared" si="91"/>
        <v/>
      </c>
      <c r="N234" s="18" t="str">
        <f t="shared" si="92"/>
        <v/>
      </c>
      <c r="O234" t="str">
        <f t="shared" si="93"/>
        <v/>
      </c>
    </row>
    <row r="235" spans="1:15" x14ac:dyDescent="0.2">
      <c r="A235" s="6">
        <f t="shared" si="94"/>
        <v>23</v>
      </c>
      <c r="B235" t="str">
        <f t="shared" si="96"/>
        <v/>
      </c>
      <c r="C235" t="str">
        <f t="shared" si="96"/>
        <v/>
      </c>
      <c r="D235" t="str">
        <f t="shared" si="96"/>
        <v/>
      </c>
      <c r="E235" t="str">
        <f t="shared" si="96"/>
        <v/>
      </c>
      <c r="F235" s="17" t="str">
        <f t="shared" si="88"/>
        <v/>
      </c>
      <c r="G235" s="18" t="str">
        <f t="shared" si="89"/>
        <v/>
      </c>
      <c r="H235" t="str">
        <f t="shared" si="97"/>
        <v/>
      </c>
      <c r="I235" t="str">
        <f t="shared" si="97"/>
        <v/>
      </c>
      <c r="J235" t="str">
        <f t="shared" si="97"/>
        <v/>
      </c>
      <c r="K235" t="str">
        <f t="shared" si="97"/>
        <v/>
      </c>
      <c r="L235" t="str">
        <f t="shared" si="97"/>
        <v/>
      </c>
      <c r="M235" s="17" t="str">
        <f t="shared" si="91"/>
        <v/>
      </c>
      <c r="N235" s="18" t="str">
        <f t="shared" si="92"/>
        <v/>
      </c>
      <c r="O235" t="str">
        <f t="shared" si="93"/>
        <v/>
      </c>
    </row>
    <row r="236" spans="1:15" x14ac:dyDescent="0.2">
      <c r="A236" s="6">
        <f t="shared" si="94"/>
        <v>24</v>
      </c>
      <c r="B236" t="str">
        <f t="shared" si="96"/>
        <v/>
      </c>
      <c r="C236" t="str">
        <f t="shared" si="96"/>
        <v/>
      </c>
      <c r="D236" t="str">
        <f t="shared" si="96"/>
        <v/>
      </c>
      <c r="E236" t="str">
        <f t="shared" si="96"/>
        <v/>
      </c>
      <c r="F236" s="17" t="str">
        <f t="shared" si="88"/>
        <v/>
      </c>
      <c r="G236" s="18" t="str">
        <f t="shared" si="89"/>
        <v/>
      </c>
      <c r="H236" t="str">
        <f t="shared" si="97"/>
        <v/>
      </c>
      <c r="I236" t="str">
        <f t="shared" si="97"/>
        <v/>
      </c>
      <c r="J236" t="str">
        <f t="shared" si="97"/>
        <v/>
      </c>
      <c r="K236" t="str">
        <f t="shared" si="97"/>
        <v/>
      </c>
      <c r="L236" t="str">
        <f t="shared" si="97"/>
        <v/>
      </c>
      <c r="M236" s="17" t="str">
        <f t="shared" si="91"/>
        <v/>
      </c>
      <c r="N236" s="18" t="str">
        <f t="shared" si="92"/>
        <v/>
      </c>
      <c r="O236" t="str">
        <f t="shared" si="93"/>
        <v/>
      </c>
    </row>
    <row r="237" spans="1:15" x14ac:dyDescent="0.2">
      <c r="A237" s="6">
        <f t="shared" si="94"/>
        <v>25</v>
      </c>
      <c r="B237" t="str">
        <f t="shared" si="96"/>
        <v/>
      </c>
      <c r="C237" t="str">
        <f t="shared" si="96"/>
        <v/>
      </c>
      <c r="D237" t="str">
        <f t="shared" si="96"/>
        <v/>
      </c>
      <c r="E237" t="str">
        <f t="shared" si="96"/>
        <v/>
      </c>
      <c r="F237" s="17" t="str">
        <f t="shared" si="88"/>
        <v/>
      </c>
      <c r="G237" s="18" t="str">
        <f t="shared" si="89"/>
        <v/>
      </c>
      <c r="H237" t="str">
        <f t="shared" si="97"/>
        <v/>
      </c>
      <c r="I237" t="str">
        <f t="shared" si="97"/>
        <v/>
      </c>
      <c r="J237" t="str">
        <f t="shared" si="97"/>
        <v/>
      </c>
      <c r="K237" t="str">
        <f t="shared" si="97"/>
        <v/>
      </c>
      <c r="L237" t="str">
        <f t="shared" si="97"/>
        <v/>
      </c>
      <c r="M237" s="17" t="str">
        <f t="shared" si="91"/>
        <v/>
      </c>
      <c r="N237" s="18" t="str">
        <f t="shared" si="92"/>
        <v/>
      </c>
      <c r="O237" t="str">
        <f t="shared" si="93"/>
        <v/>
      </c>
    </row>
    <row r="238" spans="1:15" x14ac:dyDescent="0.2">
      <c r="A238" s="6">
        <f t="shared" si="94"/>
        <v>26</v>
      </c>
      <c r="B238" t="str">
        <f t="shared" si="96"/>
        <v/>
      </c>
      <c r="C238" t="str">
        <f t="shared" si="96"/>
        <v/>
      </c>
      <c r="D238" t="str">
        <f t="shared" si="96"/>
        <v/>
      </c>
      <c r="E238" t="str">
        <f t="shared" si="96"/>
        <v/>
      </c>
      <c r="F238" s="17" t="str">
        <f t="shared" si="88"/>
        <v/>
      </c>
      <c r="G238" s="18" t="str">
        <f t="shared" si="89"/>
        <v/>
      </c>
      <c r="H238" t="str">
        <f t="shared" si="97"/>
        <v/>
      </c>
      <c r="I238" t="str">
        <f t="shared" si="97"/>
        <v/>
      </c>
      <c r="J238" t="str">
        <f t="shared" si="97"/>
        <v/>
      </c>
      <c r="K238" t="str">
        <f t="shared" si="97"/>
        <v/>
      </c>
      <c r="L238" t="str">
        <f t="shared" si="97"/>
        <v/>
      </c>
      <c r="M238" s="17" t="str">
        <f t="shared" si="91"/>
        <v/>
      </c>
      <c r="N238" s="18" t="str">
        <f t="shared" si="92"/>
        <v/>
      </c>
      <c r="O238" t="str">
        <f t="shared" si="93"/>
        <v/>
      </c>
    </row>
    <row r="239" spans="1:15" x14ac:dyDescent="0.2">
      <c r="A239" s="6">
        <f t="shared" si="94"/>
        <v>27</v>
      </c>
      <c r="B239" t="str">
        <f t="shared" si="96"/>
        <v/>
      </c>
      <c r="C239" t="str">
        <f t="shared" si="96"/>
        <v/>
      </c>
      <c r="D239" t="str">
        <f t="shared" si="96"/>
        <v/>
      </c>
      <c r="E239" t="str">
        <f t="shared" si="96"/>
        <v/>
      </c>
      <c r="F239" s="17" t="str">
        <f t="shared" si="88"/>
        <v/>
      </c>
      <c r="G239" s="18" t="str">
        <f t="shared" si="89"/>
        <v/>
      </c>
      <c r="H239" t="str">
        <f t="shared" si="97"/>
        <v/>
      </c>
      <c r="I239" t="str">
        <f t="shared" si="97"/>
        <v/>
      </c>
      <c r="J239" t="str">
        <f t="shared" si="97"/>
        <v/>
      </c>
      <c r="K239" t="str">
        <f t="shared" si="97"/>
        <v/>
      </c>
      <c r="L239" t="str">
        <f t="shared" si="97"/>
        <v/>
      </c>
      <c r="M239" s="17" t="str">
        <f t="shared" si="91"/>
        <v/>
      </c>
      <c r="N239" s="18" t="str">
        <f t="shared" si="92"/>
        <v/>
      </c>
      <c r="O239" t="str">
        <f t="shared" si="93"/>
        <v/>
      </c>
    </row>
    <row r="240" spans="1:15" x14ac:dyDescent="0.2">
      <c r="A240" s="6">
        <f t="shared" si="94"/>
        <v>28</v>
      </c>
      <c r="B240" t="str">
        <f t="shared" si="96"/>
        <v/>
      </c>
      <c r="C240" t="str">
        <f t="shared" si="96"/>
        <v/>
      </c>
      <c r="D240" t="str">
        <f t="shared" si="96"/>
        <v/>
      </c>
      <c r="E240" t="str">
        <f t="shared" si="96"/>
        <v/>
      </c>
      <c r="F240" s="17" t="str">
        <f t="shared" si="88"/>
        <v/>
      </c>
      <c r="G240" s="18" t="str">
        <f t="shared" si="89"/>
        <v/>
      </c>
      <c r="H240" t="str">
        <f t="shared" si="97"/>
        <v/>
      </c>
      <c r="I240" t="str">
        <f t="shared" si="97"/>
        <v/>
      </c>
      <c r="J240" t="str">
        <f t="shared" si="97"/>
        <v/>
      </c>
      <c r="K240" t="str">
        <f t="shared" si="97"/>
        <v/>
      </c>
      <c r="L240" t="str">
        <f t="shared" si="97"/>
        <v/>
      </c>
      <c r="M240" s="17" t="str">
        <f t="shared" si="91"/>
        <v/>
      </c>
      <c r="N240" s="18" t="str">
        <f t="shared" si="92"/>
        <v/>
      </c>
      <c r="O240" t="str">
        <f t="shared" si="93"/>
        <v/>
      </c>
    </row>
    <row r="241" spans="1:15" x14ac:dyDescent="0.2">
      <c r="A241" s="6">
        <f t="shared" si="94"/>
        <v>29</v>
      </c>
      <c r="B241" t="str">
        <f t="shared" si="96"/>
        <v/>
      </c>
      <c r="C241" t="str">
        <f t="shared" si="96"/>
        <v/>
      </c>
      <c r="D241" t="str">
        <f t="shared" si="96"/>
        <v/>
      </c>
      <c r="E241" t="str">
        <f t="shared" si="96"/>
        <v/>
      </c>
      <c r="F241" s="17" t="str">
        <f t="shared" si="88"/>
        <v/>
      </c>
      <c r="G241" s="18" t="str">
        <f t="shared" si="89"/>
        <v/>
      </c>
      <c r="H241" t="str">
        <f t="shared" si="97"/>
        <v/>
      </c>
      <c r="I241" t="str">
        <f t="shared" si="97"/>
        <v/>
      </c>
      <c r="J241" t="str">
        <f t="shared" si="97"/>
        <v/>
      </c>
      <c r="K241" t="str">
        <f t="shared" si="97"/>
        <v/>
      </c>
      <c r="L241" t="str">
        <f t="shared" si="97"/>
        <v/>
      </c>
      <c r="M241" s="17" t="str">
        <f t="shared" si="91"/>
        <v/>
      </c>
      <c r="N241" s="18" t="str">
        <f t="shared" si="92"/>
        <v/>
      </c>
      <c r="O241" t="str">
        <f t="shared" si="93"/>
        <v/>
      </c>
    </row>
    <row r="242" spans="1:15" x14ac:dyDescent="0.2">
      <c r="A242" s="6">
        <f t="shared" si="94"/>
        <v>30</v>
      </c>
      <c r="B242" t="str">
        <f t="shared" si="96"/>
        <v/>
      </c>
      <c r="C242" t="str">
        <f t="shared" si="96"/>
        <v/>
      </c>
      <c r="D242" t="str">
        <f t="shared" si="96"/>
        <v/>
      </c>
      <c r="E242" t="str">
        <f t="shared" si="96"/>
        <v/>
      </c>
      <c r="F242" s="17" t="str">
        <f t="shared" si="88"/>
        <v/>
      </c>
      <c r="G242" s="18" t="str">
        <f t="shared" si="89"/>
        <v/>
      </c>
      <c r="H242" t="str">
        <f t="shared" si="97"/>
        <v/>
      </c>
      <c r="I242" t="str">
        <f t="shared" si="97"/>
        <v/>
      </c>
      <c r="J242" t="str">
        <f t="shared" si="97"/>
        <v/>
      </c>
      <c r="K242" t="str">
        <f t="shared" si="97"/>
        <v/>
      </c>
      <c r="L242" t="str">
        <f t="shared" si="97"/>
        <v/>
      </c>
      <c r="M242" s="17" t="str">
        <f t="shared" si="91"/>
        <v/>
      </c>
      <c r="N242" s="18" t="str">
        <f t="shared" si="92"/>
        <v/>
      </c>
      <c r="O242" t="str">
        <f t="shared" si="93"/>
        <v/>
      </c>
    </row>
    <row r="243" spans="1:15" x14ac:dyDescent="0.2">
      <c r="A243" s="6">
        <f t="shared" si="94"/>
        <v>31</v>
      </c>
      <c r="B243" t="str">
        <f t="shared" si="96"/>
        <v/>
      </c>
      <c r="C243" t="str">
        <f t="shared" si="96"/>
        <v/>
      </c>
      <c r="D243" t="str">
        <f t="shared" si="96"/>
        <v/>
      </c>
      <c r="E243" t="str">
        <f t="shared" si="96"/>
        <v/>
      </c>
      <c r="F243" s="17" t="str">
        <f t="shared" si="88"/>
        <v/>
      </c>
      <c r="G243" s="18" t="str">
        <f t="shared" si="89"/>
        <v/>
      </c>
      <c r="H243" t="str">
        <f t="shared" ref="H243:L252" si="98">IF(ShowSeries3,IF(ChartLines13=H$4,Series3Input,IF(ChartX13=H$4,$P39,H$7)),"")</f>
        <v/>
      </c>
      <c r="I243" t="str">
        <f t="shared" si="98"/>
        <v/>
      </c>
      <c r="J243" t="str">
        <f t="shared" si="98"/>
        <v/>
      </c>
      <c r="K243" t="str">
        <f t="shared" si="98"/>
        <v/>
      </c>
      <c r="L243" t="str">
        <f t="shared" si="98"/>
        <v/>
      </c>
      <c r="M243" s="17" t="str">
        <f t="shared" si="91"/>
        <v/>
      </c>
      <c r="N243" s="18" t="str">
        <f t="shared" si="92"/>
        <v/>
      </c>
      <c r="O243" t="str">
        <f t="shared" si="93"/>
        <v/>
      </c>
    </row>
    <row r="244" spans="1:15" x14ac:dyDescent="0.2">
      <c r="A244" s="6">
        <f t="shared" si="94"/>
        <v>32</v>
      </c>
      <c r="B244" t="str">
        <f t="shared" si="96"/>
        <v/>
      </c>
      <c r="C244" t="str">
        <f t="shared" si="96"/>
        <v/>
      </c>
      <c r="D244" t="str">
        <f t="shared" si="96"/>
        <v/>
      </c>
      <c r="E244" t="str">
        <f t="shared" si="96"/>
        <v/>
      </c>
      <c r="F244" s="17" t="str">
        <f t="shared" si="88"/>
        <v/>
      </c>
      <c r="G244" s="18" t="str">
        <f t="shared" si="89"/>
        <v/>
      </c>
      <c r="H244" t="str">
        <f t="shared" si="98"/>
        <v/>
      </c>
      <c r="I244" t="str">
        <f t="shared" si="98"/>
        <v/>
      </c>
      <c r="J244" t="str">
        <f t="shared" si="98"/>
        <v/>
      </c>
      <c r="K244" t="str">
        <f t="shared" si="98"/>
        <v/>
      </c>
      <c r="L244" t="str">
        <f t="shared" si="98"/>
        <v/>
      </c>
      <c r="M244" s="17" t="str">
        <f t="shared" si="91"/>
        <v/>
      </c>
      <c r="N244" s="18" t="str">
        <f t="shared" si="92"/>
        <v/>
      </c>
      <c r="O244" t="str">
        <f t="shared" si="93"/>
        <v/>
      </c>
    </row>
    <row r="245" spans="1:15" x14ac:dyDescent="0.2">
      <c r="A245" s="6">
        <f t="shared" si="94"/>
        <v>33</v>
      </c>
      <c r="B245" t="str">
        <f t="shared" si="96"/>
        <v/>
      </c>
      <c r="C245" t="str">
        <f t="shared" si="96"/>
        <v/>
      </c>
      <c r="D245" t="str">
        <f t="shared" si="96"/>
        <v/>
      </c>
      <c r="E245" t="str">
        <f t="shared" si="96"/>
        <v/>
      </c>
      <c r="F245" s="17" t="str">
        <f t="shared" ref="F245:F276" si="99">IF(ShowSeries3,IF(ChartLines13=F$4,Series3Input,IF(ChartX13=F$4,$P41,IF(TimeAs=1,E245-D245,IF(TimeAs=2,F$7,G245*DaysPerYear)))),"")</f>
        <v/>
      </c>
      <c r="G245" s="18" t="str">
        <f t="shared" ref="G245:G276" si="100">IF(ShowSeries3,IF(ChartLines13=G$4,Series3Input,IF(ChartX13=G$4,$P41,IF(TimeAs&lt;3,F245/DaysPerYear,G$7))),"")</f>
        <v/>
      </c>
      <c r="H245" t="str">
        <f t="shared" si="98"/>
        <v/>
      </c>
      <c r="I245" t="str">
        <f t="shared" si="98"/>
        <v/>
      </c>
      <c r="J245" t="str">
        <f t="shared" si="98"/>
        <v/>
      </c>
      <c r="K245" t="str">
        <f t="shared" si="98"/>
        <v/>
      </c>
      <c r="L245" t="str">
        <f t="shared" si="98"/>
        <v/>
      </c>
      <c r="M245" s="17" t="str">
        <f t="shared" ref="M245:M276" si="101">IF(ShowSeries3,IF(ChartLines13=M$4,Series3Input,IF(ChartX13=M$4,$P41,IF(ExDivAs=1,L245-D245,IF(ExDivAs=2,M$7,N245*DaysPerYear)))),"")</f>
        <v/>
      </c>
      <c r="N245" s="18" t="str">
        <f t="shared" ref="N245:N276" si="102">IF(ShowSeries3,IF(ChartLines13=N$4,Series3Input,IF(ChartX13=N$4,$P41,IF(ExDivAs&lt;3,M245/DaysPerYear,N$7))),"")</f>
        <v/>
      </c>
      <c r="O245" t="str">
        <f t="shared" ref="O245:O276" si="103">IF(ShowSeries3,BinOp($B245,$C245,$G245,$H245,$J245,$I245,CallPut,AmEur,Model,Steps,ModelOutput,$K245,$N245),"")</f>
        <v/>
      </c>
    </row>
    <row r="246" spans="1:15" x14ac:dyDescent="0.2">
      <c r="A246" s="6">
        <f t="shared" si="94"/>
        <v>34</v>
      </c>
      <c r="B246" t="str">
        <f t="shared" si="96"/>
        <v/>
      </c>
      <c r="C246" t="str">
        <f t="shared" si="96"/>
        <v/>
      </c>
      <c r="D246" t="str">
        <f t="shared" si="96"/>
        <v/>
      </c>
      <c r="E246" t="str">
        <f t="shared" si="96"/>
        <v/>
      </c>
      <c r="F246" s="17" t="str">
        <f t="shared" si="99"/>
        <v/>
      </c>
      <c r="G246" s="18" t="str">
        <f t="shared" si="100"/>
        <v/>
      </c>
      <c r="H246" t="str">
        <f t="shared" si="98"/>
        <v/>
      </c>
      <c r="I246" t="str">
        <f t="shared" si="98"/>
        <v/>
      </c>
      <c r="J246" t="str">
        <f t="shared" si="98"/>
        <v/>
      </c>
      <c r="K246" t="str">
        <f t="shared" si="98"/>
        <v/>
      </c>
      <c r="L246" t="str">
        <f t="shared" si="98"/>
        <v/>
      </c>
      <c r="M246" s="17" t="str">
        <f t="shared" si="101"/>
        <v/>
      </c>
      <c r="N246" s="18" t="str">
        <f t="shared" si="102"/>
        <v/>
      </c>
      <c r="O246" t="str">
        <f t="shared" si="103"/>
        <v/>
      </c>
    </row>
    <row r="247" spans="1:15" x14ac:dyDescent="0.2">
      <c r="A247" s="6">
        <f t="shared" si="94"/>
        <v>35</v>
      </c>
      <c r="B247" t="str">
        <f t="shared" si="96"/>
        <v/>
      </c>
      <c r="C247" t="str">
        <f t="shared" si="96"/>
        <v/>
      </c>
      <c r="D247" t="str">
        <f t="shared" si="96"/>
        <v/>
      </c>
      <c r="E247" t="str">
        <f t="shared" si="96"/>
        <v/>
      </c>
      <c r="F247" s="17" t="str">
        <f t="shared" si="99"/>
        <v/>
      </c>
      <c r="G247" s="18" t="str">
        <f t="shared" si="100"/>
        <v/>
      </c>
      <c r="H247" t="str">
        <f t="shared" si="98"/>
        <v/>
      </c>
      <c r="I247" t="str">
        <f t="shared" si="98"/>
        <v/>
      </c>
      <c r="J247" t="str">
        <f t="shared" si="98"/>
        <v/>
      </c>
      <c r="K247" t="str">
        <f t="shared" si="98"/>
        <v/>
      </c>
      <c r="L247" t="str">
        <f t="shared" si="98"/>
        <v/>
      </c>
      <c r="M247" s="17" t="str">
        <f t="shared" si="101"/>
        <v/>
      </c>
      <c r="N247" s="18" t="str">
        <f t="shared" si="102"/>
        <v/>
      </c>
      <c r="O247" t="str">
        <f t="shared" si="103"/>
        <v/>
      </c>
    </row>
    <row r="248" spans="1:15" x14ac:dyDescent="0.2">
      <c r="A248" s="6">
        <f t="shared" si="94"/>
        <v>36</v>
      </c>
      <c r="B248" t="str">
        <f t="shared" si="96"/>
        <v/>
      </c>
      <c r="C248" t="str">
        <f t="shared" si="96"/>
        <v/>
      </c>
      <c r="D248" t="str">
        <f t="shared" si="96"/>
        <v/>
      </c>
      <c r="E248" t="str">
        <f t="shared" si="96"/>
        <v/>
      </c>
      <c r="F248" s="17" t="str">
        <f t="shared" si="99"/>
        <v/>
      </c>
      <c r="G248" s="18" t="str">
        <f t="shared" si="100"/>
        <v/>
      </c>
      <c r="H248" t="str">
        <f t="shared" si="98"/>
        <v/>
      </c>
      <c r="I248" t="str">
        <f t="shared" si="98"/>
        <v/>
      </c>
      <c r="J248" t="str">
        <f t="shared" si="98"/>
        <v/>
      </c>
      <c r="K248" t="str">
        <f t="shared" si="98"/>
        <v/>
      </c>
      <c r="L248" t="str">
        <f t="shared" si="98"/>
        <v/>
      </c>
      <c r="M248" s="17" t="str">
        <f t="shared" si="101"/>
        <v/>
      </c>
      <c r="N248" s="18" t="str">
        <f t="shared" si="102"/>
        <v/>
      </c>
      <c r="O248" t="str">
        <f t="shared" si="103"/>
        <v/>
      </c>
    </row>
    <row r="249" spans="1:15" x14ac:dyDescent="0.2">
      <c r="A249" s="6">
        <f t="shared" si="94"/>
        <v>37</v>
      </c>
      <c r="B249" t="str">
        <f t="shared" si="96"/>
        <v/>
      </c>
      <c r="C249" t="str">
        <f t="shared" si="96"/>
        <v/>
      </c>
      <c r="D249" t="str">
        <f t="shared" si="96"/>
        <v/>
      </c>
      <c r="E249" t="str">
        <f t="shared" si="96"/>
        <v/>
      </c>
      <c r="F249" s="17" t="str">
        <f t="shared" si="99"/>
        <v/>
      </c>
      <c r="G249" s="18" t="str">
        <f t="shared" si="100"/>
        <v/>
      </c>
      <c r="H249" t="str">
        <f t="shared" si="98"/>
        <v/>
      </c>
      <c r="I249" t="str">
        <f t="shared" si="98"/>
        <v/>
      </c>
      <c r="J249" t="str">
        <f t="shared" si="98"/>
        <v/>
      </c>
      <c r="K249" t="str">
        <f t="shared" si="98"/>
        <v/>
      </c>
      <c r="L249" t="str">
        <f t="shared" si="98"/>
        <v/>
      </c>
      <c r="M249" s="17" t="str">
        <f t="shared" si="101"/>
        <v/>
      </c>
      <c r="N249" s="18" t="str">
        <f t="shared" si="102"/>
        <v/>
      </c>
      <c r="O249" t="str">
        <f t="shared" si="103"/>
        <v/>
      </c>
    </row>
    <row r="250" spans="1:15" x14ac:dyDescent="0.2">
      <c r="A250" s="6">
        <f t="shared" si="94"/>
        <v>38</v>
      </c>
      <c r="B250" t="str">
        <f t="shared" si="96"/>
        <v/>
      </c>
      <c r="C250" t="str">
        <f t="shared" si="96"/>
        <v/>
      </c>
      <c r="D250" t="str">
        <f t="shared" si="96"/>
        <v/>
      </c>
      <c r="E250" t="str">
        <f t="shared" si="96"/>
        <v/>
      </c>
      <c r="F250" s="17" t="str">
        <f t="shared" si="99"/>
        <v/>
      </c>
      <c r="G250" s="18" t="str">
        <f t="shared" si="100"/>
        <v/>
      </c>
      <c r="H250" t="str">
        <f t="shared" si="98"/>
        <v/>
      </c>
      <c r="I250" t="str">
        <f t="shared" si="98"/>
        <v/>
      </c>
      <c r="J250" t="str">
        <f t="shared" si="98"/>
        <v/>
      </c>
      <c r="K250" t="str">
        <f t="shared" si="98"/>
        <v/>
      </c>
      <c r="L250" t="str">
        <f t="shared" si="98"/>
        <v/>
      </c>
      <c r="M250" s="17" t="str">
        <f t="shared" si="101"/>
        <v/>
      </c>
      <c r="N250" s="18" t="str">
        <f t="shared" si="102"/>
        <v/>
      </c>
      <c r="O250" t="str">
        <f t="shared" si="103"/>
        <v/>
      </c>
    </row>
    <row r="251" spans="1:15" x14ac:dyDescent="0.2">
      <c r="A251" s="6">
        <f t="shared" si="94"/>
        <v>39</v>
      </c>
      <c r="B251" t="str">
        <f t="shared" si="96"/>
        <v/>
      </c>
      <c r="C251" t="str">
        <f t="shared" si="96"/>
        <v/>
      </c>
      <c r="D251" t="str">
        <f t="shared" si="96"/>
        <v/>
      </c>
      <c r="E251" t="str">
        <f t="shared" si="96"/>
        <v/>
      </c>
      <c r="F251" s="17" t="str">
        <f t="shared" si="99"/>
        <v/>
      </c>
      <c r="G251" s="18" t="str">
        <f t="shared" si="100"/>
        <v/>
      </c>
      <c r="H251" t="str">
        <f t="shared" si="98"/>
        <v/>
      </c>
      <c r="I251" t="str">
        <f t="shared" si="98"/>
        <v/>
      </c>
      <c r="J251" t="str">
        <f t="shared" si="98"/>
        <v/>
      </c>
      <c r="K251" t="str">
        <f t="shared" si="98"/>
        <v/>
      </c>
      <c r="L251" t="str">
        <f t="shared" si="98"/>
        <v/>
      </c>
      <c r="M251" s="17" t="str">
        <f t="shared" si="101"/>
        <v/>
      </c>
      <c r="N251" s="18" t="str">
        <f t="shared" si="102"/>
        <v/>
      </c>
      <c r="O251" t="str">
        <f t="shared" si="103"/>
        <v/>
      </c>
    </row>
    <row r="252" spans="1:15" x14ac:dyDescent="0.2">
      <c r="A252" s="6">
        <f t="shared" si="94"/>
        <v>40</v>
      </c>
      <c r="B252" t="str">
        <f t="shared" si="96"/>
        <v/>
      </c>
      <c r="C252" t="str">
        <f t="shared" si="96"/>
        <v/>
      </c>
      <c r="D252" t="str">
        <f t="shared" si="96"/>
        <v/>
      </c>
      <c r="E252" t="str">
        <f t="shared" si="96"/>
        <v/>
      </c>
      <c r="F252" s="17" t="str">
        <f t="shared" si="99"/>
        <v/>
      </c>
      <c r="G252" s="18" t="str">
        <f t="shared" si="100"/>
        <v/>
      </c>
      <c r="H252" t="str">
        <f t="shared" si="98"/>
        <v/>
      </c>
      <c r="I252" t="str">
        <f t="shared" si="98"/>
        <v/>
      </c>
      <c r="J252" t="str">
        <f t="shared" si="98"/>
        <v/>
      </c>
      <c r="K252" t="str">
        <f t="shared" si="98"/>
        <v/>
      </c>
      <c r="L252" t="str">
        <f t="shared" si="98"/>
        <v/>
      </c>
      <c r="M252" s="17" t="str">
        <f t="shared" si="101"/>
        <v/>
      </c>
      <c r="N252" s="18" t="str">
        <f t="shared" si="102"/>
        <v/>
      </c>
      <c r="O252" t="str">
        <f t="shared" si="103"/>
        <v/>
      </c>
    </row>
    <row r="253" spans="1:15" x14ac:dyDescent="0.2">
      <c r="A253" s="6">
        <f t="shared" si="94"/>
        <v>41</v>
      </c>
      <c r="B253" t="str">
        <f t="shared" ref="B253:E272" si="104">IF(ShowSeries3,IF(ChartLines13=B$4,Series3Input,IF(ChartX13=B$4,$P49,B$7)),"")</f>
        <v/>
      </c>
      <c r="C253" t="str">
        <f t="shared" si="104"/>
        <v/>
      </c>
      <c r="D253" t="str">
        <f t="shared" si="104"/>
        <v/>
      </c>
      <c r="E253" t="str">
        <f t="shared" si="104"/>
        <v/>
      </c>
      <c r="F253" s="17" t="str">
        <f t="shared" si="99"/>
        <v/>
      </c>
      <c r="G253" s="18" t="str">
        <f t="shared" si="100"/>
        <v/>
      </c>
      <c r="H253" t="str">
        <f t="shared" ref="H253:L262" si="105">IF(ShowSeries3,IF(ChartLines13=H$4,Series3Input,IF(ChartX13=H$4,$P49,H$7)),"")</f>
        <v/>
      </c>
      <c r="I253" t="str">
        <f t="shared" si="105"/>
        <v/>
      </c>
      <c r="J253" t="str">
        <f t="shared" si="105"/>
        <v/>
      </c>
      <c r="K253" t="str">
        <f t="shared" si="105"/>
        <v/>
      </c>
      <c r="L253" t="str">
        <f t="shared" si="105"/>
        <v/>
      </c>
      <c r="M253" s="17" t="str">
        <f t="shared" si="101"/>
        <v/>
      </c>
      <c r="N253" s="18" t="str">
        <f t="shared" si="102"/>
        <v/>
      </c>
      <c r="O253" t="str">
        <f t="shared" si="103"/>
        <v/>
      </c>
    </row>
    <row r="254" spans="1:15" x14ac:dyDescent="0.2">
      <c r="A254" s="6">
        <f t="shared" si="94"/>
        <v>42</v>
      </c>
      <c r="B254" t="str">
        <f t="shared" si="104"/>
        <v/>
      </c>
      <c r="C254" t="str">
        <f t="shared" si="104"/>
        <v/>
      </c>
      <c r="D254" t="str">
        <f t="shared" si="104"/>
        <v/>
      </c>
      <c r="E254" t="str">
        <f t="shared" si="104"/>
        <v/>
      </c>
      <c r="F254" s="17" t="str">
        <f t="shared" si="99"/>
        <v/>
      </c>
      <c r="G254" s="18" t="str">
        <f t="shared" si="100"/>
        <v/>
      </c>
      <c r="H254" t="str">
        <f t="shared" si="105"/>
        <v/>
      </c>
      <c r="I254" t="str">
        <f t="shared" si="105"/>
        <v/>
      </c>
      <c r="J254" t="str">
        <f t="shared" si="105"/>
        <v/>
      </c>
      <c r="K254" t="str">
        <f t="shared" si="105"/>
        <v/>
      </c>
      <c r="L254" t="str">
        <f t="shared" si="105"/>
        <v/>
      </c>
      <c r="M254" s="17" t="str">
        <f t="shared" si="101"/>
        <v/>
      </c>
      <c r="N254" s="18" t="str">
        <f t="shared" si="102"/>
        <v/>
      </c>
      <c r="O254" t="str">
        <f t="shared" si="103"/>
        <v/>
      </c>
    </row>
    <row r="255" spans="1:15" x14ac:dyDescent="0.2">
      <c r="A255" s="6">
        <f t="shared" si="94"/>
        <v>43</v>
      </c>
      <c r="B255" t="str">
        <f t="shared" si="104"/>
        <v/>
      </c>
      <c r="C255" t="str">
        <f t="shared" si="104"/>
        <v/>
      </c>
      <c r="D255" t="str">
        <f t="shared" si="104"/>
        <v/>
      </c>
      <c r="E255" t="str">
        <f t="shared" si="104"/>
        <v/>
      </c>
      <c r="F255" s="17" t="str">
        <f t="shared" si="99"/>
        <v/>
      </c>
      <c r="G255" s="18" t="str">
        <f t="shared" si="100"/>
        <v/>
      </c>
      <c r="H255" t="str">
        <f t="shared" si="105"/>
        <v/>
      </c>
      <c r="I255" t="str">
        <f t="shared" si="105"/>
        <v/>
      </c>
      <c r="J255" t="str">
        <f t="shared" si="105"/>
        <v/>
      </c>
      <c r="K255" t="str">
        <f t="shared" si="105"/>
        <v/>
      </c>
      <c r="L255" t="str">
        <f t="shared" si="105"/>
        <v/>
      </c>
      <c r="M255" s="17" t="str">
        <f t="shared" si="101"/>
        <v/>
      </c>
      <c r="N255" s="18" t="str">
        <f t="shared" si="102"/>
        <v/>
      </c>
      <c r="O255" t="str">
        <f t="shared" si="103"/>
        <v/>
      </c>
    </row>
    <row r="256" spans="1:15" x14ac:dyDescent="0.2">
      <c r="A256" s="6">
        <f t="shared" si="94"/>
        <v>44</v>
      </c>
      <c r="B256" t="str">
        <f t="shared" si="104"/>
        <v/>
      </c>
      <c r="C256" t="str">
        <f t="shared" si="104"/>
        <v/>
      </c>
      <c r="D256" t="str">
        <f t="shared" si="104"/>
        <v/>
      </c>
      <c r="E256" t="str">
        <f t="shared" si="104"/>
        <v/>
      </c>
      <c r="F256" s="17" t="str">
        <f t="shared" si="99"/>
        <v/>
      </c>
      <c r="G256" s="18" t="str">
        <f t="shared" si="100"/>
        <v/>
      </c>
      <c r="H256" t="str">
        <f t="shared" si="105"/>
        <v/>
      </c>
      <c r="I256" t="str">
        <f t="shared" si="105"/>
        <v/>
      </c>
      <c r="J256" t="str">
        <f t="shared" si="105"/>
        <v/>
      </c>
      <c r="K256" t="str">
        <f t="shared" si="105"/>
        <v/>
      </c>
      <c r="L256" t="str">
        <f t="shared" si="105"/>
        <v/>
      </c>
      <c r="M256" s="17" t="str">
        <f t="shared" si="101"/>
        <v/>
      </c>
      <c r="N256" s="18" t="str">
        <f t="shared" si="102"/>
        <v/>
      </c>
      <c r="O256" t="str">
        <f t="shared" si="103"/>
        <v/>
      </c>
    </row>
    <row r="257" spans="1:15" x14ac:dyDescent="0.2">
      <c r="A257" s="6">
        <f t="shared" si="94"/>
        <v>45</v>
      </c>
      <c r="B257" t="str">
        <f t="shared" si="104"/>
        <v/>
      </c>
      <c r="C257" t="str">
        <f t="shared" si="104"/>
        <v/>
      </c>
      <c r="D257" t="str">
        <f t="shared" si="104"/>
        <v/>
      </c>
      <c r="E257" t="str">
        <f t="shared" si="104"/>
        <v/>
      </c>
      <c r="F257" s="17" t="str">
        <f t="shared" si="99"/>
        <v/>
      </c>
      <c r="G257" s="18" t="str">
        <f t="shared" si="100"/>
        <v/>
      </c>
      <c r="H257" t="str">
        <f t="shared" si="105"/>
        <v/>
      </c>
      <c r="I257" t="str">
        <f t="shared" si="105"/>
        <v/>
      </c>
      <c r="J257" t="str">
        <f t="shared" si="105"/>
        <v/>
      </c>
      <c r="K257" t="str">
        <f t="shared" si="105"/>
        <v/>
      </c>
      <c r="L257" t="str">
        <f t="shared" si="105"/>
        <v/>
      </c>
      <c r="M257" s="17" t="str">
        <f t="shared" si="101"/>
        <v/>
      </c>
      <c r="N257" s="18" t="str">
        <f t="shared" si="102"/>
        <v/>
      </c>
      <c r="O257" t="str">
        <f t="shared" si="103"/>
        <v/>
      </c>
    </row>
    <row r="258" spans="1:15" x14ac:dyDescent="0.2">
      <c r="A258" s="6">
        <f t="shared" si="94"/>
        <v>46</v>
      </c>
      <c r="B258" t="str">
        <f t="shared" si="104"/>
        <v/>
      </c>
      <c r="C258" t="str">
        <f t="shared" si="104"/>
        <v/>
      </c>
      <c r="D258" t="str">
        <f t="shared" si="104"/>
        <v/>
      </c>
      <c r="E258" t="str">
        <f t="shared" si="104"/>
        <v/>
      </c>
      <c r="F258" s="17" t="str">
        <f t="shared" si="99"/>
        <v/>
      </c>
      <c r="G258" s="18" t="str">
        <f t="shared" si="100"/>
        <v/>
      </c>
      <c r="H258" t="str">
        <f t="shared" si="105"/>
        <v/>
      </c>
      <c r="I258" t="str">
        <f t="shared" si="105"/>
        <v/>
      </c>
      <c r="J258" t="str">
        <f t="shared" si="105"/>
        <v/>
      </c>
      <c r="K258" t="str">
        <f t="shared" si="105"/>
        <v/>
      </c>
      <c r="L258" t="str">
        <f t="shared" si="105"/>
        <v/>
      </c>
      <c r="M258" s="17" t="str">
        <f t="shared" si="101"/>
        <v/>
      </c>
      <c r="N258" s="18" t="str">
        <f t="shared" si="102"/>
        <v/>
      </c>
      <c r="O258" t="str">
        <f t="shared" si="103"/>
        <v/>
      </c>
    </row>
    <row r="259" spans="1:15" x14ac:dyDescent="0.2">
      <c r="A259" s="6">
        <f t="shared" si="94"/>
        <v>47</v>
      </c>
      <c r="B259" t="str">
        <f t="shared" si="104"/>
        <v/>
      </c>
      <c r="C259" t="str">
        <f t="shared" si="104"/>
        <v/>
      </c>
      <c r="D259" t="str">
        <f t="shared" si="104"/>
        <v/>
      </c>
      <c r="E259" t="str">
        <f t="shared" si="104"/>
        <v/>
      </c>
      <c r="F259" s="17" t="str">
        <f t="shared" si="99"/>
        <v/>
      </c>
      <c r="G259" s="18" t="str">
        <f t="shared" si="100"/>
        <v/>
      </c>
      <c r="H259" t="str">
        <f t="shared" si="105"/>
        <v/>
      </c>
      <c r="I259" t="str">
        <f t="shared" si="105"/>
        <v/>
      </c>
      <c r="J259" t="str">
        <f t="shared" si="105"/>
        <v/>
      </c>
      <c r="K259" t="str">
        <f t="shared" si="105"/>
        <v/>
      </c>
      <c r="L259" t="str">
        <f t="shared" si="105"/>
        <v/>
      </c>
      <c r="M259" s="17" t="str">
        <f t="shared" si="101"/>
        <v/>
      </c>
      <c r="N259" s="18" t="str">
        <f t="shared" si="102"/>
        <v/>
      </c>
      <c r="O259" t="str">
        <f t="shared" si="103"/>
        <v/>
      </c>
    </row>
    <row r="260" spans="1:15" x14ac:dyDescent="0.2">
      <c r="A260" s="6">
        <f t="shared" si="94"/>
        <v>48</v>
      </c>
      <c r="B260" t="str">
        <f t="shared" si="104"/>
        <v/>
      </c>
      <c r="C260" t="str">
        <f t="shared" si="104"/>
        <v/>
      </c>
      <c r="D260" t="str">
        <f t="shared" si="104"/>
        <v/>
      </c>
      <c r="E260" t="str">
        <f t="shared" si="104"/>
        <v/>
      </c>
      <c r="F260" s="17" t="str">
        <f t="shared" si="99"/>
        <v/>
      </c>
      <c r="G260" s="18" t="str">
        <f t="shared" si="100"/>
        <v/>
      </c>
      <c r="H260" t="str">
        <f t="shared" si="105"/>
        <v/>
      </c>
      <c r="I260" t="str">
        <f t="shared" si="105"/>
        <v/>
      </c>
      <c r="J260" t="str">
        <f t="shared" si="105"/>
        <v/>
      </c>
      <c r="K260" t="str">
        <f t="shared" si="105"/>
        <v/>
      </c>
      <c r="L260" t="str">
        <f t="shared" si="105"/>
        <v/>
      </c>
      <c r="M260" s="17" t="str">
        <f t="shared" si="101"/>
        <v/>
      </c>
      <c r="N260" s="18" t="str">
        <f t="shared" si="102"/>
        <v/>
      </c>
      <c r="O260" t="str">
        <f t="shared" si="103"/>
        <v/>
      </c>
    </row>
    <row r="261" spans="1:15" x14ac:dyDescent="0.2">
      <c r="A261" s="6">
        <f t="shared" si="94"/>
        <v>49</v>
      </c>
      <c r="B261" t="str">
        <f t="shared" si="104"/>
        <v/>
      </c>
      <c r="C261" t="str">
        <f t="shared" si="104"/>
        <v/>
      </c>
      <c r="D261" t="str">
        <f t="shared" si="104"/>
        <v/>
      </c>
      <c r="E261" t="str">
        <f t="shared" si="104"/>
        <v/>
      </c>
      <c r="F261" s="17" t="str">
        <f t="shared" si="99"/>
        <v/>
      </c>
      <c r="G261" s="18" t="str">
        <f t="shared" si="100"/>
        <v/>
      </c>
      <c r="H261" t="str">
        <f t="shared" si="105"/>
        <v/>
      </c>
      <c r="I261" t="str">
        <f t="shared" si="105"/>
        <v/>
      </c>
      <c r="J261" t="str">
        <f t="shared" si="105"/>
        <v/>
      </c>
      <c r="K261" t="str">
        <f t="shared" si="105"/>
        <v/>
      </c>
      <c r="L261" t="str">
        <f t="shared" si="105"/>
        <v/>
      </c>
      <c r="M261" s="17" t="str">
        <f t="shared" si="101"/>
        <v/>
      </c>
      <c r="N261" s="18" t="str">
        <f t="shared" si="102"/>
        <v/>
      </c>
      <c r="O261" t="str">
        <f t="shared" si="103"/>
        <v/>
      </c>
    </row>
    <row r="262" spans="1:15" x14ac:dyDescent="0.2">
      <c r="A262" s="6">
        <f t="shared" si="94"/>
        <v>50</v>
      </c>
      <c r="B262" t="str">
        <f t="shared" si="104"/>
        <v/>
      </c>
      <c r="C262" t="str">
        <f t="shared" si="104"/>
        <v/>
      </c>
      <c r="D262" t="str">
        <f t="shared" si="104"/>
        <v/>
      </c>
      <c r="E262" t="str">
        <f t="shared" si="104"/>
        <v/>
      </c>
      <c r="F262" s="17" t="str">
        <f t="shared" si="99"/>
        <v/>
      </c>
      <c r="G262" s="18" t="str">
        <f t="shared" si="100"/>
        <v/>
      </c>
      <c r="H262" t="str">
        <f t="shared" si="105"/>
        <v/>
      </c>
      <c r="I262" t="str">
        <f t="shared" si="105"/>
        <v/>
      </c>
      <c r="J262" t="str">
        <f t="shared" si="105"/>
        <v/>
      </c>
      <c r="K262" t="str">
        <f t="shared" si="105"/>
        <v/>
      </c>
      <c r="L262" t="str">
        <f t="shared" si="105"/>
        <v/>
      </c>
      <c r="M262" s="17" t="str">
        <f t="shared" si="101"/>
        <v/>
      </c>
      <c r="N262" s="18" t="str">
        <f t="shared" si="102"/>
        <v/>
      </c>
      <c r="O262" t="str">
        <f t="shared" si="103"/>
        <v/>
      </c>
    </row>
    <row r="263" spans="1:15" x14ac:dyDescent="0.2">
      <c r="A263" s="6">
        <f t="shared" si="94"/>
        <v>51</v>
      </c>
      <c r="B263" t="str">
        <f t="shared" si="104"/>
        <v/>
      </c>
      <c r="C263" t="str">
        <f t="shared" si="104"/>
        <v/>
      </c>
      <c r="D263" t="str">
        <f t="shared" si="104"/>
        <v/>
      </c>
      <c r="E263" t="str">
        <f t="shared" si="104"/>
        <v/>
      </c>
      <c r="F263" s="17" t="str">
        <f t="shared" si="99"/>
        <v/>
      </c>
      <c r="G263" s="18" t="str">
        <f t="shared" si="100"/>
        <v/>
      </c>
      <c r="H263" t="str">
        <f t="shared" ref="H263:L272" si="106">IF(ShowSeries3,IF(ChartLines13=H$4,Series3Input,IF(ChartX13=H$4,$P59,H$7)),"")</f>
        <v/>
      </c>
      <c r="I263" t="str">
        <f t="shared" si="106"/>
        <v/>
      </c>
      <c r="J263" t="str">
        <f t="shared" si="106"/>
        <v/>
      </c>
      <c r="K263" t="str">
        <f t="shared" si="106"/>
        <v/>
      </c>
      <c r="L263" t="str">
        <f t="shared" si="106"/>
        <v/>
      </c>
      <c r="M263" s="17" t="str">
        <f t="shared" si="101"/>
        <v/>
      </c>
      <c r="N263" s="18" t="str">
        <f t="shared" si="102"/>
        <v/>
      </c>
      <c r="O263" t="str">
        <f t="shared" si="103"/>
        <v/>
      </c>
    </row>
    <row r="264" spans="1:15" x14ac:dyDescent="0.2">
      <c r="A264" s="6">
        <f t="shared" si="94"/>
        <v>52</v>
      </c>
      <c r="B264" t="str">
        <f t="shared" si="104"/>
        <v/>
      </c>
      <c r="C264" t="str">
        <f t="shared" si="104"/>
        <v/>
      </c>
      <c r="D264" t="str">
        <f t="shared" si="104"/>
        <v/>
      </c>
      <c r="E264" t="str">
        <f t="shared" si="104"/>
        <v/>
      </c>
      <c r="F264" s="17" t="str">
        <f t="shared" si="99"/>
        <v/>
      </c>
      <c r="G264" s="18" t="str">
        <f t="shared" si="100"/>
        <v/>
      </c>
      <c r="H264" t="str">
        <f t="shared" si="106"/>
        <v/>
      </c>
      <c r="I264" t="str">
        <f t="shared" si="106"/>
        <v/>
      </c>
      <c r="J264" t="str">
        <f t="shared" si="106"/>
        <v/>
      </c>
      <c r="K264" t="str">
        <f t="shared" si="106"/>
        <v/>
      </c>
      <c r="L264" t="str">
        <f t="shared" si="106"/>
        <v/>
      </c>
      <c r="M264" s="17" t="str">
        <f t="shared" si="101"/>
        <v/>
      </c>
      <c r="N264" s="18" t="str">
        <f t="shared" si="102"/>
        <v/>
      </c>
      <c r="O264" t="str">
        <f t="shared" si="103"/>
        <v/>
      </c>
    </row>
    <row r="265" spans="1:15" x14ac:dyDescent="0.2">
      <c r="A265" s="6">
        <f t="shared" si="94"/>
        <v>53</v>
      </c>
      <c r="B265" t="str">
        <f t="shared" si="104"/>
        <v/>
      </c>
      <c r="C265" t="str">
        <f t="shared" si="104"/>
        <v/>
      </c>
      <c r="D265" t="str">
        <f t="shared" si="104"/>
        <v/>
      </c>
      <c r="E265" t="str">
        <f t="shared" si="104"/>
        <v/>
      </c>
      <c r="F265" s="17" t="str">
        <f t="shared" si="99"/>
        <v/>
      </c>
      <c r="G265" s="18" t="str">
        <f t="shared" si="100"/>
        <v/>
      </c>
      <c r="H265" t="str">
        <f t="shared" si="106"/>
        <v/>
      </c>
      <c r="I265" t="str">
        <f t="shared" si="106"/>
        <v/>
      </c>
      <c r="J265" t="str">
        <f t="shared" si="106"/>
        <v/>
      </c>
      <c r="K265" t="str">
        <f t="shared" si="106"/>
        <v/>
      </c>
      <c r="L265" t="str">
        <f t="shared" si="106"/>
        <v/>
      </c>
      <c r="M265" s="17" t="str">
        <f t="shared" si="101"/>
        <v/>
      </c>
      <c r="N265" s="18" t="str">
        <f t="shared" si="102"/>
        <v/>
      </c>
      <c r="O265" t="str">
        <f t="shared" si="103"/>
        <v/>
      </c>
    </row>
    <row r="266" spans="1:15" x14ac:dyDescent="0.2">
      <c r="A266" s="6">
        <f t="shared" si="94"/>
        <v>54</v>
      </c>
      <c r="B266" t="str">
        <f t="shared" si="104"/>
        <v/>
      </c>
      <c r="C266" t="str">
        <f t="shared" si="104"/>
        <v/>
      </c>
      <c r="D266" t="str">
        <f t="shared" si="104"/>
        <v/>
      </c>
      <c r="E266" t="str">
        <f t="shared" si="104"/>
        <v/>
      </c>
      <c r="F266" s="17" t="str">
        <f t="shared" si="99"/>
        <v/>
      </c>
      <c r="G266" s="18" t="str">
        <f t="shared" si="100"/>
        <v/>
      </c>
      <c r="H266" t="str">
        <f t="shared" si="106"/>
        <v/>
      </c>
      <c r="I266" t="str">
        <f t="shared" si="106"/>
        <v/>
      </c>
      <c r="J266" t="str">
        <f t="shared" si="106"/>
        <v/>
      </c>
      <c r="K266" t="str">
        <f t="shared" si="106"/>
        <v/>
      </c>
      <c r="L266" t="str">
        <f t="shared" si="106"/>
        <v/>
      </c>
      <c r="M266" s="17" t="str">
        <f t="shared" si="101"/>
        <v/>
      </c>
      <c r="N266" s="18" t="str">
        <f t="shared" si="102"/>
        <v/>
      </c>
      <c r="O266" t="str">
        <f t="shared" si="103"/>
        <v/>
      </c>
    </row>
    <row r="267" spans="1:15" x14ac:dyDescent="0.2">
      <c r="A267" s="6">
        <f t="shared" si="94"/>
        <v>55</v>
      </c>
      <c r="B267" t="str">
        <f t="shared" si="104"/>
        <v/>
      </c>
      <c r="C267" t="str">
        <f t="shared" si="104"/>
        <v/>
      </c>
      <c r="D267" t="str">
        <f t="shared" si="104"/>
        <v/>
      </c>
      <c r="E267" t="str">
        <f t="shared" si="104"/>
        <v/>
      </c>
      <c r="F267" s="17" t="str">
        <f t="shared" si="99"/>
        <v/>
      </c>
      <c r="G267" s="18" t="str">
        <f t="shared" si="100"/>
        <v/>
      </c>
      <c r="H267" t="str">
        <f t="shared" si="106"/>
        <v/>
      </c>
      <c r="I267" t="str">
        <f t="shared" si="106"/>
        <v/>
      </c>
      <c r="J267" t="str">
        <f t="shared" si="106"/>
        <v/>
      </c>
      <c r="K267" t="str">
        <f t="shared" si="106"/>
        <v/>
      </c>
      <c r="L267" t="str">
        <f t="shared" si="106"/>
        <v/>
      </c>
      <c r="M267" s="17" t="str">
        <f t="shared" si="101"/>
        <v/>
      </c>
      <c r="N267" s="18" t="str">
        <f t="shared" si="102"/>
        <v/>
      </c>
      <c r="O267" t="str">
        <f t="shared" si="103"/>
        <v/>
      </c>
    </row>
    <row r="268" spans="1:15" x14ac:dyDescent="0.2">
      <c r="A268" s="6">
        <f t="shared" si="94"/>
        <v>56</v>
      </c>
      <c r="B268" t="str">
        <f t="shared" si="104"/>
        <v/>
      </c>
      <c r="C268" t="str">
        <f t="shared" si="104"/>
        <v/>
      </c>
      <c r="D268" t="str">
        <f t="shared" si="104"/>
        <v/>
      </c>
      <c r="E268" t="str">
        <f t="shared" si="104"/>
        <v/>
      </c>
      <c r="F268" s="17" t="str">
        <f t="shared" si="99"/>
        <v/>
      </c>
      <c r="G268" s="18" t="str">
        <f t="shared" si="100"/>
        <v/>
      </c>
      <c r="H268" t="str">
        <f t="shared" si="106"/>
        <v/>
      </c>
      <c r="I268" t="str">
        <f t="shared" si="106"/>
        <v/>
      </c>
      <c r="J268" t="str">
        <f t="shared" si="106"/>
        <v/>
      </c>
      <c r="K268" t="str">
        <f t="shared" si="106"/>
        <v/>
      </c>
      <c r="L268" t="str">
        <f t="shared" si="106"/>
        <v/>
      </c>
      <c r="M268" s="17" t="str">
        <f t="shared" si="101"/>
        <v/>
      </c>
      <c r="N268" s="18" t="str">
        <f t="shared" si="102"/>
        <v/>
      </c>
      <c r="O268" t="str">
        <f t="shared" si="103"/>
        <v/>
      </c>
    </row>
    <row r="269" spans="1:15" x14ac:dyDescent="0.2">
      <c r="A269" s="6">
        <f t="shared" si="94"/>
        <v>57</v>
      </c>
      <c r="B269" t="str">
        <f t="shared" si="104"/>
        <v/>
      </c>
      <c r="C269" t="str">
        <f t="shared" si="104"/>
        <v/>
      </c>
      <c r="D269" t="str">
        <f t="shared" si="104"/>
        <v/>
      </c>
      <c r="E269" t="str">
        <f t="shared" si="104"/>
        <v/>
      </c>
      <c r="F269" s="17" t="str">
        <f t="shared" si="99"/>
        <v/>
      </c>
      <c r="G269" s="18" t="str">
        <f t="shared" si="100"/>
        <v/>
      </c>
      <c r="H269" t="str">
        <f t="shared" si="106"/>
        <v/>
      </c>
      <c r="I269" t="str">
        <f t="shared" si="106"/>
        <v/>
      </c>
      <c r="J269" t="str">
        <f t="shared" si="106"/>
        <v/>
      </c>
      <c r="K269" t="str">
        <f t="shared" si="106"/>
        <v/>
      </c>
      <c r="L269" t="str">
        <f t="shared" si="106"/>
        <v/>
      </c>
      <c r="M269" s="17" t="str">
        <f t="shared" si="101"/>
        <v/>
      </c>
      <c r="N269" s="18" t="str">
        <f t="shared" si="102"/>
        <v/>
      </c>
      <c r="O269" t="str">
        <f t="shared" si="103"/>
        <v/>
      </c>
    </row>
    <row r="270" spans="1:15" x14ac:dyDescent="0.2">
      <c r="A270" s="6">
        <f t="shared" si="94"/>
        <v>58</v>
      </c>
      <c r="B270" t="str">
        <f t="shared" si="104"/>
        <v/>
      </c>
      <c r="C270" t="str">
        <f t="shared" si="104"/>
        <v/>
      </c>
      <c r="D270" t="str">
        <f t="shared" si="104"/>
        <v/>
      </c>
      <c r="E270" t="str">
        <f t="shared" si="104"/>
        <v/>
      </c>
      <c r="F270" s="17" t="str">
        <f t="shared" si="99"/>
        <v/>
      </c>
      <c r="G270" s="18" t="str">
        <f t="shared" si="100"/>
        <v/>
      </c>
      <c r="H270" t="str">
        <f t="shared" si="106"/>
        <v/>
      </c>
      <c r="I270" t="str">
        <f t="shared" si="106"/>
        <v/>
      </c>
      <c r="J270" t="str">
        <f t="shared" si="106"/>
        <v/>
      </c>
      <c r="K270" t="str">
        <f t="shared" si="106"/>
        <v/>
      </c>
      <c r="L270" t="str">
        <f t="shared" si="106"/>
        <v/>
      </c>
      <c r="M270" s="17" t="str">
        <f t="shared" si="101"/>
        <v/>
      </c>
      <c r="N270" s="18" t="str">
        <f t="shared" si="102"/>
        <v/>
      </c>
      <c r="O270" t="str">
        <f t="shared" si="103"/>
        <v/>
      </c>
    </row>
    <row r="271" spans="1:15" x14ac:dyDescent="0.2">
      <c r="A271" s="6">
        <f t="shared" si="94"/>
        <v>59</v>
      </c>
      <c r="B271" t="str">
        <f t="shared" si="104"/>
        <v/>
      </c>
      <c r="C271" t="str">
        <f t="shared" si="104"/>
        <v/>
      </c>
      <c r="D271" t="str">
        <f t="shared" si="104"/>
        <v/>
      </c>
      <c r="E271" t="str">
        <f t="shared" si="104"/>
        <v/>
      </c>
      <c r="F271" s="17" t="str">
        <f t="shared" si="99"/>
        <v/>
      </c>
      <c r="G271" s="18" t="str">
        <f t="shared" si="100"/>
        <v/>
      </c>
      <c r="H271" t="str">
        <f t="shared" si="106"/>
        <v/>
      </c>
      <c r="I271" t="str">
        <f t="shared" si="106"/>
        <v/>
      </c>
      <c r="J271" t="str">
        <f t="shared" si="106"/>
        <v/>
      </c>
      <c r="K271" t="str">
        <f t="shared" si="106"/>
        <v/>
      </c>
      <c r="L271" t="str">
        <f t="shared" si="106"/>
        <v/>
      </c>
      <c r="M271" s="17" t="str">
        <f t="shared" si="101"/>
        <v/>
      </c>
      <c r="N271" s="18" t="str">
        <f t="shared" si="102"/>
        <v/>
      </c>
      <c r="O271" t="str">
        <f t="shared" si="103"/>
        <v/>
      </c>
    </row>
    <row r="272" spans="1:15" x14ac:dyDescent="0.2">
      <c r="A272" s="6">
        <f t="shared" si="94"/>
        <v>60</v>
      </c>
      <c r="B272" t="str">
        <f t="shared" si="104"/>
        <v/>
      </c>
      <c r="C272" t="str">
        <f t="shared" si="104"/>
        <v/>
      </c>
      <c r="D272" t="str">
        <f t="shared" si="104"/>
        <v/>
      </c>
      <c r="E272" t="str">
        <f t="shared" si="104"/>
        <v/>
      </c>
      <c r="F272" s="17" t="str">
        <f t="shared" si="99"/>
        <v/>
      </c>
      <c r="G272" s="18" t="str">
        <f t="shared" si="100"/>
        <v/>
      </c>
      <c r="H272" t="str">
        <f t="shared" si="106"/>
        <v/>
      </c>
      <c r="I272" t="str">
        <f t="shared" si="106"/>
        <v/>
      </c>
      <c r="J272" t="str">
        <f t="shared" si="106"/>
        <v/>
      </c>
      <c r="K272" t="str">
        <f t="shared" si="106"/>
        <v/>
      </c>
      <c r="L272" t="str">
        <f t="shared" si="106"/>
        <v/>
      </c>
      <c r="M272" s="17" t="str">
        <f t="shared" si="101"/>
        <v/>
      </c>
      <c r="N272" s="18" t="str">
        <f t="shared" si="102"/>
        <v/>
      </c>
      <c r="O272" t="str">
        <f t="shared" si="103"/>
        <v/>
      </c>
    </row>
    <row r="273" spans="1:15" x14ac:dyDescent="0.2">
      <c r="A273" s="6">
        <f t="shared" si="94"/>
        <v>61</v>
      </c>
      <c r="B273" t="str">
        <f t="shared" ref="B273:E292" si="107">IF(ShowSeries3,IF(ChartLines13=B$4,Series3Input,IF(ChartX13=B$4,$P69,B$7)),"")</f>
        <v/>
      </c>
      <c r="C273" t="str">
        <f t="shared" si="107"/>
        <v/>
      </c>
      <c r="D273" t="str">
        <f t="shared" si="107"/>
        <v/>
      </c>
      <c r="E273" t="str">
        <f t="shared" si="107"/>
        <v/>
      </c>
      <c r="F273" s="17" t="str">
        <f t="shared" si="99"/>
        <v/>
      </c>
      <c r="G273" s="18" t="str">
        <f t="shared" si="100"/>
        <v/>
      </c>
      <c r="H273" t="str">
        <f t="shared" ref="H273:L282" si="108">IF(ShowSeries3,IF(ChartLines13=H$4,Series3Input,IF(ChartX13=H$4,$P69,H$7)),"")</f>
        <v/>
      </c>
      <c r="I273" t="str">
        <f t="shared" si="108"/>
        <v/>
      </c>
      <c r="J273" t="str">
        <f t="shared" si="108"/>
        <v/>
      </c>
      <c r="K273" t="str">
        <f t="shared" si="108"/>
        <v/>
      </c>
      <c r="L273" t="str">
        <f t="shared" si="108"/>
        <v/>
      </c>
      <c r="M273" s="17" t="str">
        <f t="shared" si="101"/>
        <v/>
      </c>
      <c r="N273" s="18" t="str">
        <f t="shared" si="102"/>
        <v/>
      </c>
      <c r="O273" t="str">
        <f t="shared" si="103"/>
        <v/>
      </c>
    </row>
    <row r="274" spans="1:15" x14ac:dyDescent="0.2">
      <c r="A274" s="6">
        <f t="shared" si="94"/>
        <v>62</v>
      </c>
      <c r="B274" t="str">
        <f t="shared" si="107"/>
        <v/>
      </c>
      <c r="C274" t="str">
        <f t="shared" si="107"/>
        <v/>
      </c>
      <c r="D274" t="str">
        <f t="shared" si="107"/>
        <v/>
      </c>
      <c r="E274" t="str">
        <f t="shared" si="107"/>
        <v/>
      </c>
      <c r="F274" s="17" t="str">
        <f t="shared" si="99"/>
        <v/>
      </c>
      <c r="G274" s="18" t="str">
        <f t="shared" si="100"/>
        <v/>
      </c>
      <c r="H274" t="str">
        <f t="shared" si="108"/>
        <v/>
      </c>
      <c r="I274" t="str">
        <f t="shared" si="108"/>
        <v/>
      </c>
      <c r="J274" t="str">
        <f t="shared" si="108"/>
        <v/>
      </c>
      <c r="K274" t="str">
        <f t="shared" si="108"/>
        <v/>
      </c>
      <c r="L274" t="str">
        <f t="shared" si="108"/>
        <v/>
      </c>
      <c r="M274" s="17" t="str">
        <f t="shared" si="101"/>
        <v/>
      </c>
      <c r="N274" s="18" t="str">
        <f t="shared" si="102"/>
        <v/>
      </c>
      <c r="O274" t="str">
        <f t="shared" si="103"/>
        <v/>
      </c>
    </row>
    <row r="275" spans="1:15" x14ac:dyDescent="0.2">
      <c r="A275" s="6">
        <f t="shared" si="94"/>
        <v>63</v>
      </c>
      <c r="B275" t="str">
        <f t="shared" si="107"/>
        <v/>
      </c>
      <c r="C275" t="str">
        <f t="shared" si="107"/>
        <v/>
      </c>
      <c r="D275" t="str">
        <f t="shared" si="107"/>
        <v/>
      </c>
      <c r="E275" t="str">
        <f t="shared" si="107"/>
        <v/>
      </c>
      <c r="F275" s="17" t="str">
        <f t="shared" si="99"/>
        <v/>
      </c>
      <c r="G275" s="18" t="str">
        <f t="shared" si="100"/>
        <v/>
      </c>
      <c r="H275" t="str">
        <f t="shared" si="108"/>
        <v/>
      </c>
      <c r="I275" t="str">
        <f t="shared" si="108"/>
        <v/>
      </c>
      <c r="J275" t="str">
        <f t="shared" si="108"/>
        <v/>
      </c>
      <c r="K275" t="str">
        <f t="shared" si="108"/>
        <v/>
      </c>
      <c r="L275" t="str">
        <f t="shared" si="108"/>
        <v/>
      </c>
      <c r="M275" s="17" t="str">
        <f t="shared" si="101"/>
        <v/>
      </c>
      <c r="N275" s="18" t="str">
        <f t="shared" si="102"/>
        <v/>
      </c>
      <c r="O275" t="str">
        <f t="shared" si="103"/>
        <v/>
      </c>
    </row>
    <row r="276" spans="1:15" x14ac:dyDescent="0.2">
      <c r="A276" s="6">
        <f t="shared" si="94"/>
        <v>64</v>
      </c>
      <c r="B276" t="str">
        <f t="shared" si="107"/>
        <v/>
      </c>
      <c r="C276" t="str">
        <f t="shared" si="107"/>
        <v/>
      </c>
      <c r="D276" t="str">
        <f t="shared" si="107"/>
        <v/>
      </c>
      <c r="E276" t="str">
        <f t="shared" si="107"/>
        <v/>
      </c>
      <c r="F276" s="17" t="str">
        <f t="shared" si="99"/>
        <v/>
      </c>
      <c r="G276" s="18" t="str">
        <f t="shared" si="100"/>
        <v/>
      </c>
      <c r="H276" t="str">
        <f t="shared" si="108"/>
        <v/>
      </c>
      <c r="I276" t="str">
        <f t="shared" si="108"/>
        <v/>
      </c>
      <c r="J276" t="str">
        <f t="shared" si="108"/>
        <v/>
      </c>
      <c r="K276" t="str">
        <f t="shared" si="108"/>
        <v/>
      </c>
      <c r="L276" t="str">
        <f t="shared" si="108"/>
        <v/>
      </c>
      <c r="M276" s="17" t="str">
        <f t="shared" si="101"/>
        <v/>
      </c>
      <c r="N276" s="18" t="str">
        <f t="shared" si="102"/>
        <v/>
      </c>
      <c r="O276" t="str">
        <f t="shared" si="103"/>
        <v/>
      </c>
    </row>
    <row r="277" spans="1:15" x14ac:dyDescent="0.2">
      <c r="A277" s="6">
        <f t="shared" si="94"/>
        <v>65</v>
      </c>
      <c r="B277" t="str">
        <f t="shared" si="107"/>
        <v/>
      </c>
      <c r="C277" t="str">
        <f t="shared" si="107"/>
        <v/>
      </c>
      <c r="D277" t="str">
        <f t="shared" si="107"/>
        <v/>
      </c>
      <c r="E277" t="str">
        <f t="shared" si="107"/>
        <v/>
      </c>
      <c r="F277" s="17" t="str">
        <f t="shared" ref="F277:F308" si="109">IF(ShowSeries3,IF(ChartLines13=F$4,Series3Input,IF(ChartX13=F$4,$P73,IF(TimeAs=1,E277-D277,IF(TimeAs=2,F$7,G277*DaysPerYear)))),"")</f>
        <v/>
      </c>
      <c r="G277" s="18" t="str">
        <f t="shared" ref="G277:G308" si="110">IF(ShowSeries3,IF(ChartLines13=G$4,Series3Input,IF(ChartX13=G$4,$P73,IF(TimeAs&lt;3,F277/DaysPerYear,G$7))),"")</f>
        <v/>
      </c>
      <c r="H277" t="str">
        <f t="shared" si="108"/>
        <v/>
      </c>
      <c r="I277" t="str">
        <f t="shared" si="108"/>
        <v/>
      </c>
      <c r="J277" t="str">
        <f t="shared" si="108"/>
        <v/>
      </c>
      <c r="K277" t="str">
        <f t="shared" si="108"/>
        <v/>
      </c>
      <c r="L277" t="str">
        <f t="shared" si="108"/>
        <v/>
      </c>
      <c r="M277" s="17" t="str">
        <f t="shared" ref="M277:M308" si="111">IF(ShowSeries3,IF(ChartLines13=M$4,Series3Input,IF(ChartX13=M$4,$P73,IF(ExDivAs=1,L277-D277,IF(ExDivAs=2,M$7,N277*DaysPerYear)))),"")</f>
        <v/>
      </c>
      <c r="N277" s="18" t="str">
        <f t="shared" ref="N277:N308" si="112">IF(ShowSeries3,IF(ChartLines13=N$4,Series3Input,IF(ChartX13=N$4,$P73,IF(ExDivAs&lt;3,M277/DaysPerYear,N$7))),"")</f>
        <v/>
      </c>
      <c r="O277" t="str">
        <f t="shared" ref="O277:O313" si="113">IF(ShowSeries3,BinOp($B277,$C277,$G277,$H277,$J277,$I277,CallPut,AmEur,Model,Steps,ModelOutput,$K277,$N277),"")</f>
        <v/>
      </c>
    </row>
    <row r="278" spans="1:15" x14ac:dyDescent="0.2">
      <c r="A278" s="6">
        <f t="shared" si="94"/>
        <v>66</v>
      </c>
      <c r="B278" t="str">
        <f t="shared" si="107"/>
        <v/>
      </c>
      <c r="C278" t="str">
        <f t="shared" si="107"/>
        <v/>
      </c>
      <c r="D278" t="str">
        <f t="shared" si="107"/>
        <v/>
      </c>
      <c r="E278" t="str">
        <f t="shared" si="107"/>
        <v/>
      </c>
      <c r="F278" s="17" t="str">
        <f t="shared" si="109"/>
        <v/>
      </c>
      <c r="G278" s="18" t="str">
        <f t="shared" si="110"/>
        <v/>
      </c>
      <c r="H278" t="str">
        <f t="shared" si="108"/>
        <v/>
      </c>
      <c r="I278" t="str">
        <f t="shared" si="108"/>
        <v/>
      </c>
      <c r="J278" t="str">
        <f t="shared" si="108"/>
        <v/>
      </c>
      <c r="K278" t="str">
        <f t="shared" si="108"/>
        <v/>
      </c>
      <c r="L278" t="str">
        <f t="shared" si="108"/>
        <v/>
      </c>
      <c r="M278" s="17" t="str">
        <f t="shared" si="111"/>
        <v/>
      </c>
      <c r="N278" s="18" t="str">
        <f t="shared" si="112"/>
        <v/>
      </c>
      <c r="O278" t="str">
        <f t="shared" si="113"/>
        <v/>
      </c>
    </row>
    <row r="279" spans="1:15" x14ac:dyDescent="0.2">
      <c r="A279" s="6">
        <f t="shared" ref="A279:A313" si="114">A278+1</f>
        <v>67</v>
      </c>
      <c r="B279" t="str">
        <f t="shared" si="107"/>
        <v/>
      </c>
      <c r="C279" t="str">
        <f t="shared" si="107"/>
        <v/>
      </c>
      <c r="D279" t="str">
        <f t="shared" si="107"/>
        <v/>
      </c>
      <c r="E279" t="str">
        <f t="shared" si="107"/>
        <v/>
      </c>
      <c r="F279" s="17" t="str">
        <f t="shared" si="109"/>
        <v/>
      </c>
      <c r="G279" s="18" t="str">
        <f t="shared" si="110"/>
        <v/>
      </c>
      <c r="H279" t="str">
        <f t="shared" si="108"/>
        <v/>
      </c>
      <c r="I279" t="str">
        <f t="shared" si="108"/>
        <v/>
      </c>
      <c r="J279" t="str">
        <f t="shared" si="108"/>
        <v/>
      </c>
      <c r="K279" t="str">
        <f t="shared" si="108"/>
        <v/>
      </c>
      <c r="L279" t="str">
        <f t="shared" si="108"/>
        <v/>
      </c>
      <c r="M279" s="17" t="str">
        <f t="shared" si="111"/>
        <v/>
      </c>
      <c r="N279" s="18" t="str">
        <f t="shared" si="112"/>
        <v/>
      </c>
      <c r="O279" t="str">
        <f t="shared" si="113"/>
        <v/>
      </c>
    </row>
    <row r="280" spans="1:15" x14ac:dyDescent="0.2">
      <c r="A280" s="6">
        <f t="shared" si="114"/>
        <v>68</v>
      </c>
      <c r="B280" t="str">
        <f t="shared" si="107"/>
        <v/>
      </c>
      <c r="C280" t="str">
        <f t="shared" si="107"/>
        <v/>
      </c>
      <c r="D280" t="str">
        <f t="shared" si="107"/>
        <v/>
      </c>
      <c r="E280" t="str">
        <f t="shared" si="107"/>
        <v/>
      </c>
      <c r="F280" s="17" t="str">
        <f t="shared" si="109"/>
        <v/>
      </c>
      <c r="G280" s="18" t="str">
        <f t="shared" si="110"/>
        <v/>
      </c>
      <c r="H280" t="str">
        <f t="shared" si="108"/>
        <v/>
      </c>
      <c r="I280" t="str">
        <f t="shared" si="108"/>
        <v/>
      </c>
      <c r="J280" t="str">
        <f t="shared" si="108"/>
        <v/>
      </c>
      <c r="K280" t="str">
        <f t="shared" si="108"/>
        <v/>
      </c>
      <c r="L280" t="str">
        <f t="shared" si="108"/>
        <v/>
      </c>
      <c r="M280" s="17" t="str">
        <f t="shared" si="111"/>
        <v/>
      </c>
      <c r="N280" s="18" t="str">
        <f t="shared" si="112"/>
        <v/>
      </c>
      <c r="O280" t="str">
        <f t="shared" si="113"/>
        <v/>
      </c>
    </row>
    <row r="281" spans="1:15" x14ac:dyDescent="0.2">
      <c r="A281" s="6">
        <f t="shared" si="114"/>
        <v>69</v>
      </c>
      <c r="B281" t="str">
        <f t="shared" si="107"/>
        <v/>
      </c>
      <c r="C281" t="str">
        <f t="shared" si="107"/>
        <v/>
      </c>
      <c r="D281" t="str">
        <f t="shared" si="107"/>
        <v/>
      </c>
      <c r="E281" t="str">
        <f t="shared" si="107"/>
        <v/>
      </c>
      <c r="F281" s="17" t="str">
        <f t="shared" si="109"/>
        <v/>
      </c>
      <c r="G281" s="18" t="str">
        <f t="shared" si="110"/>
        <v/>
      </c>
      <c r="H281" t="str">
        <f t="shared" si="108"/>
        <v/>
      </c>
      <c r="I281" t="str">
        <f t="shared" si="108"/>
        <v/>
      </c>
      <c r="J281" t="str">
        <f t="shared" si="108"/>
        <v/>
      </c>
      <c r="K281" t="str">
        <f t="shared" si="108"/>
        <v/>
      </c>
      <c r="L281" t="str">
        <f t="shared" si="108"/>
        <v/>
      </c>
      <c r="M281" s="17" t="str">
        <f t="shared" si="111"/>
        <v/>
      </c>
      <c r="N281" s="18" t="str">
        <f t="shared" si="112"/>
        <v/>
      </c>
      <c r="O281" t="str">
        <f t="shared" si="113"/>
        <v/>
      </c>
    </row>
    <row r="282" spans="1:15" x14ac:dyDescent="0.2">
      <c r="A282" s="6">
        <f t="shared" si="114"/>
        <v>70</v>
      </c>
      <c r="B282" t="str">
        <f t="shared" si="107"/>
        <v/>
      </c>
      <c r="C282" t="str">
        <f t="shared" si="107"/>
        <v/>
      </c>
      <c r="D282" t="str">
        <f t="shared" si="107"/>
        <v/>
      </c>
      <c r="E282" t="str">
        <f t="shared" si="107"/>
        <v/>
      </c>
      <c r="F282" s="17" t="str">
        <f t="shared" si="109"/>
        <v/>
      </c>
      <c r="G282" s="18" t="str">
        <f t="shared" si="110"/>
        <v/>
      </c>
      <c r="H282" t="str">
        <f t="shared" si="108"/>
        <v/>
      </c>
      <c r="I282" t="str">
        <f t="shared" si="108"/>
        <v/>
      </c>
      <c r="J282" t="str">
        <f t="shared" si="108"/>
        <v/>
      </c>
      <c r="K282" t="str">
        <f t="shared" si="108"/>
        <v/>
      </c>
      <c r="L282" t="str">
        <f t="shared" si="108"/>
        <v/>
      </c>
      <c r="M282" s="17" t="str">
        <f t="shared" si="111"/>
        <v/>
      </c>
      <c r="N282" s="18" t="str">
        <f t="shared" si="112"/>
        <v/>
      </c>
      <c r="O282" t="str">
        <f t="shared" si="113"/>
        <v/>
      </c>
    </row>
    <row r="283" spans="1:15" x14ac:dyDescent="0.2">
      <c r="A283" s="6">
        <f t="shared" si="114"/>
        <v>71</v>
      </c>
      <c r="B283" t="str">
        <f t="shared" si="107"/>
        <v/>
      </c>
      <c r="C283" t="str">
        <f t="shared" si="107"/>
        <v/>
      </c>
      <c r="D283" t="str">
        <f t="shared" si="107"/>
        <v/>
      </c>
      <c r="E283" t="str">
        <f t="shared" si="107"/>
        <v/>
      </c>
      <c r="F283" s="17" t="str">
        <f t="shared" si="109"/>
        <v/>
      </c>
      <c r="G283" s="18" t="str">
        <f t="shared" si="110"/>
        <v/>
      </c>
      <c r="H283" t="str">
        <f t="shared" ref="H283:L292" si="115">IF(ShowSeries3,IF(ChartLines13=H$4,Series3Input,IF(ChartX13=H$4,$P79,H$7)),"")</f>
        <v/>
      </c>
      <c r="I283" t="str">
        <f t="shared" si="115"/>
        <v/>
      </c>
      <c r="J283" t="str">
        <f t="shared" si="115"/>
        <v/>
      </c>
      <c r="K283" t="str">
        <f t="shared" si="115"/>
        <v/>
      </c>
      <c r="L283" t="str">
        <f t="shared" si="115"/>
        <v/>
      </c>
      <c r="M283" s="17" t="str">
        <f t="shared" si="111"/>
        <v/>
      </c>
      <c r="N283" s="18" t="str">
        <f t="shared" si="112"/>
        <v/>
      </c>
      <c r="O283" t="str">
        <f t="shared" si="113"/>
        <v/>
      </c>
    </row>
    <row r="284" spans="1:15" x14ac:dyDescent="0.2">
      <c r="A284" s="6">
        <f t="shared" si="114"/>
        <v>72</v>
      </c>
      <c r="B284" t="str">
        <f t="shared" si="107"/>
        <v/>
      </c>
      <c r="C284" t="str">
        <f t="shared" si="107"/>
        <v/>
      </c>
      <c r="D284" t="str">
        <f t="shared" si="107"/>
        <v/>
      </c>
      <c r="E284" t="str">
        <f t="shared" si="107"/>
        <v/>
      </c>
      <c r="F284" s="17" t="str">
        <f t="shared" si="109"/>
        <v/>
      </c>
      <c r="G284" s="18" t="str">
        <f t="shared" si="110"/>
        <v/>
      </c>
      <c r="H284" t="str">
        <f t="shared" si="115"/>
        <v/>
      </c>
      <c r="I284" t="str">
        <f t="shared" si="115"/>
        <v/>
      </c>
      <c r="J284" t="str">
        <f t="shared" si="115"/>
        <v/>
      </c>
      <c r="K284" t="str">
        <f t="shared" si="115"/>
        <v/>
      </c>
      <c r="L284" t="str">
        <f t="shared" si="115"/>
        <v/>
      </c>
      <c r="M284" s="17" t="str">
        <f t="shared" si="111"/>
        <v/>
      </c>
      <c r="N284" s="18" t="str">
        <f t="shared" si="112"/>
        <v/>
      </c>
      <c r="O284" t="str">
        <f t="shared" si="113"/>
        <v/>
      </c>
    </row>
    <row r="285" spans="1:15" x14ac:dyDescent="0.2">
      <c r="A285" s="6">
        <f t="shared" si="114"/>
        <v>73</v>
      </c>
      <c r="B285" t="str">
        <f t="shared" si="107"/>
        <v/>
      </c>
      <c r="C285" t="str">
        <f t="shared" si="107"/>
        <v/>
      </c>
      <c r="D285" t="str">
        <f t="shared" si="107"/>
        <v/>
      </c>
      <c r="E285" t="str">
        <f t="shared" si="107"/>
        <v/>
      </c>
      <c r="F285" s="17" t="str">
        <f t="shared" si="109"/>
        <v/>
      </c>
      <c r="G285" s="18" t="str">
        <f t="shared" si="110"/>
        <v/>
      </c>
      <c r="H285" t="str">
        <f t="shared" si="115"/>
        <v/>
      </c>
      <c r="I285" t="str">
        <f t="shared" si="115"/>
        <v/>
      </c>
      <c r="J285" t="str">
        <f t="shared" si="115"/>
        <v/>
      </c>
      <c r="K285" t="str">
        <f t="shared" si="115"/>
        <v/>
      </c>
      <c r="L285" t="str">
        <f t="shared" si="115"/>
        <v/>
      </c>
      <c r="M285" s="17" t="str">
        <f t="shared" si="111"/>
        <v/>
      </c>
      <c r="N285" s="18" t="str">
        <f t="shared" si="112"/>
        <v/>
      </c>
      <c r="O285" t="str">
        <f t="shared" si="113"/>
        <v/>
      </c>
    </row>
    <row r="286" spans="1:15" x14ac:dyDescent="0.2">
      <c r="A286" s="6">
        <f t="shared" si="114"/>
        <v>74</v>
      </c>
      <c r="B286" t="str">
        <f t="shared" si="107"/>
        <v/>
      </c>
      <c r="C286" t="str">
        <f t="shared" si="107"/>
        <v/>
      </c>
      <c r="D286" t="str">
        <f t="shared" si="107"/>
        <v/>
      </c>
      <c r="E286" t="str">
        <f t="shared" si="107"/>
        <v/>
      </c>
      <c r="F286" s="17" t="str">
        <f t="shared" si="109"/>
        <v/>
      </c>
      <c r="G286" s="18" t="str">
        <f t="shared" si="110"/>
        <v/>
      </c>
      <c r="H286" t="str">
        <f t="shared" si="115"/>
        <v/>
      </c>
      <c r="I286" t="str">
        <f t="shared" si="115"/>
        <v/>
      </c>
      <c r="J286" t="str">
        <f t="shared" si="115"/>
        <v/>
      </c>
      <c r="K286" t="str">
        <f t="shared" si="115"/>
        <v/>
      </c>
      <c r="L286" t="str">
        <f t="shared" si="115"/>
        <v/>
      </c>
      <c r="M286" s="17" t="str">
        <f t="shared" si="111"/>
        <v/>
      </c>
      <c r="N286" s="18" t="str">
        <f t="shared" si="112"/>
        <v/>
      </c>
      <c r="O286" t="str">
        <f t="shared" si="113"/>
        <v/>
      </c>
    </row>
    <row r="287" spans="1:15" x14ac:dyDescent="0.2">
      <c r="A287" s="6">
        <f t="shared" si="114"/>
        <v>75</v>
      </c>
      <c r="B287" t="str">
        <f t="shared" si="107"/>
        <v/>
      </c>
      <c r="C287" t="str">
        <f t="shared" si="107"/>
        <v/>
      </c>
      <c r="D287" t="str">
        <f t="shared" si="107"/>
        <v/>
      </c>
      <c r="E287" t="str">
        <f t="shared" si="107"/>
        <v/>
      </c>
      <c r="F287" s="17" t="str">
        <f t="shared" si="109"/>
        <v/>
      </c>
      <c r="G287" s="18" t="str">
        <f t="shared" si="110"/>
        <v/>
      </c>
      <c r="H287" t="str">
        <f t="shared" si="115"/>
        <v/>
      </c>
      <c r="I287" t="str">
        <f t="shared" si="115"/>
        <v/>
      </c>
      <c r="J287" t="str">
        <f t="shared" si="115"/>
        <v/>
      </c>
      <c r="K287" t="str">
        <f t="shared" si="115"/>
        <v/>
      </c>
      <c r="L287" t="str">
        <f t="shared" si="115"/>
        <v/>
      </c>
      <c r="M287" s="17" t="str">
        <f t="shared" si="111"/>
        <v/>
      </c>
      <c r="N287" s="18" t="str">
        <f t="shared" si="112"/>
        <v/>
      </c>
      <c r="O287" t="str">
        <f t="shared" si="113"/>
        <v/>
      </c>
    </row>
    <row r="288" spans="1:15" x14ac:dyDescent="0.2">
      <c r="A288" s="6">
        <f t="shared" si="114"/>
        <v>76</v>
      </c>
      <c r="B288" t="str">
        <f t="shared" si="107"/>
        <v/>
      </c>
      <c r="C288" t="str">
        <f t="shared" si="107"/>
        <v/>
      </c>
      <c r="D288" t="str">
        <f t="shared" si="107"/>
        <v/>
      </c>
      <c r="E288" t="str">
        <f t="shared" si="107"/>
        <v/>
      </c>
      <c r="F288" s="17" t="str">
        <f t="shared" si="109"/>
        <v/>
      </c>
      <c r="G288" s="18" t="str">
        <f t="shared" si="110"/>
        <v/>
      </c>
      <c r="H288" t="str">
        <f t="shared" si="115"/>
        <v/>
      </c>
      <c r="I288" t="str">
        <f t="shared" si="115"/>
        <v/>
      </c>
      <c r="J288" t="str">
        <f t="shared" si="115"/>
        <v/>
      </c>
      <c r="K288" t="str">
        <f t="shared" si="115"/>
        <v/>
      </c>
      <c r="L288" t="str">
        <f t="shared" si="115"/>
        <v/>
      </c>
      <c r="M288" s="17" t="str">
        <f t="shared" si="111"/>
        <v/>
      </c>
      <c r="N288" s="18" t="str">
        <f t="shared" si="112"/>
        <v/>
      </c>
      <c r="O288" t="str">
        <f t="shared" si="113"/>
        <v/>
      </c>
    </row>
    <row r="289" spans="1:15" x14ac:dyDescent="0.2">
      <c r="A289" s="6">
        <f t="shared" si="114"/>
        <v>77</v>
      </c>
      <c r="B289" t="str">
        <f t="shared" si="107"/>
        <v/>
      </c>
      <c r="C289" t="str">
        <f t="shared" si="107"/>
        <v/>
      </c>
      <c r="D289" t="str">
        <f t="shared" si="107"/>
        <v/>
      </c>
      <c r="E289" t="str">
        <f t="shared" si="107"/>
        <v/>
      </c>
      <c r="F289" s="17" t="str">
        <f t="shared" si="109"/>
        <v/>
      </c>
      <c r="G289" s="18" t="str">
        <f t="shared" si="110"/>
        <v/>
      </c>
      <c r="H289" t="str">
        <f t="shared" si="115"/>
        <v/>
      </c>
      <c r="I289" t="str">
        <f t="shared" si="115"/>
        <v/>
      </c>
      <c r="J289" t="str">
        <f t="shared" si="115"/>
        <v/>
      </c>
      <c r="K289" t="str">
        <f t="shared" si="115"/>
        <v/>
      </c>
      <c r="L289" t="str">
        <f t="shared" si="115"/>
        <v/>
      </c>
      <c r="M289" s="17" t="str">
        <f t="shared" si="111"/>
        <v/>
      </c>
      <c r="N289" s="18" t="str">
        <f t="shared" si="112"/>
        <v/>
      </c>
      <c r="O289" t="str">
        <f t="shared" si="113"/>
        <v/>
      </c>
    </row>
    <row r="290" spans="1:15" x14ac:dyDescent="0.2">
      <c r="A290" s="6">
        <f t="shared" si="114"/>
        <v>78</v>
      </c>
      <c r="B290" t="str">
        <f t="shared" si="107"/>
        <v/>
      </c>
      <c r="C290" t="str">
        <f t="shared" si="107"/>
        <v/>
      </c>
      <c r="D290" t="str">
        <f t="shared" si="107"/>
        <v/>
      </c>
      <c r="E290" t="str">
        <f t="shared" si="107"/>
        <v/>
      </c>
      <c r="F290" s="17" t="str">
        <f t="shared" si="109"/>
        <v/>
      </c>
      <c r="G290" s="18" t="str">
        <f t="shared" si="110"/>
        <v/>
      </c>
      <c r="H290" t="str">
        <f t="shared" si="115"/>
        <v/>
      </c>
      <c r="I290" t="str">
        <f t="shared" si="115"/>
        <v/>
      </c>
      <c r="J290" t="str">
        <f t="shared" si="115"/>
        <v/>
      </c>
      <c r="K290" t="str">
        <f t="shared" si="115"/>
        <v/>
      </c>
      <c r="L290" t="str">
        <f t="shared" si="115"/>
        <v/>
      </c>
      <c r="M290" s="17" t="str">
        <f t="shared" si="111"/>
        <v/>
      </c>
      <c r="N290" s="18" t="str">
        <f t="shared" si="112"/>
        <v/>
      </c>
      <c r="O290" t="str">
        <f t="shared" si="113"/>
        <v/>
      </c>
    </row>
    <row r="291" spans="1:15" x14ac:dyDescent="0.2">
      <c r="A291" s="6">
        <f t="shared" si="114"/>
        <v>79</v>
      </c>
      <c r="B291" t="str">
        <f t="shared" si="107"/>
        <v/>
      </c>
      <c r="C291" t="str">
        <f t="shared" si="107"/>
        <v/>
      </c>
      <c r="D291" t="str">
        <f t="shared" si="107"/>
        <v/>
      </c>
      <c r="E291" t="str">
        <f t="shared" si="107"/>
        <v/>
      </c>
      <c r="F291" s="17" t="str">
        <f t="shared" si="109"/>
        <v/>
      </c>
      <c r="G291" s="18" t="str">
        <f t="shared" si="110"/>
        <v/>
      </c>
      <c r="H291" t="str">
        <f t="shared" si="115"/>
        <v/>
      </c>
      <c r="I291" t="str">
        <f t="shared" si="115"/>
        <v/>
      </c>
      <c r="J291" t="str">
        <f t="shared" si="115"/>
        <v/>
      </c>
      <c r="K291" t="str">
        <f t="shared" si="115"/>
        <v/>
      </c>
      <c r="L291" t="str">
        <f t="shared" si="115"/>
        <v/>
      </c>
      <c r="M291" s="17" t="str">
        <f t="shared" si="111"/>
        <v/>
      </c>
      <c r="N291" s="18" t="str">
        <f t="shared" si="112"/>
        <v/>
      </c>
      <c r="O291" t="str">
        <f t="shared" si="113"/>
        <v/>
      </c>
    </row>
    <row r="292" spans="1:15" x14ac:dyDescent="0.2">
      <c r="A292" s="6">
        <f t="shared" si="114"/>
        <v>80</v>
      </c>
      <c r="B292" t="str">
        <f t="shared" si="107"/>
        <v/>
      </c>
      <c r="C292" t="str">
        <f t="shared" si="107"/>
        <v/>
      </c>
      <c r="D292" t="str">
        <f t="shared" si="107"/>
        <v/>
      </c>
      <c r="E292" t="str">
        <f t="shared" si="107"/>
        <v/>
      </c>
      <c r="F292" s="17" t="str">
        <f t="shared" si="109"/>
        <v/>
      </c>
      <c r="G292" s="18" t="str">
        <f t="shared" si="110"/>
        <v/>
      </c>
      <c r="H292" t="str">
        <f t="shared" si="115"/>
        <v/>
      </c>
      <c r="I292" t="str">
        <f t="shared" si="115"/>
        <v/>
      </c>
      <c r="J292" t="str">
        <f t="shared" si="115"/>
        <v/>
      </c>
      <c r="K292" t="str">
        <f t="shared" si="115"/>
        <v/>
      </c>
      <c r="L292" t="str">
        <f t="shared" si="115"/>
        <v/>
      </c>
      <c r="M292" s="17" t="str">
        <f t="shared" si="111"/>
        <v/>
      </c>
      <c r="N292" s="18" t="str">
        <f t="shared" si="112"/>
        <v/>
      </c>
      <c r="O292" t="str">
        <f t="shared" si="113"/>
        <v/>
      </c>
    </row>
    <row r="293" spans="1:15" x14ac:dyDescent="0.2">
      <c r="A293" s="6">
        <f t="shared" si="114"/>
        <v>81</v>
      </c>
      <c r="B293" t="str">
        <f t="shared" ref="B293:E312" si="116">IF(ShowSeries3,IF(ChartLines13=B$4,Series3Input,IF(ChartX13=B$4,$P89,B$7)),"")</f>
        <v/>
      </c>
      <c r="C293" t="str">
        <f t="shared" si="116"/>
        <v/>
      </c>
      <c r="D293" t="str">
        <f t="shared" si="116"/>
        <v/>
      </c>
      <c r="E293" t="str">
        <f t="shared" si="116"/>
        <v/>
      </c>
      <c r="F293" s="17" t="str">
        <f t="shared" si="109"/>
        <v/>
      </c>
      <c r="G293" s="18" t="str">
        <f t="shared" si="110"/>
        <v/>
      </c>
      <c r="H293" t="str">
        <f t="shared" ref="H293:L302" si="117">IF(ShowSeries3,IF(ChartLines13=H$4,Series3Input,IF(ChartX13=H$4,$P89,H$7)),"")</f>
        <v/>
      </c>
      <c r="I293" t="str">
        <f t="shared" si="117"/>
        <v/>
      </c>
      <c r="J293" t="str">
        <f t="shared" si="117"/>
        <v/>
      </c>
      <c r="K293" t="str">
        <f t="shared" si="117"/>
        <v/>
      </c>
      <c r="L293" t="str">
        <f t="shared" si="117"/>
        <v/>
      </c>
      <c r="M293" s="17" t="str">
        <f t="shared" si="111"/>
        <v/>
      </c>
      <c r="N293" s="18" t="str">
        <f t="shared" si="112"/>
        <v/>
      </c>
      <c r="O293" t="str">
        <f t="shared" si="113"/>
        <v/>
      </c>
    </row>
    <row r="294" spans="1:15" x14ac:dyDescent="0.2">
      <c r="A294" s="6">
        <f t="shared" si="114"/>
        <v>82</v>
      </c>
      <c r="B294" t="str">
        <f t="shared" si="116"/>
        <v/>
      </c>
      <c r="C294" t="str">
        <f t="shared" si="116"/>
        <v/>
      </c>
      <c r="D294" t="str">
        <f t="shared" si="116"/>
        <v/>
      </c>
      <c r="E294" t="str">
        <f t="shared" si="116"/>
        <v/>
      </c>
      <c r="F294" s="17" t="str">
        <f t="shared" si="109"/>
        <v/>
      </c>
      <c r="G294" s="18" t="str">
        <f t="shared" si="110"/>
        <v/>
      </c>
      <c r="H294" t="str">
        <f t="shared" si="117"/>
        <v/>
      </c>
      <c r="I294" t="str">
        <f t="shared" si="117"/>
        <v/>
      </c>
      <c r="J294" t="str">
        <f t="shared" si="117"/>
        <v/>
      </c>
      <c r="K294" t="str">
        <f t="shared" si="117"/>
        <v/>
      </c>
      <c r="L294" t="str">
        <f t="shared" si="117"/>
        <v/>
      </c>
      <c r="M294" s="17" t="str">
        <f t="shared" si="111"/>
        <v/>
      </c>
      <c r="N294" s="18" t="str">
        <f t="shared" si="112"/>
        <v/>
      </c>
      <c r="O294" t="str">
        <f t="shared" si="113"/>
        <v/>
      </c>
    </row>
    <row r="295" spans="1:15" x14ac:dyDescent="0.2">
      <c r="A295" s="6">
        <f t="shared" si="114"/>
        <v>83</v>
      </c>
      <c r="B295" t="str">
        <f t="shared" si="116"/>
        <v/>
      </c>
      <c r="C295" t="str">
        <f t="shared" si="116"/>
        <v/>
      </c>
      <c r="D295" t="str">
        <f t="shared" si="116"/>
        <v/>
      </c>
      <c r="E295" t="str">
        <f t="shared" si="116"/>
        <v/>
      </c>
      <c r="F295" s="17" t="str">
        <f t="shared" si="109"/>
        <v/>
      </c>
      <c r="G295" s="18" t="str">
        <f t="shared" si="110"/>
        <v/>
      </c>
      <c r="H295" t="str">
        <f t="shared" si="117"/>
        <v/>
      </c>
      <c r="I295" t="str">
        <f t="shared" si="117"/>
        <v/>
      </c>
      <c r="J295" t="str">
        <f t="shared" si="117"/>
        <v/>
      </c>
      <c r="K295" t="str">
        <f t="shared" si="117"/>
        <v/>
      </c>
      <c r="L295" t="str">
        <f t="shared" si="117"/>
        <v/>
      </c>
      <c r="M295" s="17" t="str">
        <f t="shared" si="111"/>
        <v/>
      </c>
      <c r="N295" s="18" t="str">
        <f t="shared" si="112"/>
        <v/>
      </c>
      <c r="O295" t="str">
        <f t="shared" si="113"/>
        <v/>
      </c>
    </row>
    <row r="296" spans="1:15" x14ac:dyDescent="0.2">
      <c r="A296" s="6">
        <f t="shared" si="114"/>
        <v>84</v>
      </c>
      <c r="B296" t="str">
        <f t="shared" si="116"/>
        <v/>
      </c>
      <c r="C296" t="str">
        <f t="shared" si="116"/>
        <v/>
      </c>
      <c r="D296" t="str">
        <f t="shared" si="116"/>
        <v/>
      </c>
      <c r="E296" t="str">
        <f t="shared" si="116"/>
        <v/>
      </c>
      <c r="F296" s="17" t="str">
        <f t="shared" si="109"/>
        <v/>
      </c>
      <c r="G296" s="18" t="str">
        <f t="shared" si="110"/>
        <v/>
      </c>
      <c r="H296" t="str">
        <f t="shared" si="117"/>
        <v/>
      </c>
      <c r="I296" t="str">
        <f t="shared" si="117"/>
        <v/>
      </c>
      <c r="J296" t="str">
        <f t="shared" si="117"/>
        <v/>
      </c>
      <c r="K296" t="str">
        <f t="shared" si="117"/>
        <v/>
      </c>
      <c r="L296" t="str">
        <f t="shared" si="117"/>
        <v/>
      </c>
      <c r="M296" s="17" t="str">
        <f t="shared" si="111"/>
        <v/>
      </c>
      <c r="N296" s="18" t="str">
        <f t="shared" si="112"/>
        <v/>
      </c>
      <c r="O296" t="str">
        <f t="shared" si="113"/>
        <v/>
      </c>
    </row>
    <row r="297" spans="1:15" x14ac:dyDescent="0.2">
      <c r="A297" s="6">
        <f t="shared" si="114"/>
        <v>85</v>
      </c>
      <c r="B297" t="str">
        <f t="shared" si="116"/>
        <v/>
      </c>
      <c r="C297" t="str">
        <f t="shared" si="116"/>
        <v/>
      </c>
      <c r="D297" t="str">
        <f t="shared" si="116"/>
        <v/>
      </c>
      <c r="E297" t="str">
        <f t="shared" si="116"/>
        <v/>
      </c>
      <c r="F297" s="17" t="str">
        <f t="shared" si="109"/>
        <v/>
      </c>
      <c r="G297" s="18" t="str">
        <f t="shared" si="110"/>
        <v/>
      </c>
      <c r="H297" t="str">
        <f t="shared" si="117"/>
        <v/>
      </c>
      <c r="I297" t="str">
        <f t="shared" si="117"/>
        <v/>
      </c>
      <c r="J297" t="str">
        <f t="shared" si="117"/>
        <v/>
      </c>
      <c r="K297" t="str">
        <f t="shared" si="117"/>
        <v/>
      </c>
      <c r="L297" t="str">
        <f t="shared" si="117"/>
        <v/>
      </c>
      <c r="M297" s="17" t="str">
        <f t="shared" si="111"/>
        <v/>
      </c>
      <c r="N297" s="18" t="str">
        <f t="shared" si="112"/>
        <v/>
      </c>
      <c r="O297" t="str">
        <f t="shared" si="113"/>
        <v/>
      </c>
    </row>
    <row r="298" spans="1:15" x14ac:dyDescent="0.2">
      <c r="A298" s="6">
        <f t="shared" si="114"/>
        <v>86</v>
      </c>
      <c r="B298" t="str">
        <f t="shared" si="116"/>
        <v/>
      </c>
      <c r="C298" t="str">
        <f t="shared" si="116"/>
        <v/>
      </c>
      <c r="D298" t="str">
        <f t="shared" si="116"/>
        <v/>
      </c>
      <c r="E298" t="str">
        <f t="shared" si="116"/>
        <v/>
      </c>
      <c r="F298" s="17" t="str">
        <f t="shared" si="109"/>
        <v/>
      </c>
      <c r="G298" s="18" t="str">
        <f t="shared" si="110"/>
        <v/>
      </c>
      <c r="H298" t="str">
        <f t="shared" si="117"/>
        <v/>
      </c>
      <c r="I298" t="str">
        <f t="shared" si="117"/>
        <v/>
      </c>
      <c r="J298" t="str">
        <f t="shared" si="117"/>
        <v/>
      </c>
      <c r="K298" t="str">
        <f t="shared" si="117"/>
        <v/>
      </c>
      <c r="L298" t="str">
        <f t="shared" si="117"/>
        <v/>
      </c>
      <c r="M298" s="17" t="str">
        <f t="shared" si="111"/>
        <v/>
      </c>
      <c r="N298" s="18" t="str">
        <f t="shared" si="112"/>
        <v/>
      </c>
      <c r="O298" t="str">
        <f t="shared" si="113"/>
        <v/>
      </c>
    </row>
    <row r="299" spans="1:15" x14ac:dyDescent="0.2">
      <c r="A299" s="6">
        <f t="shared" si="114"/>
        <v>87</v>
      </c>
      <c r="B299" t="str">
        <f t="shared" si="116"/>
        <v/>
      </c>
      <c r="C299" t="str">
        <f t="shared" si="116"/>
        <v/>
      </c>
      <c r="D299" t="str">
        <f t="shared" si="116"/>
        <v/>
      </c>
      <c r="E299" t="str">
        <f t="shared" si="116"/>
        <v/>
      </c>
      <c r="F299" s="17" t="str">
        <f t="shared" si="109"/>
        <v/>
      </c>
      <c r="G299" s="18" t="str">
        <f t="shared" si="110"/>
        <v/>
      </c>
      <c r="H299" t="str">
        <f t="shared" si="117"/>
        <v/>
      </c>
      <c r="I299" t="str">
        <f t="shared" si="117"/>
        <v/>
      </c>
      <c r="J299" t="str">
        <f t="shared" si="117"/>
        <v/>
      </c>
      <c r="K299" t="str">
        <f t="shared" si="117"/>
        <v/>
      </c>
      <c r="L299" t="str">
        <f t="shared" si="117"/>
        <v/>
      </c>
      <c r="M299" s="17" t="str">
        <f t="shared" si="111"/>
        <v/>
      </c>
      <c r="N299" s="18" t="str">
        <f t="shared" si="112"/>
        <v/>
      </c>
      <c r="O299" t="str">
        <f t="shared" si="113"/>
        <v/>
      </c>
    </row>
    <row r="300" spans="1:15" x14ac:dyDescent="0.2">
      <c r="A300" s="6">
        <f t="shared" si="114"/>
        <v>88</v>
      </c>
      <c r="B300" t="str">
        <f t="shared" si="116"/>
        <v/>
      </c>
      <c r="C300" t="str">
        <f t="shared" si="116"/>
        <v/>
      </c>
      <c r="D300" t="str">
        <f t="shared" si="116"/>
        <v/>
      </c>
      <c r="E300" t="str">
        <f t="shared" si="116"/>
        <v/>
      </c>
      <c r="F300" s="17" t="str">
        <f t="shared" si="109"/>
        <v/>
      </c>
      <c r="G300" s="18" t="str">
        <f t="shared" si="110"/>
        <v/>
      </c>
      <c r="H300" t="str">
        <f t="shared" si="117"/>
        <v/>
      </c>
      <c r="I300" t="str">
        <f t="shared" si="117"/>
        <v/>
      </c>
      <c r="J300" t="str">
        <f t="shared" si="117"/>
        <v/>
      </c>
      <c r="K300" t="str">
        <f t="shared" si="117"/>
        <v/>
      </c>
      <c r="L300" t="str">
        <f t="shared" si="117"/>
        <v/>
      </c>
      <c r="M300" s="17" t="str">
        <f t="shared" si="111"/>
        <v/>
      </c>
      <c r="N300" s="18" t="str">
        <f t="shared" si="112"/>
        <v/>
      </c>
      <c r="O300" t="str">
        <f t="shared" si="113"/>
        <v/>
      </c>
    </row>
    <row r="301" spans="1:15" x14ac:dyDescent="0.2">
      <c r="A301" s="6">
        <f t="shared" si="114"/>
        <v>89</v>
      </c>
      <c r="B301" t="str">
        <f t="shared" si="116"/>
        <v/>
      </c>
      <c r="C301" t="str">
        <f t="shared" si="116"/>
        <v/>
      </c>
      <c r="D301" t="str">
        <f t="shared" si="116"/>
        <v/>
      </c>
      <c r="E301" t="str">
        <f t="shared" si="116"/>
        <v/>
      </c>
      <c r="F301" s="17" t="str">
        <f t="shared" si="109"/>
        <v/>
      </c>
      <c r="G301" s="18" t="str">
        <f t="shared" si="110"/>
        <v/>
      </c>
      <c r="H301" t="str">
        <f t="shared" si="117"/>
        <v/>
      </c>
      <c r="I301" t="str">
        <f t="shared" si="117"/>
        <v/>
      </c>
      <c r="J301" t="str">
        <f t="shared" si="117"/>
        <v/>
      </c>
      <c r="K301" t="str">
        <f t="shared" si="117"/>
        <v/>
      </c>
      <c r="L301" t="str">
        <f t="shared" si="117"/>
        <v/>
      </c>
      <c r="M301" s="17" t="str">
        <f t="shared" si="111"/>
        <v/>
      </c>
      <c r="N301" s="18" t="str">
        <f t="shared" si="112"/>
        <v/>
      </c>
      <c r="O301" t="str">
        <f t="shared" si="113"/>
        <v/>
      </c>
    </row>
    <row r="302" spans="1:15" x14ac:dyDescent="0.2">
      <c r="A302" s="6">
        <f t="shared" si="114"/>
        <v>90</v>
      </c>
      <c r="B302" t="str">
        <f t="shared" si="116"/>
        <v/>
      </c>
      <c r="C302" t="str">
        <f t="shared" si="116"/>
        <v/>
      </c>
      <c r="D302" t="str">
        <f t="shared" si="116"/>
        <v/>
      </c>
      <c r="E302" t="str">
        <f t="shared" si="116"/>
        <v/>
      </c>
      <c r="F302" s="17" t="str">
        <f t="shared" si="109"/>
        <v/>
      </c>
      <c r="G302" s="18" t="str">
        <f t="shared" si="110"/>
        <v/>
      </c>
      <c r="H302" t="str">
        <f t="shared" si="117"/>
        <v/>
      </c>
      <c r="I302" t="str">
        <f t="shared" si="117"/>
        <v/>
      </c>
      <c r="J302" t="str">
        <f t="shared" si="117"/>
        <v/>
      </c>
      <c r="K302" t="str">
        <f t="shared" si="117"/>
        <v/>
      </c>
      <c r="L302" t="str">
        <f t="shared" si="117"/>
        <v/>
      </c>
      <c r="M302" s="17" t="str">
        <f t="shared" si="111"/>
        <v/>
      </c>
      <c r="N302" s="18" t="str">
        <f t="shared" si="112"/>
        <v/>
      </c>
      <c r="O302" t="str">
        <f t="shared" si="113"/>
        <v/>
      </c>
    </row>
    <row r="303" spans="1:15" x14ac:dyDescent="0.2">
      <c r="A303" s="6">
        <f t="shared" si="114"/>
        <v>91</v>
      </c>
      <c r="B303" t="str">
        <f t="shared" si="116"/>
        <v/>
      </c>
      <c r="C303" t="str">
        <f t="shared" si="116"/>
        <v/>
      </c>
      <c r="D303" t="str">
        <f t="shared" si="116"/>
        <v/>
      </c>
      <c r="E303" t="str">
        <f t="shared" si="116"/>
        <v/>
      </c>
      <c r="F303" s="17" t="str">
        <f t="shared" si="109"/>
        <v/>
      </c>
      <c r="G303" s="18" t="str">
        <f t="shared" si="110"/>
        <v/>
      </c>
      <c r="H303" t="str">
        <f t="shared" ref="H303:L312" si="118">IF(ShowSeries3,IF(ChartLines13=H$4,Series3Input,IF(ChartX13=H$4,$P99,H$7)),"")</f>
        <v/>
      </c>
      <c r="I303" t="str">
        <f t="shared" si="118"/>
        <v/>
      </c>
      <c r="J303" t="str">
        <f t="shared" si="118"/>
        <v/>
      </c>
      <c r="K303" t="str">
        <f t="shared" si="118"/>
        <v/>
      </c>
      <c r="L303" t="str">
        <f t="shared" si="118"/>
        <v/>
      </c>
      <c r="M303" s="17" t="str">
        <f t="shared" si="111"/>
        <v/>
      </c>
      <c r="N303" s="18" t="str">
        <f t="shared" si="112"/>
        <v/>
      </c>
      <c r="O303" t="str">
        <f t="shared" si="113"/>
        <v/>
      </c>
    </row>
    <row r="304" spans="1:15" x14ac:dyDescent="0.2">
      <c r="A304" s="6">
        <f t="shared" si="114"/>
        <v>92</v>
      </c>
      <c r="B304" t="str">
        <f t="shared" si="116"/>
        <v/>
      </c>
      <c r="C304" t="str">
        <f t="shared" si="116"/>
        <v/>
      </c>
      <c r="D304" t="str">
        <f t="shared" si="116"/>
        <v/>
      </c>
      <c r="E304" t="str">
        <f t="shared" si="116"/>
        <v/>
      </c>
      <c r="F304" s="17" t="str">
        <f t="shared" si="109"/>
        <v/>
      </c>
      <c r="G304" s="18" t="str">
        <f t="shared" si="110"/>
        <v/>
      </c>
      <c r="H304" t="str">
        <f t="shared" si="118"/>
        <v/>
      </c>
      <c r="I304" t="str">
        <f t="shared" si="118"/>
        <v/>
      </c>
      <c r="J304" t="str">
        <f t="shared" si="118"/>
        <v/>
      </c>
      <c r="K304" t="str">
        <f t="shared" si="118"/>
        <v/>
      </c>
      <c r="L304" t="str">
        <f t="shared" si="118"/>
        <v/>
      </c>
      <c r="M304" s="17" t="str">
        <f t="shared" si="111"/>
        <v/>
      </c>
      <c r="N304" s="18" t="str">
        <f t="shared" si="112"/>
        <v/>
      </c>
      <c r="O304" t="str">
        <f t="shared" si="113"/>
        <v/>
      </c>
    </row>
    <row r="305" spans="1:15" x14ac:dyDescent="0.2">
      <c r="A305" s="6">
        <f t="shared" si="114"/>
        <v>93</v>
      </c>
      <c r="B305" t="str">
        <f t="shared" si="116"/>
        <v/>
      </c>
      <c r="C305" t="str">
        <f t="shared" si="116"/>
        <v/>
      </c>
      <c r="D305" t="str">
        <f t="shared" si="116"/>
        <v/>
      </c>
      <c r="E305" t="str">
        <f t="shared" si="116"/>
        <v/>
      </c>
      <c r="F305" s="17" t="str">
        <f t="shared" si="109"/>
        <v/>
      </c>
      <c r="G305" s="18" t="str">
        <f t="shared" si="110"/>
        <v/>
      </c>
      <c r="H305" t="str">
        <f t="shared" si="118"/>
        <v/>
      </c>
      <c r="I305" t="str">
        <f t="shared" si="118"/>
        <v/>
      </c>
      <c r="J305" t="str">
        <f t="shared" si="118"/>
        <v/>
      </c>
      <c r="K305" t="str">
        <f t="shared" si="118"/>
        <v/>
      </c>
      <c r="L305" t="str">
        <f t="shared" si="118"/>
        <v/>
      </c>
      <c r="M305" s="17" t="str">
        <f t="shared" si="111"/>
        <v/>
      </c>
      <c r="N305" s="18" t="str">
        <f t="shared" si="112"/>
        <v/>
      </c>
      <c r="O305" t="str">
        <f t="shared" si="113"/>
        <v/>
      </c>
    </row>
    <row r="306" spans="1:15" x14ac:dyDescent="0.2">
      <c r="A306" s="6">
        <f t="shared" si="114"/>
        <v>94</v>
      </c>
      <c r="B306" t="str">
        <f t="shared" si="116"/>
        <v/>
      </c>
      <c r="C306" t="str">
        <f t="shared" si="116"/>
        <v/>
      </c>
      <c r="D306" t="str">
        <f t="shared" si="116"/>
        <v/>
      </c>
      <c r="E306" t="str">
        <f t="shared" si="116"/>
        <v/>
      </c>
      <c r="F306" s="17" t="str">
        <f t="shared" si="109"/>
        <v/>
      </c>
      <c r="G306" s="18" t="str">
        <f t="shared" si="110"/>
        <v/>
      </c>
      <c r="H306" t="str">
        <f t="shared" si="118"/>
        <v/>
      </c>
      <c r="I306" t="str">
        <f t="shared" si="118"/>
        <v/>
      </c>
      <c r="J306" t="str">
        <f t="shared" si="118"/>
        <v/>
      </c>
      <c r="K306" t="str">
        <f t="shared" si="118"/>
        <v/>
      </c>
      <c r="L306" t="str">
        <f t="shared" si="118"/>
        <v/>
      </c>
      <c r="M306" s="17" t="str">
        <f t="shared" si="111"/>
        <v/>
      </c>
      <c r="N306" s="18" t="str">
        <f t="shared" si="112"/>
        <v/>
      </c>
      <c r="O306" t="str">
        <f t="shared" si="113"/>
        <v/>
      </c>
    </row>
    <row r="307" spans="1:15" x14ac:dyDescent="0.2">
      <c r="A307" s="6">
        <f t="shared" si="114"/>
        <v>95</v>
      </c>
      <c r="B307" t="str">
        <f t="shared" si="116"/>
        <v/>
      </c>
      <c r="C307" t="str">
        <f t="shared" si="116"/>
        <v/>
      </c>
      <c r="D307" t="str">
        <f t="shared" si="116"/>
        <v/>
      </c>
      <c r="E307" t="str">
        <f t="shared" si="116"/>
        <v/>
      </c>
      <c r="F307" s="17" t="str">
        <f t="shared" si="109"/>
        <v/>
      </c>
      <c r="G307" s="18" t="str">
        <f t="shared" si="110"/>
        <v/>
      </c>
      <c r="H307" t="str">
        <f t="shared" si="118"/>
        <v/>
      </c>
      <c r="I307" t="str">
        <f t="shared" si="118"/>
        <v/>
      </c>
      <c r="J307" t="str">
        <f t="shared" si="118"/>
        <v/>
      </c>
      <c r="K307" t="str">
        <f t="shared" si="118"/>
        <v/>
      </c>
      <c r="L307" t="str">
        <f t="shared" si="118"/>
        <v/>
      </c>
      <c r="M307" s="17" t="str">
        <f t="shared" si="111"/>
        <v/>
      </c>
      <c r="N307" s="18" t="str">
        <f t="shared" si="112"/>
        <v/>
      </c>
      <c r="O307" t="str">
        <f t="shared" si="113"/>
        <v/>
      </c>
    </row>
    <row r="308" spans="1:15" x14ac:dyDescent="0.2">
      <c r="A308" s="6">
        <f t="shared" si="114"/>
        <v>96</v>
      </c>
      <c r="B308" t="str">
        <f t="shared" si="116"/>
        <v/>
      </c>
      <c r="C308" t="str">
        <f t="shared" si="116"/>
        <v/>
      </c>
      <c r="D308" t="str">
        <f t="shared" si="116"/>
        <v/>
      </c>
      <c r="E308" t="str">
        <f t="shared" si="116"/>
        <v/>
      </c>
      <c r="F308" s="17" t="str">
        <f t="shared" si="109"/>
        <v/>
      </c>
      <c r="G308" s="18" t="str">
        <f t="shared" si="110"/>
        <v/>
      </c>
      <c r="H308" t="str">
        <f t="shared" si="118"/>
        <v/>
      </c>
      <c r="I308" t="str">
        <f t="shared" si="118"/>
        <v/>
      </c>
      <c r="J308" t="str">
        <f t="shared" si="118"/>
        <v/>
      </c>
      <c r="K308" t="str">
        <f t="shared" si="118"/>
        <v/>
      </c>
      <c r="L308" t="str">
        <f t="shared" si="118"/>
        <v/>
      </c>
      <c r="M308" s="17" t="str">
        <f t="shared" si="111"/>
        <v/>
      </c>
      <c r="N308" s="18" t="str">
        <f t="shared" si="112"/>
        <v/>
      </c>
      <c r="O308" t="str">
        <f t="shared" si="113"/>
        <v/>
      </c>
    </row>
    <row r="309" spans="1:15" x14ac:dyDescent="0.2">
      <c r="A309" s="6">
        <f t="shared" si="114"/>
        <v>97</v>
      </c>
      <c r="B309" t="str">
        <f t="shared" si="116"/>
        <v/>
      </c>
      <c r="C309" t="str">
        <f t="shared" si="116"/>
        <v/>
      </c>
      <c r="D309" t="str">
        <f t="shared" si="116"/>
        <v/>
      </c>
      <c r="E309" t="str">
        <f t="shared" si="116"/>
        <v/>
      </c>
      <c r="F309" s="17" t="str">
        <f t="shared" ref="F309:F313" si="119">IF(ShowSeries3,IF(ChartLines13=F$4,Series3Input,IF(ChartX13=F$4,$P105,IF(TimeAs=1,E309-D309,IF(TimeAs=2,F$7,G309*DaysPerYear)))),"")</f>
        <v/>
      </c>
      <c r="G309" s="18" t="str">
        <f t="shared" ref="G309:G313" si="120">IF(ShowSeries3,IF(ChartLines13=G$4,Series3Input,IF(ChartX13=G$4,$P105,IF(TimeAs&lt;3,F309/DaysPerYear,G$7))),"")</f>
        <v/>
      </c>
      <c r="H309" t="str">
        <f t="shared" si="118"/>
        <v/>
      </c>
      <c r="I309" t="str">
        <f t="shared" si="118"/>
        <v/>
      </c>
      <c r="J309" t="str">
        <f t="shared" si="118"/>
        <v/>
      </c>
      <c r="K309" t="str">
        <f t="shared" si="118"/>
        <v/>
      </c>
      <c r="L309" t="str">
        <f t="shared" si="118"/>
        <v/>
      </c>
      <c r="M309" s="17" t="str">
        <f t="shared" ref="M309:M313" si="121">IF(ShowSeries3,IF(ChartLines13=M$4,Series3Input,IF(ChartX13=M$4,$P105,IF(ExDivAs=1,L309-D309,IF(ExDivAs=2,M$7,N309*DaysPerYear)))),"")</f>
        <v/>
      </c>
      <c r="N309" s="18" t="str">
        <f t="shared" ref="N309:N313" si="122">IF(ShowSeries3,IF(ChartLines13=N$4,Series3Input,IF(ChartX13=N$4,$P105,IF(ExDivAs&lt;3,M309/DaysPerYear,N$7))),"")</f>
        <v/>
      </c>
      <c r="O309" t="str">
        <f t="shared" si="113"/>
        <v/>
      </c>
    </row>
    <row r="310" spans="1:15" x14ac:dyDescent="0.2">
      <c r="A310" s="6">
        <f t="shared" si="114"/>
        <v>98</v>
      </c>
      <c r="B310" t="str">
        <f t="shared" si="116"/>
        <v/>
      </c>
      <c r="C310" t="str">
        <f t="shared" si="116"/>
        <v/>
      </c>
      <c r="D310" t="str">
        <f t="shared" si="116"/>
        <v/>
      </c>
      <c r="E310" t="str">
        <f t="shared" si="116"/>
        <v/>
      </c>
      <c r="F310" s="17" t="str">
        <f t="shared" si="119"/>
        <v/>
      </c>
      <c r="G310" s="18" t="str">
        <f t="shared" si="120"/>
        <v/>
      </c>
      <c r="H310" t="str">
        <f t="shared" si="118"/>
        <v/>
      </c>
      <c r="I310" t="str">
        <f t="shared" si="118"/>
        <v/>
      </c>
      <c r="J310" t="str">
        <f t="shared" si="118"/>
        <v/>
      </c>
      <c r="K310" t="str">
        <f t="shared" si="118"/>
        <v/>
      </c>
      <c r="L310" t="str">
        <f t="shared" si="118"/>
        <v/>
      </c>
      <c r="M310" s="17" t="str">
        <f t="shared" si="121"/>
        <v/>
      </c>
      <c r="N310" s="18" t="str">
        <f t="shared" si="122"/>
        <v/>
      </c>
      <c r="O310" t="str">
        <f t="shared" si="113"/>
        <v/>
      </c>
    </row>
    <row r="311" spans="1:15" x14ac:dyDescent="0.2">
      <c r="A311" s="6">
        <f t="shared" si="114"/>
        <v>99</v>
      </c>
      <c r="B311" t="str">
        <f t="shared" si="116"/>
        <v/>
      </c>
      <c r="C311" t="str">
        <f t="shared" si="116"/>
        <v/>
      </c>
      <c r="D311" t="str">
        <f t="shared" si="116"/>
        <v/>
      </c>
      <c r="E311" t="str">
        <f t="shared" si="116"/>
        <v/>
      </c>
      <c r="F311" s="17" t="str">
        <f t="shared" si="119"/>
        <v/>
      </c>
      <c r="G311" s="18" t="str">
        <f t="shared" si="120"/>
        <v/>
      </c>
      <c r="H311" t="str">
        <f t="shared" si="118"/>
        <v/>
      </c>
      <c r="I311" t="str">
        <f t="shared" si="118"/>
        <v/>
      </c>
      <c r="J311" t="str">
        <f t="shared" si="118"/>
        <v/>
      </c>
      <c r="K311" t="str">
        <f t="shared" si="118"/>
        <v/>
      </c>
      <c r="L311" t="str">
        <f t="shared" si="118"/>
        <v/>
      </c>
      <c r="M311" s="17" t="str">
        <f t="shared" si="121"/>
        <v/>
      </c>
      <c r="N311" s="18" t="str">
        <f t="shared" si="122"/>
        <v/>
      </c>
      <c r="O311" t="str">
        <f t="shared" si="113"/>
        <v/>
      </c>
    </row>
    <row r="312" spans="1:15" x14ac:dyDescent="0.2">
      <c r="A312" s="6">
        <f t="shared" si="114"/>
        <v>100</v>
      </c>
      <c r="B312" t="str">
        <f t="shared" si="116"/>
        <v/>
      </c>
      <c r="C312" t="str">
        <f t="shared" si="116"/>
        <v/>
      </c>
      <c r="D312" t="str">
        <f t="shared" si="116"/>
        <v/>
      </c>
      <c r="E312" t="str">
        <f t="shared" si="116"/>
        <v/>
      </c>
      <c r="F312" s="17" t="str">
        <f t="shared" si="119"/>
        <v/>
      </c>
      <c r="G312" s="18" t="str">
        <f t="shared" si="120"/>
        <v/>
      </c>
      <c r="H312" t="str">
        <f t="shared" si="118"/>
        <v/>
      </c>
      <c r="I312" t="str">
        <f t="shared" si="118"/>
        <v/>
      </c>
      <c r="J312" t="str">
        <f t="shared" si="118"/>
        <v/>
      </c>
      <c r="K312" t="str">
        <f t="shared" si="118"/>
        <v/>
      </c>
      <c r="L312" t="str">
        <f t="shared" si="118"/>
        <v/>
      </c>
      <c r="M312" s="17" t="str">
        <f t="shared" si="121"/>
        <v/>
      </c>
      <c r="N312" s="18" t="str">
        <f t="shared" si="122"/>
        <v/>
      </c>
      <c r="O312" t="str">
        <f t="shared" si="113"/>
        <v/>
      </c>
    </row>
    <row r="313" spans="1:15" x14ac:dyDescent="0.2">
      <c r="A313" s="6">
        <f t="shared" si="114"/>
        <v>101</v>
      </c>
      <c r="B313" t="str">
        <f t="shared" ref="B313:E313" si="123">IF(ShowSeries3,IF(ChartLines13=B$4,Series3Input,IF(ChartX13=B$4,$P109,B$7)),"")</f>
        <v/>
      </c>
      <c r="C313" t="str">
        <f t="shared" si="123"/>
        <v/>
      </c>
      <c r="D313" t="str">
        <f t="shared" si="123"/>
        <v/>
      </c>
      <c r="E313" t="str">
        <f t="shared" si="123"/>
        <v/>
      </c>
      <c r="F313" s="17" t="str">
        <f t="shared" si="119"/>
        <v/>
      </c>
      <c r="G313" s="18" t="str">
        <f t="shared" si="120"/>
        <v/>
      </c>
      <c r="H313" t="str">
        <f t="shared" ref="H313:L313" si="124">IF(ShowSeries3,IF(ChartLines13=H$4,Series3Input,IF(ChartX13=H$4,$P109,H$7)),"")</f>
        <v/>
      </c>
      <c r="I313" t="str">
        <f t="shared" si="124"/>
        <v/>
      </c>
      <c r="J313" t="str">
        <f t="shared" si="124"/>
        <v/>
      </c>
      <c r="K313" t="str">
        <f t="shared" si="124"/>
        <v/>
      </c>
      <c r="L313" t="str">
        <f t="shared" si="124"/>
        <v/>
      </c>
      <c r="M313" s="17" t="str">
        <f t="shared" si="121"/>
        <v/>
      </c>
      <c r="N313" s="18" t="str">
        <f t="shared" si="122"/>
        <v/>
      </c>
      <c r="O313" t="str">
        <f t="shared" si="113"/>
        <v/>
      </c>
    </row>
    <row r="314" spans="1:15" x14ac:dyDescent="0.2">
      <c r="A314" s="52" t="s">
        <v>50</v>
      </c>
      <c r="B314" s="3" t="s">
        <v>51</v>
      </c>
      <c r="C314" s="3" t="s">
        <v>40</v>
      </c>
      <c r="D314" s="3" t="s">
        <v>65</v>
      </c>
      <c r="E314" s="3" t="s">
        <v>66</v>
      </c>
      <c r="F314" s="3" t="s">
        <v>68</v>
      </c>
      <c r="G314" s="3" t="s">
        <v>290</v>
      </c>
      <c r="H314" s="3" t="s">
        <v>52</v>
      </c>
      <c r="I314" s="3" t="s">
        <v>54</v>
      </c>
      <c r="J314" s="3" t="s">
        <v>53</v>
      </c>
      <c r="K314" s="3" t="s">
        <v>64</v>
      </c>
      <c r="L314" s="3" t="s">
        <v>67</v>
      </c>
      <c r="M314" s="3" t="s">
        <v>69</v>
      </c>
      <c r="N314" s="53" t="s">
        <v>291</v>
      </c>
      <c r="O314" s="13" t="s">
        <v>200</v>
      </c>
    </row>
  </sheetData>
  <mergeCells count="5">
    <mergeCell ref="T2:U2"/>
    <mergeCell ref="V2:W2"/>
    <mergeCell ref="M2:N2"/>
    <mergeCell ref="A1:D1"/>
    <mergeCell ref="E1:I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5EE92C-967F-4C73-8823-43D7C082F994}">
  <sheetPr codeName="Sheet3"/>
  <dimension ref="A1:DB105"/>
  <sheetViews>
    <sheetView workbookViewId="0">
      <pane xSplit="4" ySplit="3" topLeftCell="E4" activePane="bottomRight" state="frozen"/>
      <selection pane="topRight" activeCell="B1" sqref="B1"/>
      <selection pane="bottomLeft" activeCell="A3" sqref="A3"/>
      <selection pane="bottomRight" activeCell="F10" sqref="F10"/>
    </sheetView>
  </sheetViews>
  <sheetFormatPr baseColWidth="10" defaultColWidth="8.83203125" defaultRowHeight="15" x14ac:dyDescent="0.2"/>
  <cols>
    <col min="1" max="4" width="10.1640625" customWidth="1"/>
    <col min="11" max="11" width="8.83203125" customWidth="1"/>
  </cols>
  <sheetData>
    <row r="1" spans="1:106" ht="24" customHeight="1" x14ac:dyDescent="0.3">
      <c r="A1" s="207" t="s">
        <v>190</v>
      </c>
      <c r="B1" s="208"/>
      <c r="C1" s="208"/>
      <c r="D1" s="208"/>
      <c r="E1" s="202"/>
      <c r="F1" s="199"/>
      <c r="G1" s="199"/>
      <c r="H1" s="199"/>
      <c r="I1" s="199"/>
      <c r="J1" s="46"/>
      <c r="K1" s="46"/>
      <c r="L1" s="46"/>
      <c r="M1" s="46"/>
      <c r="N1" s="46"/>
      <c r="O1" s="46"/>
      <c r="P1" s="46"/>
      <c r="Q1" s="46"/>
      <c r="R1" s="46"/>
      <c r="S1" s="46"/>
      <c r="T1" s="46"/>
      <c r="U1" s="46"/>
      <c r="V1" s="46"/>
      <c r="W1" s="46"/>
      <c r="X1" s="46"/>
      <c r="Y1" s="46"/>
      <c r="Z1" s="46"/>
      <c r="AA1" s="46"/>
      <c r="AB1" s="46"/>
      <c r="AC1" s="46"/>
      <c r="AD1" s="46"/>
      <c r="AE1" s="46"/>
      <c r="AF1" s="46"/>
      <c r="AG1" s="46"/>
      <c r="AH1" s="46"/>
      <c r="AI1" s="46"/>
      <c r="AJ1" s="46"/>
      <c r="AK1" s="46"/>
      <c r="AL1" s="46"/>
      <c r="AM1" s="46"/>
      <c r="AN1" s="46"/>
      <c r="AO1" s="46"/>
      <c r="AP1" s="46"/>
      <c r="AQ1" s="46"/>
      <c r="AR1" s="46"/>
      <c r="AS1" s="46"/>
      <c r="AT1" s="46"/>
      <c r="AU1" s="46"/>
      <c r="AV1" s="46"/>
      <c r="AW1" s="46"/>
      <c r="AX1" s="46"/>
      <c r="AY1" s="46"/>
      <c r="AZ1" s="46"/>
      <c r="BA1" s="46"/>
      <c r="BB1" s="46"/>
      <c r="BC1" s="46"/>
      <c r="BD1" s="46"/>
      <c r="BE1" s="46"/>
      <c r="BF1" s="46"/>
      <c r="BG1" s="46"/>
      <c r="BH1" s="46"/>
      <c r="BI1" s="46"/>
      <c r="BJ1" s="46"/>
      <c r="BK1" s="46"/>
      <c r="BL1" s="46"/>
      <c r="BM1" s="46"/>
      <c r="BN1" s="46"/>
      <c r="BO1" s="46"/>
      <c r="BP1" s="46"/>
      <c r="BQ1" s="46"/>
      <c r="BR1" s="46"/>
      <c r="BS1" s="46"/>
      <c r="BT1" s="46"/>
      <c r="BU1" s="46"/>
      <c r="BV1" s="46"/>
      <c r="BW1" s="46"/>
      <c r="BX1" s="46"/>
      <c r="BY1" s="46"/>
      <c r="BZ1" s="46"/>
      <c r="CA1" s="46"/>
      <c r="CB1" s="46"/>
      <c r="CC1" s="46"/>
      <c r="CD1" s="46"/>
      <c r="CE1" s="46"/>
      <c r="CF1" s="46"/>
      <c r="CG1" s="46"/>
      <c r="CH1" s="46"/>
      <c r="CI1" s="46"/>
      <c r="CJ1" s="46"/>
      <c r="CK1" s="46"/>
      <c r="CL1" s="46"/>
      <c r="CM1" s="46"/>
      <c r="CN1" s="46"/>
      <c r="CO1" s="46"/>
      <c r="CP1" s="46"/>
      <c r="CQ1" s="46"/>
      <c r="CR1" s="46"/>
      <c r="CS1" s="46"/>
      <c r="CT1" s="46"/>
      <c r="CU1" s="46"/>
      <c r="CV1" s="46"/>
      <c r="CW1" s="46"/>
      <c r="CX1" s="46"/>
      <c r="CY1" s="46"/>
      <c r="CZ1" s="46"/>
      <c r="DA1" s="46"/>
      <c r="DB1" s="47"/>
    </row>
    <row r="2" spans="1:106" x14ac:dyDescent="0.2">
      <c r="A2" s="191">
        <f>SUM(A$4:A$105)</f>
        <v>2.5353012004564588E+30</v>
      </c>
      <c r="B2" s="192">
        <f>SUM(B$4:B$105)</f>
        <v>1</v>
      </c>
      <c r="C2" s="192">
        <f>SUM(C$4:C$105)</f>
        <v>0.99999999999999778</v>
      </c>
      <c r="D2" s="20" t="s">
        <v>35</v>
      </c>
      <c r="E2" s="84">
        <f>E3</f>
        <v>0</v>
      </c>
      <c r="F2" s="194">
        <f t="shared" ref="F2:AK2" si="0">IF(F3="","",F3*StepPct)</f>
        <v>9.9281160992811621E-3</v>
      </c>
      <c r="G2" s="194">
        <f t="shared" si="0"/>
        <v>1.9856232198562324E-2</v>
      </c>
      <c r="H2" s="194">
        <f t="shared" si="0"/>
        <v>2.9784348297843488E-2</v>
      </c>
      <c r="I2" s="194">
        <f t="shared" si="0"/>
        <v>3.9712464397124649E-2</v>
      </c>
      <c r="J2" s="194">
        <f t="shared" si="0"/>
        <v>4.9640580496405809E-2</v>
      </c>
      <c r="K2" s="194">
        <f t="shared" si="0"/>
        <v>5.9568696595686976E-2</v>
      </c>
      <c r="L2" s="194">
        <f t="shared" si="0"/>
        <v>6.949681269496813E-2</v>
      </c>
      <c r="M2" s="194">
        <f t="shared" si="0"/>
        <v>7.9424928794249297E-2</v>
      </c>
      <c r="N2" s="194">
        <f t="shared" si="0"/>
        <v>8.9353044893530464E-2</v>
      </c>
      <c r="O2" s="194">
        <f t="shared" si="0"/>
        <v>9.9281160992811618E-2</v>
      </c>
      <c r="P2" s="194">
        <f t="shared" si="0"/>
        <v>0.10920927709209279</v>
      </c>
      <c r="Q2" s="194">
        <f t="shared" si="0"/>
        <v>0.11913739319137395</v>
      </c>
      <c r="R2" s="194">
        <f t="shared" si="0"/>
        <v>0.12906550929065511</v>
      </c>
      <c r="S2" s="194">
        <f t="shared" si="0"/>
        <v>0.13899362538993626</v>
      </c>
      <c r="T2" s="194">
        <f t="shared" si="0"/>
        <v>0.14892174148921744</v>
      </c>
      <c r="U2" s="194">
        <f t="shared" si="0"/>
        <v>0.15884985758849859</v>
      </c>
      <c r="V2" s="194">
        <f t="shared" si="0"/>
        <v>0.16877797368777975</v>
      </c>
      <c r="W2" s="194">
        <f t="shared" si="0"/>
        <v>0.17870608978706093</v>
      </c>
      <c r="X2" s="194">
        <f t="shared" si="0"/>
        <v>0.18863420588634208</v>
      </c>
      <c r="Y2" s="194">
        <f t="shared" si="0"/>
        <v>0.19856232198562324</v>
      </c>
      <c r="Z2" s="194">
        <f t="shared" si="0"/>
        <v>0.20849043808490442</v>
      </c>
      <c r="AA2" s="194">
        <f t="shared" si="0"/>
        <v>0.21841855418418557</v>
      </c>
      <c r="AB2" s="194">
        <f t="shared" si="0"/>
        <v>0.22834667028346672</v>
      </c>
      <c r="AC2" s="194">
        <f t="shared" si="0"/>
        <v>0.23827478638274791</v>
      </c>
      <c r="AD2" s="194">
        <f t="shared" si="0"/>
        <v>0.24820290248202906</v>
      </c>
      <c r="AE2" s="194">
        <f t="shared" si="0"/>
        <v>0.25813101858131021</v>
      </c>
      <c r="AF2" s="194">
        <f t="shared" si="0"/>
        <v>0.26805913468059139</v>
      </c>
      <c r="AG2" s="194">
        <f t="shared" si="0"/>
        <v>0.27798725077987252</v>
      </c>
      <c r="AH2" s="194">
        <f t="shared" si="0"/>
        <v>0.2879153668791537</v>
      </c>
      <c r="AI2" s="194">
        <f t="shared" si="0"/>
        <v>0.29784348297843488</v>
      </c>
      <c r="AJ2" s="194">
        <f t="shared" si="0"/>
        <v>0.30777159907771601</v>
      </c>
      <c r="AK2" s="194">
        <f t="shared" si="0"/>
        <v>0.31769971517699719</v>
      </c>
      <c r="AL2" s="194">
        <f t="shared" ref="AL2:BQ2" si="1">IF(AL3="","",AL3*StepPct)</f>
        <v>0.32762783127627837</v>
      </c>
      <c r="AM2" s="194">
        <f t="shared" si="1"/>
        <v>0.3375559473755595</v>
      </c>
      <c r="AN2" s="194">
        <f t="shared" si="1"/>
        <v>0.34748406347484068</v>
      </c>
      <c r="AO2" s="194">
        <f t="shared" si="1"/>
        <v>0.35741217957412186</v>
      </c>
      <c r="AP2" s="194">
        <f t="shared" si="1"/>
        <v>0.36734029567340298</v>
      </c>
      <c r="AQ2" s="194">
        <f t="shared" si="1"/>
        <v>0.37726841177268416</v>
      </c>
      <c r="AR2" s="194">
        <f t="shared" si="1"/>
        <v>0.38719652787196535</v>
      </c>
      <c r="AS2" s="194">
        <f t="shared" si="1"/>
        <v>0.39712464397124647</v>
      </c>
      <c r="AT2" s="194">
        <f t="shared" si="1"/>
        <v>0.40705276007052765</v>
      </c>
      <c r="AU2" s="194">
        <f t="shared" si="1"/>
        <v>0.41698087616980883</v>
      </c>
      <c r="AV2" s="194">
        <f t="shared" si="1"/>
        <v>0.42690899226908996</v>
      </c>
      <c r="AW2" s="194">
        <f t="shared" si="1"/>
        <v>0.43683710836837114</v>
      </c>
      <c r="AX2" s="194">
        <f t="shared" si="1"/>
        <v>0.44676522446765232</v>
      </c>
      <c r="AY2" s="194">
        <f t="shared" si="1"/>
        <v>0.45669334056693345</v>
      </c>
      <c r="AZ2" s="194">
        <f t="shared" si="1"/>
        <v>0.46662145666621463</v>
      </c>
      <c r="BA2" s="194">
        <f t="shared" si="1"/>
        <v>0.47654957276549581</v>
      </c>
      <c r="BB2" s="194">
        <f t="shared" si="1"/>
        <v>0.48647768886477694</v>
      </c>
      <c r="BC2" s="194">
        <f t="shared" si="1"/>
        <v>0.49640580496405812</v>
      </c>
      <c r="BD2" s="194">
        <f t="shared" si="1"/>
        <v>0.5063339210633393</v>
      </c>
      <c r="BE2" s="194">
        <f t="shared" si="1"/>
        <v>0.51626203716262042</v>
      </c>
      <c r="BF2" s="194">
        <f t="shared" si="1"/>
        <v>0.52619015326190155</v>
      </c>
      <c r="BG2" s="194">
        <f t="shared" si="1"/>
        <v>0.53611826936118279</v>
      </c>
      <c r="BH2" s="194">
        <f t="shared" si="1"/>
        <v>0.54604638546046391</v>
      </c>
      <c r="BI2" s="194">
        <f t="shared" si="1"/>
        <v>0.55597450155974504</v>
      </c>
      <c r="BJ2" s="194">
        <f t="shared" si="1"/>
        <v>0.56590261765902627</v>
      </c>
      <c r="BK2" s="194">
        <f t="shared" si="1"/>
        <v>0.5758307337583074</v>
      </c>
      <c r="BL2" s="194">
        <f t="shared" si="1"/>
        <v>0.58575884985758853</v>
      </c>
      <c r="BM2" s="194">
        <f t="shared" si="1"/>
        <v>0.59568696595686976</v>
      </c>
      <c r="BN2" s="194">
        <f t="shared" si="1"/>
        <v>0.60561508205615089</v>
      </c>
      <c r="BO2" s="194">
        <f t="shared" si="1"/>
        <v>0.61554319815543201</v>
      </c>
      <c r="BP2" s="194">
        <f t="shared" si="1"/>
        <v>0.62547131425471325</v>
      </c>
      <c r="BQ2" s="194">
        <f t="shared" si="1"/>
        <v>0.63539943035399438</v>
      </c>
      <c r="BR2" s="194">
        <f t="shared" ref="BR2:CW2" si="2">IF(BR3="","",BR3*StepPct)</f>
        <v>0.6453275464532755</v>
      </c>
      <c r="BS2" s="194">
        <f t="shared" si="2"/>
        <v>0.65525566255255674</v>
      </c>
      <c r="BT2" s="194">
        <f t="shared" si="2"/>
        <v>0.66518377865183786</v>
      </c>
      <c r="BU2" s="194">
        <f t="shared" si="2"/>
        <v>0.67511189475111899</v>
      </c>
      <c r="BV2" s="194">
        <f t="shared" si="2"/>
        <v>0.68504001085040023</v>
      </c>
      <c r="BW2" s="194">
        <f t="shared" si="2"/>
        <v>0.69496812694968135</v>
      </c>
      <c r="BX2" s="194">
        <f t="shared" si="2"/>
        <v>0.70489624304896248</v>
      </c>
      <c r="BY2" s="194">
        <f t="shared" si="2"/>
        <v>0.71482435914824372</v>
      </c>
      <c r="BZ2" s="194">
        <f t="shared" si="2"/>
        <v>0.72475247524752484</v>
      </c>
      <c r="CA2" s="194">
        <f t="shared" si="2"/>
        <v>0.73468059134680597</v>
      </c>
      <c r="CB2" s="194">
        <f t="shared" si="2"/>
        <v>0.7446087074460872</v>
      </c>
      <c r="CC2" s="194">
        <f t="shared" si="2"/>
        <v>0.75453682354536833</v>
      </c>
      <c r="CD2" s="194">
        <f t="shared" si="2"/>
        <v>0.76446493964464945</v>
      </c>
      <c r="CE2" s="194">
        <f t="shared" si="2"/>
        <v>0.77439305574393069</v>
      </c>
      <c r="CF2" s="194">
        <f t="shared" si="2"/>
        <v>0.78432117184321182</v>
      </c>
      <c r="CG2" s="194">
        <f t="shared" si="2"/>
        <v>0.79424928794249294</v>
      </c>
      <c r="CH2" s="194">
        <f t="shared" si="2"/>
        <v>0.80417740404177418</v>
      </c>
      <c r="CI2" s="194">
        <f t="shared" si="2"/>
        <v>0.81410552014105531</v>
      </c>
      <c r="CJ2" s="194">
        <f t="shared" si="2"/>
        <v>0.82403363624033643</v>
      </c>
      <c r="CK2" s="194">
        <f t="shared" si="2"/>
        <v>0.83396175233961767</v>
      </c>
      <c r="CL2" s="194">
        <f t="shared" si="2"/>
        <v>0.84388986843889879</v>
      </c>
      <c r="CM2" s="194">
        <f t="shared" si="2"/>
        <v>0.85381798453817992</v>
      </c>
      <c r="CN2" s="194">
        <f t="shared" si="2"/>
        <v>0.86374610063746116</v>
      </c>
      <c r="CO2" s="194">
        <f t="shared" si="2"/>
        <v>0.87367421673674228</v>
      </c>
      <c r="CP2" s="194">
        <f t="shared" si="2"/>
        <v>0.88360233283602341</v>
      </c>
      <c r="CQ2" s="194">
        <f t="shared" si="2"/>
        <v>0.89353044893530464</v>
      </c>
      <c r="CR2" s="194">
        <f t="shared" si="2"/>
        <v>0.90345856503458577</v>
      </c>
      <c r="CS2" s="194">
        <f t="shared" si="2"/>
        <v>0.9133866811338669</v>
      </c>
      <c r="CT2" s="194">
        <f t="shared" si="2"/>
        <v>0.92331479723314813</v>
      </c>
      <c r="CU2" s="194">
        <f t="shared" si="2"/>
        <v>0.93324291333242926</v>
      </c>
      <c r="CV2" s="194">
        <f t="shared" si="2"/>
        <v>0.94317102943171038</v>
      </c>
      <c r="CW2" s="194">
        <f t="shared" si="2"/>
        <v>0.95309914553099162</v>
      </c>
      <c r="CX2" s="194">
        <f t="shared" ref="CX2:DB2" si="3">IF(CX3="","",CX3*StepPct)</f>
        <v>0.96302726163027275</v>
      </c>
      <c r="CY2" s="194">
        <f t="shared" si="3"/>
        <v>0.97295537772955387</v>
      </c>
      <c r="CZ2" s="194">
        <f t="shared" si="3"/>
        <v>0.982883493828835</v>
      </c>
      <c r="DA2" s="194">
        <f t="shared" si="3"/>
        <v>0.99281160992811623</v>
      </c>
      <c r="DB2" s="195">
        <f t="shared" si="3"/>
        <v>1.0027397260273974</v>
      </c>
    </row>
    <row r="3" spans="1:106" x14ac:dyDescent="0.2">
      <c r="A3" s="58" t="s">
        <v>18</v>
      </c>
      <c r="B3" s="3" t="s">
        <v>19</v>
      </c>
      <c r="C3" s="3" t="s">
        <v>20</v>
      </c>
      <c r="D3" s="20" t="s">
        <v>34</v>
      </c>
      <c r="E3" s="22">
        <f>D4</f>
        <v>0</v>
      </c>
      <c r="F3" s="182">
        <f t="shared" ref="F3:AK3" si="4">IF(AND(StatusOK,E3&lt;Steps),E3+1,"")</f>
        <v>1</v>
      </c>
      <c r="G3" s="182">
        <f t="shared" si="4"/>
        <v>2</v>
      </c>
      <c r="H3" s="182">
        <f t="shared" si="4"/>
        <v>3</v>
      </c>
      <c r="I3" s="182">
        <f t="shared" si="4"/>
        <v>4</v>
      </c>
      <c r="J3" s="182">
        <f t="shared" si="4"/>
        <v>5</v>
      </c>
      <c r="K3" s="182">
        <f t="shared" si="4"/>
        <v>6</v>
      </c>
      <c r="L3" s="182">
        <f t="shared" si="4"/>
        <v>7</v>
      </c>
      <c r="M3" s="182">
        <f t="shared" si="4"/>
        <v>8</v>
      </c>
      <c r="N3" s="182">
        <f t="shared" si="4"/>
        <v>9</v>
      </c>
      <c r="O3" s="182">
        <f t="shared" si="4"/>
        <v>10</v>
      </c>
      <c r="P3" s="182">
        <f t="shared" si="4"/>
        <v>11</v>
      </c>
      <c r="Q3" s="182">
        <f t="shared" si="4"/>
        <v>12</v>
      </c>
      <c r="R3" s="182">
        <f t="shared" si="4"/>
        <v>13</v>
      </c>
      <c r="S3" s="182">
        <f t="shared" si="4"/>
        <v>14</v>
      </c>
      <c r="T3" s="182">
        <f t="shared" si="4"/>
        <v>15</v>
      </c>
      <c r="U3" s="182">
        <f t="shared" si="4"/>
        <v>16</v>
      </c>
      <c r="V3" s="182">
        <f t="shared" si="4"/>
        <v>17</v>
      </c>
      <c r="W3" s="182">
        <f t="shared" si="4"/>
        <v>18</v>
      </c>
      <c r="X3" s="182">
        <f t="shared" si="4"/>
        <v>19</v>
      </c>
      <c r="Y3" s="182">
        <f t="shared" si="4"/>
        <v>20</v>
      </c>
      <c r="Z3" s="182">
        <f t="shared" si="4"/>
        <v>21</v>
      </c>
      <c r="AA3" s="182">
        <f t="shared" si="4"/>
        <v>22</v>
      </c>
      <c r="AB3" s="182">
        <f t="shared" si="4"/>
        <v>23</v>
      </c>
      <c r="AC3" s="182">
        <f t="shared" si="4"/>
        <v>24</v>
      </c>
      <c r="AD3" s="182">
        <f t="shared" si="4"/>
        <v>25</v>
      </c>
      <c r="AE3" s="182">
        <f t="shared" si="4"/>
        <v>26</v>
      </c>
      <c r="AF3" s="182">
        <f t="shared" si="4"/>
        <v>27</v>
      </c>
      <c r="AG3" s="182">
        <f t="shared" si="4"/>
        <v>28</v>
      </c>
      <c r="AH3" s="182">
        <f t="shared" si="4"/>
        <v>29</v>
      </c>
      <c r="AI3" s="182">
        <f t="shared" si="4"/>
        <v>30</v>
      </c>
      <c r="AJ3" s="182">
        <f t="shared" si="4"/>
        <v>31</v>
      </c>
      <c r="AK3" s="182">
        <f t="shared" si="4"/>
        <v>32</v>
      </c>
      <c r="AL3" s="182">
        <f t="shared" ref="AL3:BQ3" si="5">IF(AND(StatusOK,AK3&lt;Steps),AK3+1,"")</f>
        <v>33</v>
      </c>
      <c r="AM3" s="182">
        <f t="shared" si="5"/>
        <v>34</v>
      </c>
      <c r="AN3" s="182">
        <f t="shared" si="5"/>
        <v>35</v>
      </c>
      <c r="AO3" s="182">
        <f t="shared" si="5"/>
        <v>36</v>
      </c>
      <c r="AP3" s="182">
        <f t="shared" si="5"/>
        <v>37</v>
      </c>
      <c r="AQ3" s="182">
        <f t="shared" si="5"/>
        <v>38</v>
      </c>
      <c r="AR3" s="182">
        <f t="shared" si="5"/>
        <v>39</v>
      </c>
      <c r="AS3" s="182">
        <f t="shared" si="5"/>
        <v>40</v>
      </c>
      <c r="AT3" s="182">
        <f t="shared" si="5"/>
        <v>41</v>
      </c>
      <c r="AU3" s="182">
        <f t="shared" si="5"/>
        <v>42</v>
      </c>
      <c r="AV3" s="182">
        <f t="shared" si="5"/>
        <v>43</v>
      </c>
      <c r="AW3" s="182">
        <f t="shared" si="5"/>
        <v>44</v>
      </c>
      <c r="AX3" s="182">
        <f t="shared" si="5"/>
        <v>45</v>
      </c>
      <c r="AY3" s="182">
        <f t="shared" si="5"/>
        <v>46</v>
      </c>
      <c r="AZ3" s="182">
        <f t="shared" si="5"/>
        <v>47</v>
      </c>
      <c r="BA3" s="182">
        <f t="shared" si="5"/>
        <v>48</v>
      </c>
      <c r="BB3" s="182">
        <f t="shared" si="5"/>
        <v>49</v>
      </c>
      <c r="BC3" s="182">
        <f t="shared" si="5"/>
        <v>50</v>
      </c>
      <c r="BD3" s="182">
        <f t="shared" si="5"/>
        <v>51</v>
      </c>
      <c r="BE3" s="182">
        <f t="shared" si="5"/>
        <v>52</v>
      </c>
      <c r="BF3" s="182">
        <f t="shared" si="5"/>
        <v>53</v>
      </c>
      <c r="BG3" s="182">
        <f t="shared" si="5"/>
        <v>54</v>
      </c>
      <c r="BH3" s="182">
        <f t="shared" si="5"/>
        <v>55</v>
      </c>
      <c r="BI3" s="182">
        <f t="shared" si="5"/>
        <v>56</v>
      </c>
      <c r="BJ3" s="182">
        <f t="shared" si="5"/>
        <v>57</v>
      </c>
      <c r="BK3" s="182">
        <f t="shared" si="5"/>
        <v>58</v>
      </c>
      <c r="BL3" s="182">
        <f t="shared" si="5"/>
        <v>59</v>
      </c>
      <c r="BM3" s="182">
        <f t="shared" si="5"/>
        <v>60</v>
      </c>
      <c r="BN3" s="182">
        <f t="shared" si="5"/>
        <v>61</v>
      </c>
      <c r="BO3" s="182">
        <f t="shared" si="5"/>
        <v>62</v>
      </c>
      <c r="BP3" s="182">
        <f t="shared" si="5"/>
        <v>63</v>
      </c>
      <c r="BQ3" s="182">
        <f t="shared" si="5"/>
        <v>64</v>
      </c>
      <c r="BR3" s="182">
        <f t="shared" ref="BR3:DB3" si="6">IF(AND(StatusOK,BQ3&lt;Steps),BQ3+1,"")</f>
        <v>65</v>
      </c>
      <c r="BS3" s="182">
        <f t="shared" si="6"/>
        <v>66</v>
      </c>
      <c r="BT3" s="182">
        <f t="shared" si="6"/>
        <v>67</v>
      </c>
      <c r="BU3" s="182">
        <f t="shared" si="6"/>
        <v>68</v>
      </c>
      <c r="BV3" s="182">
        <f t="shared" si="6"/>
        <v>69</v>
      </c>
      <c r="BW3" s="182">
        <f t="shared" si="6"/>
        <v>70</v>
      </c>
      <c r="BX3" s="182">
        <f t="shared" si="6"/>
        <v>71</v>
      </c>
      <c r="BY3" s="182">
        <f t="shared" si="6"/>
        <v>72</v>
      </c>
      <c r="BZ3" s="182">
        <f t="shared" si="6"/>
        <v>73</v>
      </c>
      <c r="CA3" s="182">
        <f t="shared" si="6"/>
        <v>74</v>
      </c>
      <c r="CB3" s="182">
        <f t="shared" si="6"/>
        <v>75</v>
      </c>
      <c r="CC3" s="182">
        <f t="shared" si="6"/>
        <v>76</v>
      </c>
      <c r="CD3" s="182">
        <f t="shared" si="6"/>
        <v>77</v>
      </c>
      <c r="CE3" s="182">
        <f t="shared" si="6"/>
        <v>78</v>
      </c>
      <c r="CF3" s="182">
        <f t="shared" si="6"/>
        <v>79</v>
      </c>
      <c r="CG3" s="182">
        <f t="shared" si="6"/>
        <v>80</v>
      </c>
      <c r="CH3" s="182">
        <f t="shared" si="6"/>
        <v>81</v>
      </c>
      <c r="CI3" s="182">
        <f t="shared" si="6"/>
        <v>82</v>
      </c>
      <c r="CJ3" s="182">
        <f t="shared" si="6"/>
        <v>83</v>
      </c>
      <c r="CK3" s="182">
        <f t="shared" si="6"/>
        <v>84</v>
      </c>
      <c r="CL3" s="182">
        <f t="shared" si="6"/>
        <v>85</v>
      </c>
      <c r="CM3" s="182">
        <f t="shared" si="6"/>
        <v>86</v>
      </c>
      <c r="CN3" s="182">
        <f t="shared" si="6"/>
        <v>87</v>
      </c>
      <c r="CO3" s="182">
        <f t="shared" si="6"/>
        <v>88</v>
      </c>
      <c r="CP3" s="182">
        <f t="shared" si="6"/>
        <v>89</v>
      </c>
      <c r="CQ3" s="182">
        <f t="shared" si="6"/>
        <v>90</v>
      </c>
      <c r="CR3" s="182">
        <f t="shared" si="6"/>
        <v>91</v>
      </c>
      <c r="CS3" s="182">
        <f t="shared" si="6"/>
        <v>92</v>
      </c>
      <c r="CT3" s="182">
        <f t="shared" si="6"/>
        <v>93</v>
      </c>
      <c r="CU3" s="182">
        <f t="shared" si="6"/>
        <v>94</v>
      </c>
      <c r="CV3" s="182">
        <f t="shared" si="6"/>
        <v>95</v>
      </c>
      <c r="CW3" s="182">
        <f t="shared" si="6"/>
        <v>96</v>
      </c>
      <c r="CX3" s="182">
        <f t="shared" si="6"/>
        <v>97</v>
      </c>
      <c r="CY3" s="182">
        <f t="shared" si="6"/>
        <v>98</v>
      </c>
      <c r="CZ3" s="182">
        <f t="shared" si="6"/>
        <v>99</v>
      </c>
      <c r="DA3" s="182">
        <f t="shared" si="6"/>
        <v>100</v>
      </c>
      <c r="DB3" s="193">
        <f t="shared" si="6"/>
        <v>101</v>
      </c>
    </row>
    <row r="4" spans="1:106" x14ac:dyDescent="0.2">
      <c r="A4" s="69">
        <f t="shared" ref="A4:A67" si="7">IF(D4="","",COMBIN(Steps,Steps-D4))</f>
        <v>1</v>
      </c>
      <c r="B4" s="70">
        <f t="shared" ref="B4:B35" si="8">IF(D4="","",A4/Paths)</f>
        <v>3.944304526105059E-31</v>
      </c>
      <c r="C4" s="70">
        <f t="shared" ref="C4:C35" si="9">IF(D4="","",A4*UpProb^(Steps-D4)*DownProb^D4)</f>
        <v>5.1531945648814299E-31</v>
      </c>
      <c r="D4" s="83">
        <f>IF(StatusOK,0,"")</f>
        <v>0</v>
      </c>
      <c r="E4" s="160">
        <f>IF(E$3="","",IF(DivAs=1,UndPrice,UndPrice-DivAmount*EXP(-IntRate*ExDivPct)))</f>
        <v>95.026068790975842</v>
      </c>
      <c r="F4" s="17">
        <f t="shared" ref="F4:M8" si="10">IF(F$3="","",ROUND(E4*UpMove,RoundDigits))</f>
        <v>97.9027511882</v>
      </c>
      <c r="G4" s="17">
        <f t="shared" si="10"/>
        <v>100.8665181268</v>
      </c>
      <c r="H4" s="17">
        <f t="shared" si="10"/>
        <v>103.9200058787</v>
      </c>
      <c r="I4" s="17">
        <f t="shared" si="10"/>
        <v>107.0659305227</v>
      </c>
      <c r="J4" s="17">
        <f t="shared" si="10"/>
        <v>110.30709036019999</v>
      </c>
      <c r="K4" s="17">
        <f t="shared" si="10"/>
        <v>113.64636840430001</v>
      </c>
      <c r="L4" s="17">
        <f t="shared" si="10"/>
        <v>117.08673494430001</v>
      </c>
      <c r="M4" s="17">
        <f t="shared" si="10"/>
        <v>120.63125018789999</v>
      </c>
      <c r="N4" s="17">
        <f t="shared" ref="N4:N11" si="11">IF(N$3="","",ROUND(M4*UpMove,RoundDigits))</f>
        <v>124.2830669829</v>
      </c>
      <c r="O4" s="17">
        <f t="shared" ref="O4:O11" si="12">IF(O$3="","",ROUND(N4*UpMove,RoundDigits))</f>
        <v>128.04543362199999</v>
      </c>
      <c r="P4" s="17">
        <f t="shared" ref="P4:P11" si="13">IF(P$3="","",ROUND(O4*UpMove,RoundDigits))</f>
        <v>131.9216967321</v>
      </c>
      <c r="Q4" s="17">
        <f t="shared" ref="Q4:Q11" si="14">IF(Q$3="","",ROUND(P4*UpMove,RoundDigits))</f>
        <v>135.91530425089999</v>
      </c>
      <c r="R4" s="17">
        <f t="shared" ref="R4:R11" si="15">IF(R$3="","",ROUND(Q4*UpMove,RoundDigits))</f>
        <v>140.0298084941</v>
      </c>
      <c r="S4" s="17">
        <f t="shared" ref="S4:S11" si="16">IF(S$3="","",ROUND(R4*UpMove,RoundDigits))</f>
        <v>144.26886931510001</v>
      </c>
      <c r="T4" s="17">
        <f t="shared" ref="T4:T11" si="17">IF(T$3="","",ROUND(S4*UpMove,RoundDigits))</f>
        <v>148.63625736040001</v>
      </c>
      <c r="U4" s="17">
        <f t="shared" ref="U4:U18" si="18">IF(U$3="","",ROUND(T4*UpMove,RoundDigits))</f>
        <v>153.13585742359999</v>
      </c>
      <c r="V4" s="17">
        <f t="shared" ref="V4:V18" si="19">IF(V$3="","",ROUND(U4*UpMove,RoundDigits))</f>
        <v>157.77167190110001</v>
      </c>
      <c r="W4" s="17">
        <f t="shared" ref="W4:W18" si="20">IF(W$3="","",ROUND(V4*UpMove,RoundDigits))</f>
        <v>162.5478243519</v>
      </c>
      <c r="X4" s="17">
        <f t="shared" ref="X4:X18" si="21">IF(X$3="","",ROUND(W4*UpMove,RoundDigits))</f>
        <v>167.4685631657</v>
      </c>
      <c r="Y4" s="17">
        <f t="shared" ref="Y4:Y18" si="22">IF(Y$3="","",ROUND(X4*UpMove,RoundDigits))</f>
        <v>172.53826534199999</v>
      </c>
      <c r="Z4" s="17">
        <f t="shared" ref="Z4:Z18" si="23">IF(Z$3="","",ROUND(Y4*UpMove,RoundDigits))</f>
        <v>177.76144038309999</v>
      </c>
      <c r="AA4" s="17">
        <f t="shared" ref="AA4:AA18" si="24">IF(AA$3="","",ROUND(Z4*UpMove,RoundDigits))</f>
        <v>183.1427343055</v>
      </c>
      <c r="AB4" s="17">
        <f t="shared" ref="AB4:AB18" si="25">IF(AB$3="","",ROUND(AA4*UpMove,RoundDigits))</f>
        <v>188.6869337727</v>
      </c>
      <c r="AC4" s="17">
        <f t="shared" ref="AC4:AC18" si="26">IF(AC$3="","",ROUND(AB4*UpMove,RoundDigits))</f>
        <v>194.39897035249999</v>
      </c>
      <c r="AD4" s="17">
        <f t="shared" ref="AD4:AD18" si="27">IF(AD$3="","",ROUND(AC4*UpMove,RoundDigits))</f>
        <v>200.28392490409999</v>
      </c>
      <c r="AE4" s="17">
        <f t="shared" ref="AE4:AE18" si="28">IF(AE$3="","",ROUND(AD4*UpMove,RoundDigits))</f>
        <v>206.34703209720001</v>
      </c>
      <c r="AF4" s="17">
        <f t="shared" ref="AF4:AF18" si="29">IF(AF$3="","",ROUND(AE4*UpMove,RoundDigits))</f>
        <v>212.59368506839999</v>
      </c>
      <c r="AG4" s="17">
        <f t="shared" ref="AG4:AG18" si="30">IF(AG$3="","",ROUND(AF4*UpMove,RoundDigits))</f>
        <v>219.02944021830001</v>
      </c>
      <c r="AH4" s="17">
        <f t="shared" ref="AH4:AH18" si="31">IF(AH$3="","",ROUND(AG4*UpMove,RoundDigits))</f>
        <v>225.66002215410001</v>
      </c>
      <c r="AI4" s="17">
        <f t="shared" ref="AI4:AI32" si="32">IF(AI$3="","",ROUND(AH4*UpMove,RoundDigits))</f>
        <v>232.49132878130001</v>
      </c>
      <c r="AJ4" s="17">
        <f t="shared" ref="AJ4:AJ32" si="33">IF(AJ$3="","",ROUND(AI4*UpMove,RoundDigits))</f>
        <v>239.52943655030001</v>
      </c>
      <c r="AK4" s="17">
        <f t="shared" ref="AK4:AK32" si="34">IF(AK$3="","",ROUND(AJ4*UpMove,RoundDigits))</f>
        <v>246.78060586110001</v>
      </c>
      <c r="AL4" s="17">
        <f t="shared" ref="AL4:AL32" si="35">IF(AL$3="","",ROUND(AK4*UpMove,RoundDigits))</f>
        <v>254.2512866321</v>
      </c>
      <c r="AM4" s="17">
        <f t="shared" ref="AM4:AM32" si="36">IF(AM$3="","",ROUND(AL4*UpMove,RoundDigits))</f>
        <v>261.94812403719999</v>
      </c>
      <c r="AN4" s="17">
        <f t="shared" ref="AN4:AN32" si="37">IF(AN$3="","",ROUND(AM4*UpMove,RoundDigits))</f>
        <v>269.87796441670002</v>
      </c>
      <c r="AO4" s="17">
        <f t="shared" ref="AO4:AO32" si="38">IF(AO$3="","",ROUND(AN4*UpMove,RoundDigits))</f>
        <v>278.04786136730002</v>
      </c>
      <c r="AP4" s="17">
        <f t="shared" ref="AP4:AP32" si="39">IF(AP$3="","",ROUND(AO4*UpMove,RoundDigits))</f>
        <v>286.46508201590001</v>
      </c>
      <c r="AQ4" s="17">
        <f t="shared" ref="AQ4:AQ32" si="40">IF(AQ$3="","",ROUND(AP4*UpMove,RoundDigits))</f>
        <v>295.13711348419997</v>
      </c>
      <c r="AR4" s="17">
        <f t="shared" ref="AR4:AR32" si="41">IF(AR$3="","",ROUND(AQ4*UpMove,RoundDigits))</f>
        <v>304.07166954799999</v>
      </c>
      <c r="AS4" s="17">
        <f t="shared" ref="AS4:AS32" si="42">IF(AS$3="","",ROUND(AR4*UpMove,RoundDigits))</f>
        <v>313.27669749889998</v>
      </c>
      <c r="AT4" s="17">
        <f t="shared" ref="AT4:AT32" si="43">IF(AT$3="","",ROUND(AS4*UpMove,RoundDigits))</f>
        <v>322.7603852135</v>
      </c>
      <c r="AU4" s="17">
        <f t="shared" ref="AU4:AU32" si="44">IF(AU$3="","",ROUND(AT4*UpMove,RoundDigits))</f>
        <v>332.53116843629999</v>
      </c>
      <c r="AV4" s="17">
        <f t="shared" ref="AV4:AV32" si="45">IF(AV$3="","",ROUND(AU4*UpMove,RoundDigits))</f>
        <v>342.59773828329998</v>
      </c>
      <c r="AW4" s="17">
        <f t="shared" ref="AW4:AW32" si="46">IF(AW$3="","",ROUND(AV4*UpMove,RoundDigits))</f>
        <v>352.96904897299999</v>
      </c>
      <c r="AX4" s="17">
        <f t="shared" ref="AX4:AX32" si="47">IF(AX$3="","",ROUND(AW4*UpMove,RoundDigits))</f>
        <v>363.65432579089997</v>
      </c>
      <c r="AY4" s="17">
        <f t="shared" ref="AY4:AY32" si="48">IF(AY$3="","",ROUND(AX4*UpMove,RoundDigits))</f>
        <v>374.66307329559999</v>
      </c>
      <c r="AZ4" s="17">
        <f t="shared" ref="AZ4:AZ32" si="49">IF(AZ$3="","",ROUND(AY4*UpMove,RoundDigits))</f>
        <v>386.00508377289998</v>
      </c>
      <c r="BA4" s="17">
        <f t="shared" ref="BA4:BA32" si="50">IF(BA$3="","",ROUND(AZ4*UpMove,RoundDigits))</f>
        <v>397.69044594629997</v>
      </c>
      <c r="BB4" s="17">
        <f t="shared" ref="BB4:BB32" si="51">IF(BB$3="","",ROUND(BA4*UpMove,RoundDigits))</f>
        <v>409.72955395069999</v>
      </c>
      <c r="BC4" s="17">
        <f t="shared" ref="BC4:BC32" si="52">IF(BC$3="","",ROUND(BB4*UpMove,RoundDigits))</f>
        <v>422.133116578</v>
      </c>
      <c r="BD4" s="17">
        <f t="shared" ref="BD4:BD32" si="53">IF(BD$3="","",ROUND(BC4*UpMove,RoundDigits))</f>
        <v>434.9121668029</v>
      </c>
      <c r="BE4" s="17">
        <f t="shared" ref="BE4:BE32" si="54">IF(BE$3="","",ROUND(BD4*UpMove,RoundDigits))</f>
        <v>448.0780715962</v>
      </c>
      <c r="BF4" s="17">
        <f t="shared" ref="BF4:BF32" si="55">IF(BF$3="","",ROUND(BE4*UpMove,RoundDigits))</f>
        <v>461.64254203629997</v>
      </c>
      <c r="BG4" s="17">
        <f t="shared" ref="BG4:BG32" si="56">IF(BG$3="","",ROUND(BF4*UpMove,RoundDigits))</f>
        <v>475.61764372570002</v>
      </c>
      <c r="BH4" s="17">
        <f t="shared" ref="BH4:BH32" si="57">IF(BH$3="","",ROUND(BG4*UpMove,RoundDigits))</f>
        <v>490.01580752360002</v>
      </c>
      <c r="BI4" s="17">
        <f t="shared" ref="BI4:BI32" si="58">IF(BI$3="","",ROUND(BH4*UpMove,RoundDigits))</f>
        <v>504.84984060319999</v>
      </c>
      <c r="BJ4" s="17">
        <f t="shared" ref="BJ4:BJ32" si="59">IF(BJ$3="","",ROUND(BI4*UpMove,RoundDigits))</f>
        <v>520.13293784370001</v>
      </c>
      <c r="BK4" s="17">
        <f t="shared" ref="BK4:BK60" si="60">IF(BK$3="","",ROUND(BJ4*UpMove,RoundDigits))</f>
        <v>535.87869356689998</v>
      </c>
      <c r="BL4" s="17">
        <f t="shared" ref="BL4:BL60" si="61">IF(BL$3="","",ROUND(BK4*UpMove,RoundDigits))</f>
        <v>552.10111362969997</v>
      </c>
      <c r="BM4" s="17">
        <f t="shared" ref="BM4:BM60" si="62">IF(BM$3="","",ROUND(BL4*UpMove,RoundDigits))</f>
        <v>568.81462788199997</v>
      </c>
      <c r="BN4" s="17">
        <f t="shared" ref="BN4:BN60" si="63">IF(BN$3="","",ROUND(BM4*UpMove,RoundDigits))</f>
        <v>586.03410300229996</v>
      </c>
      <c r="BO4" s="17">
        <f t="shared" ref="BO4:BO60" si="64">IF(BO$3="","",ROUND(BN4*UpMove,RoundDigits))</f>
        <v>603.77485572139994</v>
      </c>
      <c r="BP4" s="17">
        <f t="shared" ref="BP4:BP60" si="65">IF(BP$3="","",ROUND(BO4*UpMove,RoundDigits))</f>
        <v>622.05266644690005</v>
      </c>
      <c r="BQ4" s="17">
        <f t="shared" ref="BQ4:BQ60" si="66">IF(BQ$3="","",ROUND(BP4*UpMove,RoundDigits))</f>
        <v>640.88379329969996</v>
      </c>
      <c r="BR4" s="17">
        <f t="shared" ref="BR4:BR60" si="67">IF(BR$3="","",ROUND(BQ4*UpMove,RoundDigits))</f>
        <v>660.28498657559999</v>
      </c>
      <c r="BS4" s="17">
        <f t="shared" ref="BS4:BS60" si="68">IF(BS$3="","",ROUND(BR4*UpMove,RoundDigits))</f>
        <v>680.27350364480003</v>
      </c>
      <c r="BT4" s="17">
        <f t="shared" ref="BT4:BT60" si="69">IF(BT$3="","",ROUND(BS4*UpMove,RoundDigits))</f>
        <v>700.86712430219995</v>
      </c>
      <c r="BU4" s="17">
        <f t="shared" ref="BU4:BU60" si="70">IF(BU$3="","",ROUND(BT4*UpMove,RoundDigits))</f>
        <v>722.08416658270005</v>
      </c>
      <c r="BV4" s="17">
        <f t="shared" ref="BV4:BV60" si="71">IF(BV$3="","",ROUND(BU4*UpMove,RoundDigits))</f>
        <v>743.94350305490002</v>
      </c>
      <c r="BW4" s="17">
        <f t="shared" ref="BW4:BW60" si="72">IF(BW$3="","",ROUND(BV4*UpMove,RoundDigits))</f>
        <v>766.46457760850001</v>
      </c>
      <c r="BX4" s="17">
        <f t="shared" ref="BX4:BX60" si="73">IF(BX$3="","",ROUND(BW4*UpMove,RoundDigits))</f>
        <v>789.66742274950002</v>
      </c>
      <c r="BY4" s="17">
        <f t="shared" ref="BY4:BY60" si="74">IF(BY$3="","",ROUND(BX4*UpMove,RoundDigits))</f>
        <v>813.57267741910005</v>
      </c>
      <c r="BZ4" s="17">
        <f t="shared" ref="BZ4:BZ60" si="75">IF(BZ$3="","",ROUND(BY4*UpMove,RoundDigits))</f>
        <v>838.20160535210005</v>
      </c>
      <c r="CA4" s="17">
        <f t="shared" ref="CA4:CA60" si="76">IF(CA$3="","",ROUND(BZ4*UpMove,RoundDigits))</f>
        <v>863.57611399100006</v>
      </c>
      <c r="CB4" s="17">
        <f t="shared" ref="CB4:CB60" si="77">IF(CB$3="","",ROUND(CA4*UpMove,RoundDigits))</f>
        <v>889.71877397269998</v>
      </c>
      <c r="CC4" s="17">
        <f t="shared" ref="CC4:CC60" si="78">IF(CC$3="","",ROUND(CB4*UpMove,RoundDigits))</f>
        <v>916.65283920499996</v>
      </c>
      <c r="CD4" s="17">
        <f t="shared" ref="CD4:CD60" si="79">IF(CD$3="","",ROUND(CC4*UpMove,RoundDigits))</f>
        <v>944.40226755109995</v>
      </c>
      <c r="CE4" s="17">
        <f t="shared" ref="CE4:CE60" si="80">IF(CE$3="","",ROUND(CD4*UpMove,RoundDigits))</f>
        <v>972.99174214000004</v>
      </c>
      <c r="CF4" s="17">
        <f t="shared" ref="CF4:CF60" si="81">IF(CF$3="","",ROUND(CE4*UpMove,RoundDigits))</f>
        <v>1002.4466933222</v>
      </c>
      <c r="CG4" s="17">
        <f t="shared" ref="CG4:CG60" si="82">IF(CG$3="","",ROUND(CF4*UpMove,RoundDigits))</f>
        <v>1032.7933212901</v>
      </c>
      <c r="CH4" s="17">
        <f t="shared" ref="CH4:CH60" si="83">IF(CH$3="","",ROUND(CG4*UpMove,RoundDigits))</f>
        <v>1064.058619383</v>
      </c>
      <c r="CI4" s="17">
        <f t="shared" ref="CI4:CI60" si="84">IF(CI$3="","",ROUND(CH4*UpMove,RoundDigits))</f>
        <v>1096.2703980976</v>
      </c>
      <c r="CJ4" s="17">
        <f t="shared" ref="CJ4:CJ60" si="85">IF(CJ$3="","",ROUND(CI4*UpMove,RoundDigits))</f>
        <v>1129.4573098256001</v>
      </c>
      <c r="CK4" s="17">
        <f t="shared" ref="CK4:CK60" si="86">IF(CK$3="","",ROUND(CJ4*UpMove,RoundDigits))</f>
        <v>1163.6488743399</v>
      </c>
      <c r="CL4" s="17">
        <f t="shared" ref="CL4:CL60" si="87">IF(CL$3="","",ROUND(CK4*UpMove,RoundDigits))</f>
        <v>1198.8755050525999</v>
      </c>
      <c r="CM4" s="17">
        <f t="shared" ref="CM4:CM60" si="88">IF(CM$3="","",ROUND(CL4*UpMove,RoundDigits))</f>
        <v>1235.1685360675999</v>
      </c>
      <c r="CN4" s="17">
        <f t="shared" ref="CN4:CN60" si="89">IF(CN$3="","",ROUND(CM4*UpMove,RoundDigits))</f>
        <v>1272.5602500524001</v>
      </c>
      <c r="CO4" s="17">
        <f t="shared" ref="CO4:CO60" si="90">IF(CO$3="","",ROUND(CN4*UpMove,RoundDigits))</f>
        <v>1311.0839069533999</v>
      </c>
      <c r="CP4" s="17">
        <f t="shared" ref="CP4:CP60" si="91">IF(CP$3="","",ROUND(CO4*UpMove,RoundDigits))</f>
        <v>1350.7737735808</v>
      </c>
      <c r="CQ4" s="17">
        <f t="shared" ref="CQ4:CQ60" si="92">IF(CQ$3="","",ROUND(CP4*UpMove,RoundDigits))</f>
        <v>1391.6651540887999</v>
      </c>
      <c r="CR4" s="17">
        <f t="shared" ref="CR4:CR60" si="93">IF(CR$3="","",ROUND(CQ4*UpMove,RoundDigits))</f>
        <v>1433.7944213789001</v>
      </c>
      <c r="CS4" s="17">
        <f t="shared" ref="CS4:CS60" si="94">IF(CS$3="","",ROUND(CR4*UpMove,RoundDigits))</f>
        <v>1477.1990494532999</v>
      </c>
      <c r="CT4" s="17">
        <f t="shared" ref="CT4:CT60" si="95">IF(CT$3="","",ROUND(CS4*UpMove,RoundDigits))</f>
        <v>1521.9176467482</v>
      </c>
      <c r="CU4" s="17">
        <f t="shared" ref="CU4:CU60" si="96">IF(CU$3="","",ROUND(CT4*UpMove,RoundDigits))</f>
        <v>1567.9899904761</v>
      </c>
      <c r="CV4" s="17">
        <f t="shared" ref="CV4:CV60" si="97">IF(CV$3="","",ROUND(CU4*UpMove,RoundDigits))</f>
        <v>1615.4570620075001</v>
      </c>
      <c r="CW4" s="17">
        <f t="shared" ref="CW4:CW60" si="98">IF(CW$3="","",ROUND(CV4*UpMove,RoundDigits))</f>
        <v>1664.361083324</v>
      </c>
      <c r="CX4" s="17">
        <f t="shared" ref="CX4:CX60" si="99">IF(CX$3="","",ROUND(CW4*UpMove,RoundDigits))</f>
        <v>1714.7455545746</v>
      </c>
      <c r="CY4" s="17">
        <f t="shared" ref="CY4:CY60" si="100">IF(CY$3="","",ROUND(CX4*UpMove,RoundDigits))</f>
        <v>1766.6552927691</v>
      </c>
      <c r="CZ4" s="17">
        <f t="shared" ref="CZ4:CZ60" si="101">IF(CZ$3="","",ROUND(CY4*UpMove,RoundDigits))</f>
        <v>1820.1364716431001</v>
      </c>
      <c r="DA4" s="17">
        <f t="shared" ref="DA4:DA60" si="102">IF(DA$3="","",ROUND(CZ4*UpMove,RoundDigits))</f>
        <v>1875.2366627293</v>
      </c>
      <c r="DB4" s="17">
        <f t="shared" ref="DB4:DB60" si="103">IF(DB$3="","",ROUND(DA4*UpMove,RoundDigits))</f>
        <v>1932.0048776725</v>
      </c>
    </row>
    <row r="5" spans="1:106" x14ac:dyDescent="0.2">
      <c r="A5">
        <f t="shared" si="7"/>
        <v>101</v>
      </c>
      <c r="B5" s="71">
        <f t="shared" si="8"/>
        <v>3.9837475713661096E-29</v>
      </c>
      <c r="C5" s="71">
        <f t="shared" si="9"/>
        <v>5.1772094135872507E-29</v>
      </c>
      <c r="D5" s="177">
        <f t="shared" ref="D5:D36" si="104">IF(AND(StatusOK,D4&lt;Steps),D4+1,"")</f>
        <v>1</v>
      </c>
      <c r="F5" s="18">
        <f>IF(F$3="","",ROUND(E4*DownMove,RoundDigits))</f>
        <v>92.234392409700007</v>
      </c>
      <c r="G5" s="17">
        <f t="shared" ref="G5" si="105">IF(G$3="","",ROUND(F5*UpMove,RoundDigits))</f>
        <v>95.026563615399994</v>
      </c>
      <c r="H5" s="17">
        <f t="shared" si="10"/>
        <v>97.903260992200003</v>
      </c>
      <c r="I5" s="17">
        <f t="shared" si="10"/>
        <v>100.86704336379999</v>
      </c>
      <c r="J5" s="17">
        <f t="shared" si="10"/>
        <v>103.920547016</v>
      </c>
      <c r="K5" s="17">
        <f t="shared" si="10"/>
        <v>107.0664880416</v>
      </c>
      <c r="L5" s="17">
        <f t="shared" si="10"/>
        <v>110.3076647566</v>
      </c>
      <c r="M5" s="17">
        <f t="shared" si="10"/>
        <v>113.6469601891</v>
      </c>
      <c r="N5" s="17">
        <f t="shared" si="11"/>
        <v>117.087344644</v>
      </c>
      <c r="O5" s="17">
        <f t="shared" si="12"/>
        <v>120.6318783447</v>
      </c>
      <c r="P5" s="17">
        <f t="shared" si="13"/>
        <v>124.28371415559999</v>
      </c>
      <c r="Q5" s="17">
        <f t="shared" si="14"/>
        <v>128.0461003863</v>
      </c>
      <c r="R5" s="17">
        <f t="shared" si="15"/>
        <v>131.92238368100001</v>
      </c>
      <c r="S5" s="17">
        <f t="shared" si="16"/>
        <v>135.91601199550001</v>
      </c>
      <c r="T5" s="17">
        <f t="shared" si="17"/>
        <v>140.03053766389999</v>
      </c>
      <c r="U5" s="17">
        <f t="shared" si="18"/>
        <v>144.26962055870001</v>
      </c>
      <c r="V5" s="17">
        <f t="shared" si="19"/>
        <v>148.6370313461</v>
      </c>
      <c r="W5" s="17">
        <f t="shared" si="20"/>
        <v>153.13665483989999</v>
      </c>
      <c r="X5" s="17">
        <f t="shared" si="21"/>
        <v>157.7724934572</v>
      </c>
      <c r="Y5" s="17">
        <f t="shared" si="22"/>
        <v>162.54867077860001</v>
      </c>
      <c r="Z5" s="17">
        <f t="shared" si="23"/>
        <v>167.46943521590001</v>
      </c>
      <c r="AA5" s="17">
        <f t="shared" si="24"/>
        <v>172.53916379130001</v>
      </c>
      <c r="AB5" s="17">
        <f t="shared" si="25"/>
        <v>177.76236603070001</v>
      </c>
      <c r="AC5" s="17">
        <f t="shared" si="26"/>
        <v>183.14368797489999</v>
      </c>
      <c r="AD5" s="17">
        <f t="shared" si="27"/>
        <v>188.68791631209999</v>
      </c>
      <c r="AE5" s="17">
        <f t="shared" si="28"/>
        <v>194.39998263589999</v>
      </c>
      <c r="AF5" s="17">
        <f t="shared" si="29"/>
        <v>200.28496783189999</v>
      </c>
      <c r="AG5" s="17">
        <f t="shared" si="30"/>
        <v>206.34810659710001</v>
      </c>
      <c r="AH5" s="17">
        <f t="shared" si="31"/>
        <v>212.5947920962</v>
      </c>
      <c r="AI5" s="17">
        <f t="shared" si="32"/>
        <v>219.03058075870001</v>
      </c>
      <c r="AJ5" s="17">
        <f t="shared" si="33"/>
        <v>225.66119722159999</v>
      </c>
      <c r="AK5" s="17">
        <f t="shared" si="34"/>
        <v>232.49253942109999</v>
      </c>
      <c r="AL5" s="17">
        <f t="shared" si="35"/>
        <v>239.5306838393</v>
      </c>
      <c r="AM5" s="17">
        <f t="shared" si="36"/>
        <v>246.78189090879999</v>
      </c>
      <c r="AN5" s="17">
        <f t="shared" si="37"/>
        <v>254.25261058149999</v>
      </c>
      <c r="AO5" s="17">
        <f t="shared" si="38"/>
        <v>261.94948806590003</v>
      </c>
      <c r="AP5" s="17">
        <f t="shared" si="39"/>
        <v>269.87936973810002</v>
      </c>
      <c r="AQ5" s="17">
        <f t="shared" si="40"/>
        <v>278.0493092314</v>
      </c>
      <c r="AR5" s="17">
        <f t="shared" si="41"/>
        <v>286.46657371060002</v>
      </c>
      <c r="AS5" s="17">
        <f t="shared" si="42"/>
        <v>295.13865033629997</v>
      </c>
      <c r="AT5" s="17">
        <f t="shared" si="43"/>
        <v>304.07325292450003</v>
      </c>
      <c r="AU5" s="17">
        <f t="shared" si="44"/>
        <v>313.27832880829999</v>
      </c>
      <c r="AV5" s="17">
        <f t="shared" si="45"/>
        <v>322.76206590679999</v>
      </c>
      <c r="AW5" s="17">
        <f t="shared" si="46"/>
        <v>332.53290000850001</v>
      </c>
      <c r="AX5" s="17">
        <f t="shared" si="47"/>
        <v>342.59952227470001</v>
      </c>
      <c r="AY5" s="17">
        <f t="shared" si="48"/>
        <v>352.97088697039999</v>
      </c>
      <c r="AZ5" s="17">
        <f t="shared" si="49"/>
        <v>363.65621942920001</v>
      </c>
      <c r="BA5" s="17">
        <f t="shared" si="50"/>
        <v>374.66502425919998</v>
      </c>
      <c r="BB5" s="17">
        <f t="shared" si="51"/>
        <v>386.00709379720001</v>
      </c>
      <c r="BC5" s="17">
        <f t="shared" si="52"/>
        <v>397.69251681920002</v>
      </c>
      <c r="BD5" s="17">
        <f t="shared" si="53"/>
        <v>409.73168751420002</v>
      </c>
      <c r="BE5" s="17">
        <f t="shared" si="54"/>
        <v>422.13531473</v>
      </c>
      <c r="BF5" s="17">
        <f t="shared" si="55"/>
        <v>434.91443149859998</v>
      </c>
      <c r="BG5" s="17">
        <f t="shared" si="56"/>
        <v>448.08040485010002</v>
      </c>
      <c r="BH5" s="17">
        <f t="shared" si="57"/>
        <v>461.64494592369999</v>
      </c>
      <c r="BI5" s="17">
        <f t="shared" si="58"/>
        <v>475.62012038490002</v>
      </c>
      <c r="BJ5" s="17">
        <f t="shared" si="59"/>
        <v>490.0183591576</v>
      </c>
      <c r="BK5" s="17">
        <f t="shared" si="60"/>
        <v>504.85246948169998</v>
      </c>
      <c r="BL5" s="17">
        <f t="shared" si="61"/>
        <v>520.13564630509995</v>
      </c>
      <c r="BM5" s="17">
        <f t="shared" si="62"/>
        <v>535.88148402039997</v>
      </c>
      <c r="BN5" s="17">
        <f t="shared" si="63"/>
        <v>552.1039885573</v>
      </c>
      <c r="BO5" s="17">
        <f t="shared" si="64"/>
        <v>568.81758984099997</v>
      </c>
      <c r="BP5" s="17">
        <f t="shared" si="65"/>
        <v>586.03715462729997</v>
      </c>
      <c r="BQ5" s="17">
        <f t="shared" si="66"/>
        <v>603.77799972690002</v>
      </c>
      <c r="BR5" s="17">
        <f t="shared" si="67"/>
        <v>622.05590562949999</v>
      </c>
      <c r="BS5" s="17">
        <f t="shared" si="68"/>
        <v>640.88713054059997</v>
      </c>
      <c r="BT5" s="17">
        <f t="shared" si="69"/>
        <v>660.28842484330005</v>
      </c>
      <c r="BU5" s="17">
        <f t="shared" si="70"/>
        <v>680.2770459976</v>
      </c>
      <c r="BV5" s="17">
        <f t="shared" si="71"/>
        <v>700.87077389110004</v>
      </c>
      <c r="BW5" s="17">
        <f t="shared" si="72"/>
        <v>722.08792665399994</v>
      </c>
      <c r="BX5" s="17">
        <f t="shared" si="73"/>
        <v>743.94737695319998</v>
      </c>
      <c r="BY5" s="17">
        <f t="shared" si="74"/>
        <v>766.46856877970004</v>
      </c>
      <c r="BZ5" s="17">
        <f t="shared" si="75"/>
        <v>789.67153474370002</v>
      </c>
      <c r="CA5" s="17">
        <f t="shared" si="76"/>
        <v>813.57691389390004</v>
      </c>
      <c r="CB5" s="17">
        <f t="shared" si="77"/>
        <v>838.2059700758</v>
      </c>
      <c r="CC5" s="17">
        <f t="shared" si="78"/>
        <v>863.58061084600001</v>
      </c>
      <c r="CD5" s="17">
        <f t="shared" si="79"/>
        <v>889.72340695900004</v>
      </c>
      <c r="CE5" s="17">
        <f t="shared" si="80"/>
        <v>916.65761244359999</v>
      </c>
      <c r="CF5" s="17">
        <f t="shared" si="81"/>
        <v>944.40718528779996</v>
      </c>
      <c r="CG5" s="17">
        <f t="shared" si="82"/>
        <v>972.99680874909996</v>
      </c>
      <c r="CH5" s="17">
        <f t="shared" si="83"/>
        <v>1002.4519133105</v>
      </c>
      <c r="CI5" s="17">
        <f t="shared" si="84"/>
        <v>1032.7986993008001</v>
      </c>
      <c r="CJ5" s="17">
        <f t="shared" si="85"/>
        <v>1064.0641601998</v>
      </c>
      <c r="CK5" s="17">
        <f t="shared" si="86"/>
        <v>1096.2761066491</v>
      </c>
      <c r="CL5" s="17">
        <f t="shared" si="87"/>
        <v>1129.4631911895999</v>
      </c>
      <c r="CM5" s="17">
        <f t="shared" si="88"/>
        <v>1163.6549337479</v>
      </c>
      <c r="CN5" s="17">
        <f t="shared" si="89"/>
        <v>1198.8817478944</v>
      </c>
      <c r="CO5" s="17">
        <f t="shared" si="90"/>
        <v>1235.1749678962999</v>
      </c>
      <c r="CP5" s="17">
        <f t="shared" si="91"/>
        <v>1272.566876589</v>
      </c>
      <c r="CQ5" s="17">
        <f t="shared" si="92"/>
        <v>1311.0907340921999</v>
      </c>
      <c r="CR5" s="17">
        <f t="shared" si="93"/>
        <v>1350.7808073946001</v>
      </c>
      <c r="CS5" s="17">
        <f t="shared" si="94"/>
        <v>1391.6724008342001</v>
      </c>
      <c r="CT5" s="17">
        <f t="shared" si="95"/>
        <v>1433.8018875017999</v>
      </c>
      <c r="CU5" s="17">
        <f t="shared" si="96"/>
        <v>1477.2067415948</v>
      </c>
      <c r="CV5" s="17">
        <f t="shared" si="97"/>
        <v>1521.9255717506001</v>
      </c>
      <c r="CW5" s="17">
        <f t="shared" si="98"/>
        <v>1567.9981553886</v>
      </c>
      <c r="CX5" s="17">
        <f t="shared" si="99"/>
        <v>1615.4654740929</v>
      </c>
      <c r="CY5" s="17">
        <f t="shared" si="100"/>
        <v>1664.3697500648</v>
      </c>
      <c r="CZ5" s="17">
        <f t="shared" si="101"/>
        <v>1714.7544836797999</v>
      </c>
      <c r="DA5" s="17">
        <f t="shared" si="102"/>
        <v>1766.6644921812001</v>
      </c>
      <c r="DB5" s="17">
        <f t="shared" si="103"/>
        <v>1820.1459495449001</v>
      </c>
    </row>
    <row r="6" spans="1:106" x14ac:dyDescent="0.2">
      <c r="A6">
        <f t="shared" si="7"/>
        <v>5050</v>
      </c>
      <c r="B6" s="71">
        <f t="shared" si="8"/>
        <v>1.9918737856830548E-27</v>
      </c>
      <c r="C6" s="71">
        <f t="shared" si="9"/>
        <v>2.5749188989956923E-27</v>
      </c>
      <c r="D6" s="177">
        <f t="shared" si="104"/>
        <v>2</v>
      </c>
      <c r="G6" s="18">
        <f>IF(G$3="","",ROUND(F5*DownMove,RoundDigits))</f>
        <v>89.524729912799998</v>
      </c>
      <c r="H6" s="17">
        <f t="shared" ref="H6" si="106">IF(H$3="","",ROUND(G6*UpMove,RoundDigits))</f>
        <v>92.234872697100002</v>
      </c>
      <c r="I6" s="17">
        <f t="shared" si="10"/>
        <v>95.027058442300003</v>
      </c>
      <c r="J6" s="17">
        <f t="shared" si="10"/>
        <v>97.903770798799997</v>
      </c>
      <c r="K6" s="17">
        <f t="shared" si="10"/>
        <v>100.86756860360001</v>
      </c>
      <c r="L6" s="17">
        <f t="shared" si="10"/>
        <v>103.9210881561</v>
      </c>
      <c r="M6" s="17">
        <f t="shared" si="10"/>
        <v>107.0670455634</v>
      </c>
      <c r="N6" s="17">
        <f t="shared" si="11"/>
        <v>110.308239156</v>
      </c>
      <c r="O6" s="17">
        <f t="shared" si="12"/>
        <v>113.64755197709999</v>
      </c>
      <c r="P6" s="17">
        <f t="shared" si="13"/>
        <v>117.08795434690001</v>
      </c>
      <c r="Q6" s="17">
        <f t="shared" si="14"/>
        <v>120.63250650489999</v>
      </c>
      <c r="R6" s="17">
        <f t="shared" si="15"/>
        <v>124.2843613318</v>
      </c>
      <c r="S6" s="17">
        <f t="shared" si="16"/>
        <v>128.04676715420001</v>
      </c>
      <c r="T6" s="17">
        <f t="shared" si="17"/>
        <v>131.92307063370001</v>
      </c>
      <c r="U6" s="17">
        <f t="shared" si="18"/>
        <v>135.91671974400001</v>
      </c>
      <c r="V6" s="17">
        <f t="shared" si="19"/>
        <v>140.03126683779999</v>
      </c>
      <c r="W6" s="17">
        <f t="shared" si="20"/>
        <v>144.2703718066</v>
      </c>
      <c r="X6" s="17">
        <f t="shared" si="21"/>
        <v>148.63780533619999</v>
      </c>
      <c r="Y6" s="17">
        <f t="shared" si="22"/>
        <v>153.13745226060001</v>
      </c>
      <c r="Z6" s="17">
        <f t="shared" si="23"/>
        <v>157.77331501789999</v>
      </c>
      <c r="AA6" s="17">
        <f t="shared" si="24"/>
        <v>162.54951721</v>
      </c>
      <c r="AB6" s="17">
        <f t="shared" si="25"/>
        <v>167.470307271</v>
      </c>
      <c r="AC6" s="17">
        <f t="shared" si="26"/>
        <v>172.54006224579999</v>
      </c>
      <c r="AD6" s="17">
        <f t="shared" si="27"/>
        <v>177.7632916837</v>
      </c>
      <c r="AE6" s="17">
        <f t="shared" si="28"/>
        <v>183.14464164980001</v>
      </c>
      <c r="AF6" s="17">
        <f t="shared" si="29"/>
        <v>188.6888988572</v>
      </c>
      <c r="AG6" s="17">
        <f t="shared" si="30"/>
        <v>194.4009949252</v>
      </c>
      <c r="AH6" s="17">
        <f t="shared" si="31"/>
        <v>200.2860107658</v>
      </c>
      <c r="AI6" s="17">
        <f t="shared" si="32"/>
        <v>206.3491811033</v>
      </c>
      <c r="AJ6" s="17">
        <f t="shared" si="33"/>
        <v>212.5958991304</v>
      </c>
      <c r="AK6" s="17">
        <f t="shared" si="34"/>
        <v>219.03172130569999</v>
      </c>
      <c r="AL6" s="17">
        <f t="shared" si="35"/>
        <v>225.6623722958</v>
      </c>
      <c r="AM6" s="17">
        <f t="shared" si="36"/>
        <v>232.49375006779999</v>
      </c>
      <c r="AN6" s="17">
        <f t="shared" si="37"/>
        <v>239.53193113539999</v>
      </c>
      <c r="AO6" s="17">
        <f t="shared" si="38"/>
        <v>246.78317596369999</v>
      </c>
      <c r="AP6" s="17">
        <f t="shared" si="39"/>
        <v>254.2539345383</v>
      </c>
      <c r="AQ6" s="17">
        <f t="shared" si="40"/>
        <v>261.95085210230002</v>
      </c>
      <c r="AR6" s="17">
        <f t="shared" si="41"/>
        <v>269.88077506740001</v>
      </c>
      <c r="AS6" s="17">
        <f t="shared" si="42"/>
        <v>278.05075710360001</v>
      </c>
      <c r="AT6" s="17">
        <f t="shared" si="43"/>
        <v>286.46806541360002</v>
      </c>
      <c r="AU6" s="17">
        <f t="shared" si="44"/>
        <v>295.1401871969</v>
      </c>
      <c r="AV6" s="17">
        <f t="shared" si="45"/>
        <v>304.07483630979999</v>
      </c>
      <c r="AW6" s="17">
        <f t="shared" si="46"/>
        <v>313.27996012670002</v>
      </c>
      <c r="AX6" s="17">
        <f t="shared" si="47"/>
        <v>322.76374660940002</v>
      </c>
      <c r="AY6" s="17">
        <f t="shared" si="48"/>
        <v>332.53463159019998</v>
      </c>
      <c r="AZ6" s="17">
        <f t="shared" si="49"/>
        <v>342.60130627580003</v>
      </c>
      <c r="BA6" s="17">
        <f t="shared" si="50"/>
        <v>352.9727249778</v>
      </c>
      <c r="BB6" s="17">
        <f t="shared" si="51"/>
        <v>363.65811307780001</v>
      </c>
      <c r="BC6" s="17">
        <f t="shared" si="52"/>
        <v>374.66697523340002</v>
      </c>
      <c r="BD6" s="17">
        <f t="shared" si="53"/>
        <v>386.0091038324</v>
      </c>
      <c r="BE6" s="17">
        <f t="shared" si="54"/>
        <v>397.69458770329999</v>
      </c>
      <c r="BF6" s="17">
        <f t="shared" si="55"/>
        <v>409.73382108930002</v>
      </c>
      <c r="BG6" s="17">
        <f t="shared" si="56"/>
        <v>422.13751289390001</v>
      </c>
      <c r="BH6" s="17">
        <f t="shared" si="57"/>
        <v>434.91669620649998</v>
      </c>
      <c r="BI6" s="17">
        <f t="shared" si="58"/>
        <v>448.08273811650002</v>
      </c>
      <c r="BJ6" s="17">
        <f t="shared" si="59"/>
        <v>461.64734982409999</v>
      </c>
      <c r="BK6" s="17">
        <f t="shared" si="60"/>
        <v>475.6225970575</v>
      </c>
      <c r="BL6" s="17">
        <f t="shared" si="61"/>
        <v>490.02091080539998</v>
      </c>
      <c r="BM6" s="17">
        <f t="shared" si="62"/>
        <v>504.85509837439997</v>
      </c>
      <c r="BN6" s="17">
        <f t="shared" si="63"/>
        <v>520.13835478110002</v>
      </c>
      <c r="BO6" s="17">
        <f t="shared" si="64"/>
        <v>535.88427448890002</v>
      </c>
      <c r="BP6" s="17">
        <f t="shared" si="65"/>
        <v>552.10686350050003</v>
      </c>
      <c r="BQ6" s="17">
        <f t="shared" si="66"/>
        <v>568.82055181609996</v>
      </c>
      <c r="BR6" s="17">
        <f t="shared" si="67"/>
        <v>586.04020626900001</v>
      </c>
      <c r="BS6" s="17">
        <f t="shared" si="68"/>
        <v>603.78114374960001</v>
      </c>
      <c r="BT6" s="17">
        <f t="shared" si="69"/>
        <v>622.05914482979995</v>
      </c>
      <c r="BU6" s="17">
        <f t="shared" si="70"/>
        <v>640.89046779980004</v>
      </c>
      <c r="BV6" s="17">
        <f t="shared" si="71"/>
        <v>660.29186312989998</v>
      </c>
      <c r="BW6" s="17">
        <f t="shared" si="72"/>
        <v>680.28058837000003</v>
      </c>
      <c r="BX6" s="17">
        <f t="shared" si="73"/>
        <v>700.87442350020001</v>
      </c>
      <c r="BY6" s="17">
        <f t="shared" si="74"/>
        <v>722.09168674609998</v>
      </c>
      <c r="BZ6" s="17">
        <f t="shared" si="75"/>
        <v>743.9512508729</v>
      </c>
      <c r="CA6" s="17">
        <f t="shared" si="76"/>
        <v>766.47255997280001</v>
      </c>
      <c r="CB6" s="17">
        <f t="shared" si="77"/>
        <v>789.67564676040001</v>
      </c>
      <c r="CC6" s="17">
        <f t="shared" si="78"/>
        <v>813.5811503919</v>
      </c>
      <c r="CD6" s="17">
        <f t="shared" si="79"/>
        <v>838.21033482350003</v>
      </c>
      <c r="CE6" s="17">
        <f t="shared" si="80"/>
        <v>863.58510772579996</v>
      </c>
      <c r="CF6" s="17">
        <f t="shared" si="81"/>
        <v>889.72803997079995</v>
      </c>
      <c r="CG6" s="17">
        <f t="shared" si="82"/>
        <v>916.66238570860003</v>
      </c>
      <c r="CH6" s="17">
        <f t="shared" si="83"/>
        <v>944.41210305180005</v>
      </c>
      <c r="CI6" s="17">
        <f t="shared" si="84"/>
        <v>973.0018753864</v>
      </c>
      <c r="CJ6" s="17">
        <f t="shared" si="85"/>
        <v>1002.4571333279</v>
      </c>
      <c r="CK6" s="17">
        <f t="shared" si="86"/>
        <v>1032.8040773415</v>
      </c>
      <c r="CL6" s="17">
        <f t="shared" si="87"/>
        <v>1064.0697010475999</v>
      </c>
      <c r="CM6" s="17">
        <f t="shared" si="88"/>
        <v>1096.2818152325999</v>
      </c>
      <c r="CN6" s="17">
        <f t="shared" si="89"/>
        <v>1129.4690725865</v>
      </c>
      <c r="CO6" s="17">
        <f t="shared" si="90"/>
        <v>1163.6609931897001</v>
      </c>
      <c r="CP6" s="17">
        <f t="shared" si="91"/>
        <v>1198.8879907711</v>
      </c>
      <c r="CQ6" s="17">
        <f t="shared" si="92"/>
        <v>1235.1813997608001</v>
      </c>
      <c r="CR6" s="17">
        <f t="shared" si="93"/>
        <v>1272.5735031624999</v>
      </c>
      <c r="CS6" s="17">
        <f t="shared" si="94"/>
        <v>1311.0975612691</v>
      </c>
      <c r="CT6" s="17">
        <f t="shared" si="95"/>
        <v>1350.7878412476</v>
      </c>
      <c r="CU6" s="17">
        <f t="shared" si="96"/>
        <v>1391.6796476198999</v>
      </c>
      <c r="CV6" s="17">
        <f t="shared" si="97"/>
        <v>1433.8093536663</v>
      </c>
      <c r="CW6" s="17">
        <f t="shared" si="98"/>
        <v>1477.2144337793</v>
      </c>
      <c r="CX6" s="17">
        <f t="shared" si="99"/>
        <v>1521.9334967972</v>
      </c>
      <c r="CY6" s="17">
        <f t="shared" si="100"/>
        <v>1568.0063203467</v>
      </c>
      <c r="CZ6" s="17">
        <f t="shared" si="101"/>
        <v>1615.4738862250999</v>
      </c>
      <c r="DA6" s="17">
        <f t="shared" si="102"/>
        <v>1664.3784168536999</v>
      </c>
      <c r="DB6" s="17">
        <f t="shared" si="103"/>
        <v>1714.7634128346001</v>
      </c>
    </row>
    <row r="7" spans="1:106" x14ac:dyDescent="0.2">
      <c r="A7">
        <f t="shared" si="7"/>
        <v>166650.00000000003</v>
      </c>
      <c r="B7" s="71">
        <f t="shared" si="8"/>
        <v>6.573183492754082E-26</v>
      </c>
      <c r="C7" s="71">
        <f t="shared" si="9"/>
        <v>8.4523079760750282E-26</v>
      </c>
      <c r="D7" s="177">
        <f t="shared" si="104"/>
        <v>3</v>
      </c>
      <c r="H7" s="18">
        <f>IF(H$3="","",ROUND(G6*DownMove,RoundDigits))</f>
        <v>86.894671895900004</v>
      </c>
      <c r="I7" s="17">
        <f t="shared" si="10"/>
        <v>89.5251960903</v>
      </c>
      <c r="J7" s="17">
        <f t="shared" si="10"/>
        <v>92.235352986999999</v>
      </c>
      <c r="K7" s="17">
        <f t="shared" si="10"/>
        <v>95.027553271800002</v>
      </c>
      <c r="L7" s="17">
        <f t="shared" si="10"/>
        <v>97.904280608099995</v>
      </c>
      <c r="M7" s="17">
        <f t="shared" si="10"/>
        <v>100.8680938461</v>
      </c>
      <c r="N7" s="17">
        <f t="shared" si="11"/>
        <v>103.9216292991</v>
      </c>
      <c r="O7" s="17">
        <f t="shared" si="12"/>
        <v>107.0676030882</v>
      </c>
      <c r="P7" s="17">
        <f t="shared" si="13"/>
        <v>110.30881355850001</v>
      </c>
      <c r="Q7" s="17">
        <f t="shared" si="14"/>
        <v>113.6481437682</v>
      </c>
      <c r="R7" s="17">
        <f t="shared" si="15"/>
        <v>117.088564053</v>
      </c>
      <c r="S7" s="17">
        <f t="shared" si="16"/>
        <v>120.6331346684</v>
      </c>
      <c r="T7" s="17">
        <f t="shared" si="17"/>
        <v>124.28500851139999</v>
      </c>
      <c r="U7" s="17">
        <f t="shared" si="18"/>
        <v>128.0474339255</v>
      </c>
      <c r="V7" s="17">
        <f t="shared" si="19"/>
        <v>131.92375758989999</v>
      </c>
      <c r="W7" s="17">
        <f t="shared" si="20"/>
        <v>135.9174274961</v>
      </c>
      <c r="X7" s="17">
        <f t="shared" si="21"/>
        <v>140.03199601540001</v>
      </c>
      <c r="Y7" s="17">
        <f t="shared" si="22"/>
        <v>144.27112305829999</v>
      </c>
      <c r="Z7" s="17">
        <f t="shared" si="23"/>
        <v>148.6385793302</v>
      </c>
      <c r="AA7" s="17">
        <f t="shared" si="24"/>
        <v>153.13824968540001</v>
      </c>
      <c r="AB7" s="17">
        <f t="shared" si="25"/>
        <v>157.77413658270001</v>
      </c>
      <c r="AC7" s="17">
        <f t="shared" si="26"/>
        <v>162.5503636457</v>
      </c>
      <c r="AD7" s="17">
        <f t="shared" si="27"/>
        <v>167.47117933039999</v>
      </c>
      <c r="AE7" s="17">
        <f t="shared" si="28"/>
        <v>172.54096070470001</v>
      </c>
      <c r="AF7" s="17">
        <f t="shared" si="29"/>
        <v>177.7642173413</v>
      </c>
      <c r="AG7" s="17">
        <f t="shared" si="30"/>
        <v>183.14559532940001</v>
      </c>
      <c r="AH7" s="17">
        <f t="shared" si="31"/>
        <v>188.68988140709999</v>
      </c>
      <c r="AI7" s="17">
        <f t="shared" si="32"/>
        <v>194.40200721939999</v>
      </c>
      <c r="AJ7" s="17">
        <f t="shared" si="33"/>
        <v>200.2870537048</v>
      </c>
      <c r="AK7" s="17">
        <f t="shared" si="34"/>
        <v>206.35025561469999</v>
      </c>
      <c r="AL7" s="17">
        <f t="shared" si="35"/>
        <v>212.5970061701</v>
      </c>
      <c r="AM7" s="17">
        <f t="shared" si="36"/>
        <v>219.03286185830001</v>
      </c>
      <c r="AN7" s="17">
        <f t="shared" si="37"/>
        <v>225.66354737590001</v>
      </c>
      <c r="AO7" s="17">
        <f t="shared" si="38"/>
        <v>232.49496072060001</v>
      </c>
      <c r="AP7" s="17">
        <f t="shared" si="39"/>
        <v>239.5331784377</v>
      </c>
      <c r="AQ7" s="17">
        <f t="shared" si="40"/>
        <v>246.78446102500001</v>
      </c>
      <c r="AR7" s="17">
        <f t="shared" si="41"/>
        <v>254.25525850170001</v>
      </c>
      <c r="AS7" s="17">
        <f t="shared" si="42"/>
        <v>261.95221614550002</v>
      </c>
      <c r="AT7" s="17">
        <f t="shared" si="43"/>
        <v>269.88218040359999</v>
      </c>
      <c r="AU7" s="17">
        <f t="shared" si="44"/>
        <v>278.05220498289998</v>
      </c>
      <c r="AV7" s="17">
        <f t="shared" si="45"/>
        <v>286.46955712390002</v>
      </c>
      <c r="AW7" s="17">
        <f t="shared" si="46"/>
        <v>295.14172406509999</v>
      </c>
      <c r="AX7" s="17">
        <f t="shared" si="47"/>
        <v>304.076419703</v>
      </c>
      <c r="AY7" s="17">
        <f t="shared" si="48"/>
        <v>313.2815914533</v>
      </c>
      <c r="AZ7" s="17">
        <f t="shared" si="49"/>
        <v>322.76542732040002</v>
      </c>
      <c r="BA7" s="17">
        <f t="shared" si="50"/>
        <v>332.53636318069999</v>
      </c>
      <c r="BB7" s="17">
        <f t="shared" si="51"/>
        <v>342.603090286</v>
      </c>
      <c r="BC7" s="17">
        <f t="shared" si="52"/>
        <v>352.97456299449999</v>
      </c>
      <c r="BD7" s="17">
        <f t="shared" si="53"/>
        <v>363.66000673600001</v>
      </c>
      <c r="BE7" s="17">
        <f t="shared" si="54"/>
        <v>374.66892621739999</v>
      </c>
      <c r="BF7" s="17">
        <f t="shared" si="55"/>
        <v>386.0111138776</v>
      </c>
      <c r="BG7" s="17">
        <f t="shared" si="56"/>
        <v>397.69665859769998</v>
      </c>
      <c r="BH7" s="17">
        <f t="shared" si="57"/>
        <v>409.73595467489997</v>
      </c>
      <c r="BI7" s="17">
        <f t="shared" si="58"/>
        <v>422.13971106859998</v>
      </c>
      <c r="BJ7" s="17">
        <f t="shared" si="59"/>
        <v>434.9189609256</v>
      </c>
      <c r="BK7" s="17">
        <f t="shared" si="60"/>
        <v>448.08507139440002</v>
      </c>
      <c r="BL7" s="17">
        <f t="shared" si="61"/>
        <v>461.6497537363</v>
      </c>
      <c r="BM7" s="17">
        <f t="shared" si="62"/>
        <v>475.6250737423</v>
      </c>
      <c r="BN7" s="17">
        <f t="shared" si="63"/>
        <v>490.02346246579998</v>
      </c>
      <c r="BO7" s="17">
        <f t="shared" si="64"/>
        <v>504.85772728009999</v>
      </c>
      <c r="BP7" s="17">
        <f t="shared" si="65"/>
        <v>520.14106327050001</v>
      </c>
      <c r="BQ7" s="17">
        <f t="shared" si="66"/>
        <v>535.88706497119995</v>
      </c>
      <c r="BR7" s="17">
        <f t="shared" si="67"/>
        <v>552.10973845779995</v>
      </c>
      <c r="BS7" s="17">
        <f t="shared" si="68"/>
        <v>568.82351380570003</v>
      </c>
      <c r="BT7" s="17">
        <f t="shared" si="69"/>
        <v>586.04325792559996</v>
      </c>
      <c r="BU7" s="17">
        <f t="shared" si="70"/>
        <v>603.78428778770001</v>
      </c>
      <c r="BV7" s="17">
        <f t="shared" si="71"/>
        <v>622.06238404600003</v>
      </c>
      <c r="BW7" s="17">
        <f t="shared" si="72"/>
        <v>640.8938050754</v>
      </c>
      <c r="BX7" s="17">
        <f t="shared" si="73"/>
        <v>660.29530143340003</v>
      </c>
      <c r="BY7" s="17">
        <f t="shared" si="74"/>
        <v>680.28413075970002</v>
      </c>
      <c r="BZ7" s="17">
        <f t="shared" si="75"/>
        <v>700.87807312710004</v>
      </c>
      <c r="CA7" s="17">
        <f t="shared" si="76"/>
        <v>722.09544685649996</v>
      </c>
      <c r="CB7" s="17">
        <f t="shared" si="77"/>
        <v>743.95512481150001</v>
      </c>
      <c r="CC7" s="17">
        <f t="shared" si="78"/>
        <v>766.47655118550006</v>
      </c>
      <c r="CD7" s="17">
        <f t="shared" si="79"/>
        <v>789.6797587973</v>
      </c>
      <c r="CE7" s="17">
        <f t="shared" si="80"/>
        <v>813.58538691060005</v>
      </c>
      <c r="CF7" s="17">
        <f t="shared" si="81"/>
        <v>838.21469959240005</v>
      </c>
      <c r="CG7" s="17">
        <f t="shared" si="82"/>
        <v>863.58960462749997</v>
      </c>
      <c r="CH7" s="17">
        <f t="shared" si="83"/>
        <v>889.73267300529994</v>
      </c>
      <c r="CI7" s="17">
        <f t="shared" si="84"/>
        <v>916.66715899689996</v>
      </c>
      <c r="CJ7" s="17">
        <f t="shared" si="85"/>
        <v>944.41702083969994</v>
      </c>
      <c r="CK7" s="17">
        <f t="shared" si="86"/>
        <v>973.00694204839999</v>
      </c>
      <c r="CL7" s="17">
        <f t="shared" si="87"/>
        <v>1002.4623533708</v>
      </c>
      <c r="CM7" s="17">
        <f t="shared" si="88"/>
        <v>1032.8094554085001</v>
      </c>
      <c r="CN7" s="17">
        <f t="shared" si="89"/>
        <v>1064.0752419224</v>
      </c>
      <c r="CO7" s="17">
        <f t="shared" si="90"/>
        <v>1096.2875238438</v>
      </c>
      <c r="CP7" s="17">
        <f t="shared" si="91"/>
        <v>1129.4749540119999</v>
      </c>
      <c r="CQ7" s="17">
        <f t="shared" si="92"/>
        <v>1163.6670526610001</v>
      </c>
      <c r="CR7" s="17">
        <f t="shared" si="93"/>
        <v>1198.8942336780999</v>
      </c>
      <c r="CS7" s="17">
        <f t="shared" si="94"/>
        <v>1235.1878316566001</v>
      </c>
      <c r="CT7" s="17">
        <f t="shared" si="95"/>
        <v>1272.5801297682999</v>
      </c>
      <c r="CU7" s="17">
        <f t="shared" si="96"/>
        <v>1311.1043884792</v>
      </c>
      <c r="CV7" s="17">
        <f t="shared" si="97"/>
        <v>1350.7948751347999</v>
      </c>
      <c r="CW7" s="17">
        <f t="shared" si="98"/>
        <v>1391.6868944409</v>
      </c>
      <c r="CX7" s="17">
        <f t="shared" si="99"/>
        <v>1433.8168198671001</v>
      </c>
      <c r="CY7" s="17">
        <f t="shared" si="100"/>
        <v>1477.2221260010999</v>
      </c>
      <c r="CZ7" s="17">
        <f t="shared" si="101"/>
        <v>1521.9414218822001</v>
      </c>
      <c r="DA7" s="17">
        <f t="shared" si="102"/>
        <v>1568.0144853443001</v>
      </c>
      <c r="DB7" s="17">
        <f t="shared" si="103"/>
        <v>1615.4822983981001</v>
      </c>
    </row>
    <row r="8" spans="1:106" x14ac:dyDescent="0.2">
      <c r="A8">
        <f t="shared" si="7"/>
        <v>4082925</v>
      </c>
      <c r="B8" s="71">
        <f t="shared" si="8"/>
        <v>1.6104299557247498E-24</v>
      </c>
      <c r="C8" s="71">
        <f t="shared" si="9"/>
        <v>2.0598671690580257E-24</v>
      </c>
      <c r="D8" s="177">
        <f t="shared" si="104"/>
        <v>4</v>
      </c>
      <c r="I8" s="18">
        <f>IF(I$3="","",ROUND(H7*DownMove,RoundDigits))</f>
        <v>84.341879738100005</v>
      </c>
      <c r="J8" s="17">
        <f t="shared" si="10"/>
        <v>86.895124378000006</v>
      </c>
      <c r="K8" s="17">
        <f t="shared" si="10"/>
        <v>89.525662270200002</v>
      </c>
      <c r="L8" s="17">
        <f t="shared" si="10"/>
        <v>92.235833279399998</v>
      </c>
      <c r="M8" s="17">
        <f t="shared" si="10"/>
        <v>95.028048103900005</v>
      </c>
      <c r="N8" s="17">
        <f t="shared" si="11"/>
        <v>97.904790419999998</v>
      </c>
      <c r="O8" s="17">
        <f t="shared" si="12"/>
        <v>100.8686190913</v>
      </c>
      <c r="P8" s="17">
        <f t="shared" si="13"/>
        <v>103.9221704448</v>
      </c>
      <c r="Q8" s="17">
        <f t="shared" si="14"/>
        <v>107.0681606158</v>
      </c>
      <c r="R8" s="17">
        <f t="shared" si="15"/>
        <v>110.30938796389999</v>
      </c>
      <c r="S8" s="17">
        <f t="shared" si="16"/>
        <v>113.6487355623</v>
      </c>
      <c r="T8" s="17">
        <f t="shared" si="17"/>
        <v>117.08917376230001</v>
      </c>
      <c r="U8" s="17">
        <f t="shared" si="18"/>
        <v>120.6337628351</v>
      </c>
      <c r="V8" s="17">
        <f t="shared" si="19"/>
        <v>124.28565569440001</v>
      </c>
      <c r="W8" s="17">
        <f t="shared" si="20"/>
        <v>128.0481007004</v>
      </c>
      <c r="X8" s="17">
        <f t="shared" si="21"/>
        <v>131.92444454970001</v>
      </c>
      <c r="Y8" s="17">
        <f t="shared" si="22"/>
        <v>135.91813525200001</v>
      </c>
      <c r="Z8" s="17">
        <f t="shared" si="23"/>
        <v>140.03272519679999</v>
      </c>
      <c r="AA8" s="17">
        <f t="shared" si="24"/>
        <v>144.2718743138</v>
      </c>
      <c r="AB8" s="17">
        <f t="shared" si="25"/>
        <v>148.63935332809999</v>
      </c>
      <c r="AC8" s="17">
        <f t="shared" si="26"/>
        <v>153.1390471142</v>
      </c>
      <c r="AD8" s="17">
        <f t="shared" si="27"/>
        <v>157.77495815180001</v>
      </c>
      <c r="AE8" s="17">
        <f t="shared" si="28"/>
        <v>162.55121008579999</v>
      </c>
      <c r="AF8" s="17">
        <f t="shared" si="29"/>
        <v>167.47205139440001</v>
      </c>
      <c r="AG8" s="17">
        <f t="shared" si="30"/>
        <v>172.54185916829999</v>
      </c>
      <c r="AH8" s="17">
        <f t="shared" si="31"/>
        <v>177.76514300369999</v>
      </c>
      <c r="AI8" s="17">
        <f t="shared" si="32"/>
        <v>183.1465490139</v>
      </c>
      <c r="AJ8" s="17">
        <f t="shared" si="33"/>
        <v>188.6908639621</v>
      </c>
      <c r="AK8" s="17">
        <f t="shared" si="34"/>
        <v>194.40301951879999</v>
      </c>
      <c r="AL8" s="17">
        <f t="shared" si="35"/>
        <v>200.2880966491</v>
      </c>
      <c r="AM8" s="17">
        <f t="shared" si="36"/>
        <v>206.35133013160001</v>
      </c>
      <c r="AN8" s="17">
        <f t="shared" si="37"/>
        <v>212.5981132153</v>
      </c>
      <c r="AO8" s="17">
        <f t="shared" si="38"/>
        <v>219.0340024166</v>
      </c>
      <c r="AP8" s="17">
        <f t="shared" si="39"/>
        <v>225.66472246180001</v>
      </c>
      <c r="AQ8" s="17">
        <f t="shared" si="40"/>
        <v>232.49617137940001</v>
      </c>
      <c r="AR8" s="17">
        <f t="shared" si="41"/>
        <v>239.5344257463</v>
      </c>
      <c r="AS8" s="17">
        <f t="shared" si="42"/>
        <v>246.78574609290001</v>
      </c>
      <c r="AT8" s="17">
        <f t="shared" si="43"/>
        <v>254.2565824719</v>
      </c>
      <c r="AU8" s="17">
        <f t="shared" si="44"/>
        <v>261.95358019560001</v>
      </c>
      <c r="AV8" s="17">
        <f t="shared" si="45"/>
        <v>269.88358574699998</v>
      </c>
      <c r="AW8" s="17">
        <f t="shared" si="46"/>
        <v>278.0536528696</v>
      </c>
      <c r="AX8" s="17">
        <f t="shared" si="47"/>
        <v>286.47104884179998</v>
      </c>
      <c r="AY8" s="17">
        <f t="shared" si="48"/>
        <v>295.14326094109998</v>
      </c>
      <c r="AZ8" s="17">
        <f t="shared" si="49"/>
        <v>304.07800310409999</v>
      </c>
      <c r="BA8" s="17">
        <f t="shared" si="50"/>
        <v>313.28322278799999</v>
      </c>
      <c r="BB8" s="17">
        <f t="shared" si="51"/>
        <v>322.76710803980001</v>
      </c>
      <c r="BC8" s="17">
        <f t="shared" si="52"/>
        <v>332.53809477980002</v>
      </c>
      <c r="BD8" s="17">
        <f t="shared" si="53"/>
        <v>342.60487430500001</v>
      </c>
      <c r="BE8" s="17">
        <f t="shared" si="54"/>
        <v>352.97640102039998</v>
      </c>
      <c r="BF8" s="17">
        <f t="shared" si="55"/>
        <v>363.66190040359999</v>
      </c>
      <c r="BG8" s="17">
        <f t="shared" si="56"/>
        <v>374.67087721119998</v>
      </c>
      <c r="BH8" s="17">
        <f t="shared" si="57"/>
        <v>386.01312393299997</v>
      </c>
      <c r="BI8" s="17">
        <f t="shared" si="58"/>
        <v>397.69872950259997</v>
      </c>
      <c r="BJ8" s="17">
        <f t="shared" si="59"/>
        <v>409.73808827139999</v>
      </c>
      <c r="BK8" s="17">
        <f t="shared" si="60"/>
        <v>422.14190925449998</v>
      </c>
      <c r="BL8" s="17">
        <f t="shared" si="61"/>
        <v>434.92122565620002</v>
      </c>
      <c r="BM8" s="17">
        <f t="shared" si="62"/>
        <v>448.08740468420001</v>
      </c>
      <c r="BN8" s="17">
        <f t="shared" si="63"/>
        <v>461.65215766070003</v>
      </c>
      <c r="BO8" s="17">
        <f t="shared" si="64"/>
        <v>475.62755043959999</v>
      </c>
      <c r="BP8" s="17">
        <f t="shared" si="65"/>
        <v>490.02601413910003</v>
      </c>
      <c r="BQ8" s="17">
        <f t="shared" si="66"/>
        <v>504.86035619910001</v>
      </c>
      <c r="BR8" s="17">
        <f t="shared" si="67"/>
        <v>520.14377177359995</v>
      </c>
      <c r="BS8" s="17">
        <f t="shared" si="68"/>
        <v>535.8898554676</v>
      </c>
      <c r="BT8" s="17">
        <f t="shared" si="69"/>
        <v>552.11261342969999</v>
      </c>
      <c r="BU8" s="17">
        <f t="shared" si="70"/>
        <v>568.82647581039998</v>
      </c>
      <c r="BV8" s="17">
        <f t="shared" si="71"/>
        <v>586.04630959780002</v>
      </c>
      <c r="BW8" s="17">
        <f t="shared" si="72"/>
        <v>603.78743184179996</v>
      </c>
      <c r="BX8" s="17">
        <f t="shared" si="73"/>
        <v>622.06562327869995</v>
      </c>
      <c r="BY8" s="17">
        <f t="shared" si="74"/>
        <v>640.897142368</v>
      </c>
      <c r="BZ8" s="17">
        <f t="shared" si="75"/>
        <v>660.2987397544</v>
      </c>
      <c r="CA8" s="17">
        <f t="shared" si="76"/>
        <v>680.28767316749997</v>
      </c>
      <c r="CB8" s="17">
        <f t="shared" si="77"/>
        <v>700.88172277260003</v>
      </c>
      <c r="CC8" s="17">
        <f t="shared" si="78"/>
        <v>722.09920698609994</v>
      </c>
      <c r="CD8" s="17">
        <f t="shared" si="79"/>
        <v>743.95899876980002</v>
      </c>
      <c r="CE8" s="17">
        <f t="shared" si="80"/>
        <v>766.48054241839998</v>
      </c>
      <c r="CF8" s="17">
        <f t="shared" si="81"/>
        <v>789.68387085510005</v>
      </c>
      <c r="CG8" s="17">
        <f t="shared" si="82"/>
        <v>813.58962345099997</v>
      </c>
      <c r="CH8" s="17">
        <f t="shared" si="83"/>
        <v>838.21906438379995</v>
      </c>
      <c r="CI8" s="17">
        <f t="shared" si="84"/>
        <v>863.5941015523</v>
      </c>
      <c r="CJ8" s="17">
        <f t="shared" si="85"/>
        <v>889.7373060635</v>
      </c>
      <c r="CK8" s="17">
        <f t="shared" si="86"/>
        <v>916.67193230960004</v>
      </c>
      <c r="CL8" s="17">
        <f t="shared" si="87"/>
        <v>944.42193865280001</v>
      </c>
      <c r="CM8" s="17">
        <f t="shared" si="88"/>
        <v>973.0120087363</v>
      </c>
      <c r="CN8" s="17">
        <f t="shared" si="89"/>
        <v>1002.4675734403</v>
      </c>
      <c r="CO8" s="17">
        <f t="shared" si="90"/>
        <v>1032.8148335028</v>
      </c>
      <c r="CP8" s="17">
        <f t="shared" si="91"/>
        <v>1064.0807828254001</v>
      </c>
      <c r="CQ8" s="17">
        <f t="shared" si="92"/>
        <v>1096.2932324840999</v>
      </c>
      <c r="CR8" s="17">
        <f t="shared" si="93"/>
        <v>1129.4808354674001</v>
      </c>
      <c r="CS8" s="17">
        <f t="shared" si="94"/>
        <v>1163.6731121631999</v>
      </c>
      <c r="CT8" s="17">
        <f t="shared" si="95"/>
        <v>1198.9004766169001</v>
      </c>
      <c r="CU8" s="17">
        <f t="shared" si="96"/>
        <v>1235.1942635851001</v>
      </c>
      <c r="CV8" s="17">
        <f t="shared" si="97"/>
        <v>1272.5867564077</v>
      </c>
      <c r="CW8" s="17">
        <f t="shared" si="98"/>
        <v>1311.1112157238999</v>
      </c>
      <c r="CX8" s="17">
        <f t="shared" si="99"/>
        <v>1350.8019090577</v>
      </c>
      <c r="CY8" s="17">
        <f t="shared" si="100"/>
        <v>1391.6941412987001</v>
      </c>
      <c r="CZ8" s="17">
        <f t="shared" si="101"/>
        <v>1433.8242861059</v>
      </c>
      <c r="DA8" s="17">
        <f t="shared" si="102"/>
        <v>1477.229818262</v>
      </c>
      <c r="DB8" s="17">
        <f t="shared" si="103"/>
        <v>1521.9493470074999</v>
      </c>
    </row>
    <row r="9" spans="1:106" x14ac:dyDescent="0.2">
      <c r="A9">
        <f t="shared" si="7"/>
        <v>79208745</v>
      </c>
      <c r="B9" s="71">
        <f t="shared" si="8"/>
        <v>3.1242341141060146E-23</v>
      </c>
      <c r="C9" s="71">
        <f t="shared" si="9"/>
        <v>3.9750149278760359E-23</v>
      </c>
      <c r="D9" s="177">
        <f t="shared" si="104"/>
        <v>5</v>
      </c>
      <c r="J9" s="18">
        <f>IF(J$3="","",ROUND(I8*DownMove,RoundDigits))</f>
        <v>81.8640835227</v>
      </c>
      <c r="K9" s="17">
        <f t="shared" ref="K9:M11" si="107">IF(K$3="","",ROUND(J9*UpMove,RoundDigits))</f>
        <v>84.342318927299999</v>
      </c>
      <c r="L9" s="17">
        <f t="shared" si="107"/>
        <v>86.895576862599995</v>
      </c>
      <c r="M9" s="17">
        <f t="shared" si="107"/>
        <v>89.526128452699993</v>
      </c>
      <c r="N9" s="17">
        <f t="shared" si="11"/>
        <v>92.2363135744</v>
      </c>
      <c r="O9" s="17">
        <f t="shared" si="12"/>
        <v>95.028542938599998</v>
      </c>
      <c r="P9" s="17">
        <f t="shared" si="13"/>
        <v>97.905300234600006</v>
      </c>
      <c r="Q9" s="17">
        <f t="shared" si="14"/>
        <v>100.86914433929999</v>
      </c>
      <c r="R9" s="17">
        <f t="shared" si="15"/>
        <v>103.9227115934</v>
      </c>
      <c r="S9" s="17">
        <f t="shared" si="16"/>
        <v>107.0687181463</v>
      </c>
      <c r="T9" s="17">
        <f t="shared" si="17"/>
        <v>110.30996237230001</v>
      </c>
      <c r="U9" s="17">
        <f t="shared" si="18"/>
        <v>113.64932735959999</v>
      </c>
      <c r="V9" s="17">
        <f t="shared" si="19"/>
        <v>117.0897834748</v>
      </c>
      <c r="W9" s="17">
        <f t="shared" si="20"/>
        <v>120.6343910052</v>
      </c>
      <c r="X9" s="17">
        <f t="shared" si="21"/>
        <v>124.28630288079999</v>
      </c>
      <c r="Y9" s="17">
        <f t="shared" si="22"/>
        <v>128.04876747879999</v>
      </c>
      <c r="Z9" s="17">
        <f t="shared" si="23"/>
        <v>131.9251315132</v>
      </c>
      <c r="AA9" s="17">
        <f t="shared" si="24"/>
        <v>135.91884301159999</v>
      </c>
      <c r="AB9" s="17">
        <f t="shared" si="25"/>
        <v>140.03345438209999</v>
      </c>
      <c r="AC9" s="17">
        <f t="shared" si="26"/>
        <v>144.27262557340001</v>
      </c>
      <c r="AD9" s="17">
        <f t="shared" si="27"/>
        <v>148.64012733019999</v>
      </c>
      <c r="AE9" s="17">
        <f t="shared" si="28"/>
        <v>153.13984454729999</v>
      </c>
      <c r="AF9" s="17">
        <f t="shared" si="29"/>
        <v>157.77577972520001</v>
      </c>
      <c r="AG9" s="17">
        <f t="shared" si="30"/>
        <v>162.55205653030001</v>
      </c>
      <c r="AH9" s="17">
        <f t="shared" si="31"/>
        <v>167.472923463</v>
      </c>
      <c r="AI9" s="17">
        <f t="shared" si="32"/>
        <v>172.54275763659999</v>
      </c>
      <c r="AJ9" s="17">
        <f t="shared" si="33"/>
        <v>177.76606867090001</v>
      </c>
      <c r="AK9" s="17">
        <f t="shared" si="34"/>
        <v>183.14750270350001</v>
      </c>
      <c r="AL9" s="17">
        <f t="shared" si="35"/>
        <v>188.69184652230001</v>
      </c>
      <c r="AM9" s="17">
        <f t="shared" si="36"/>
        <v>194.4040318237</v>
      </c>
      <c r="AN9" s="17">
        <f t="shared" si="37"/>
        <v>200.28913959900001</v>
      </c>
      <c r="AO9" s="17">
        <f t="shared" si="38"/>
        <v>206.35240465429999</v>
      </c>
      <c r="AP9" s="17">
        <f t="shared" si="39"/>
        <v>212.59922026660001</v>
      </c>
      <c r="AQ9" s="17">
        <f t="shared" si="40"/>
        <v>219.03514298120001</v>
      </c>
      <c r="AR9" s="17">
        <f t="shared" si="41"/>
        <v>225.6658975542</v>
      </c>
      <c r="AS9" s="17">
        <f t="shared" si="42"/>
        <v>232.49738204479999</v>
      </c>
      <c r="AT9" s="17">
        <f t="shared" si="43"/>
        <v>239.53567306159999</v>
      </c>
      <c r="AU9" s="17">
        <f t="shared" si="44"/>
        <v>246.78703116759999</v>
      </c>
      <c r="AV9" s="17">
        <f t="shared" si="45"/>
        <v>254.25790644910001</v>
      </c>
      <c r="AW9" s="17">
        <f t="shared" si="46"/>
        <v>261.95494425300001</v>
      </c>
      <c r="AX9" s="17">
        <f t="shared" si="47"/>
        <v>269.88499109790001</v>
      </c>
      <c r="AY9" s="17">
        <f t="shared" si="48"/>
        <v>278.05510076410002</v>
      </c>
      <c r="AZ9" s="17">
        <f t="shared" si="49"/>
        <v>286.47254056780002</v>
      </c>
      <c r="BA9" s="17">
        <f t="shared" si="50"/>
        <v>295.14479782550001</v>
      </c>
      <c r="BB9" s="17">
        <f t="shared" si="51"/>
        <v>304.07958651400003</v>
      </c>
      <c r="BC9" s="17">
        <f t="shared" si="52"/>
        <v>313.28485413179999</v>
      </c>
      <c r="BD9" s="17">
        <f t="shared" si="53"/>
        <v>322.76878876860002</v>
      </c>
      <c r="BE9" s="17">
        <f t="shared" si="54"/>
        <v>332.53982638849999</v>
      </c>
      <c r="BF9" s="17">
        <f t="shared" si="55"/>
        <v>342.60665833389999</v>
      </c>
      <c r="BG9" s="17">
        <f t="shared" si="56"/>
        <v>352.97823905640001</v>
      </c>
      <c r="BH9" s="17">
        <f t="shared" si="57"/>
        <v>363.66379408170002</v>
      </c>
      <c r="BI9" s="17">
        <f t="shared" si="58"/>
        <v>374.6728282158</v>
      </c>
      <c r="BJ9" s="17">
        <f t="shared" si="59"/>
        <v>386.01513399949999</v>
      </c>
      <c r="BK9" s="17">
        <f t="shared" si="60"/>
        <v>397.70080041900002</v>
      </c>
      <c r="BL9" s="17">
        <f t="shared" si="61"/>
        <v>409.7402218798</v>
      </c>
      <c r="BM9" s="17">
        <f t="shared" si="62"/>
        <v>422.14410745269998</v>
      </c>
      <c r="BN9" s="17">
        <f t="shared" si="63"/>
        <v>434.9234903995</v>
      </c>
      <c r="BO9" s="17">
        <f t="shared" si="64"/>
        <v>448.08973798710002</v>
      </c>
      <c r="BP9" s="17">
        <f t="shared" si="65"/>
        <v>461.65456159870001</v>
      </c>
      <c r="BQ9" s="17">
        <f t="shared" si="66"/>
        <v>475.63002715099998</v>
      </c>
      <c r="BR9" s="17">
        <f t="shared" si="67"/>
        <v>490.02856582689998</v>
      </c>
      <c r="BS9" s="17">
        <f t="shared" si="68"/>
        <v>504.862985133</v>
      </c>
      <c r="BT9" s="17">
        <f t="shared" si="69"/>
        <v>520.14648029210002</v>
      </c>
      <c r="BU9" s="17">
        <f t="shared" si="70"/>
        <v>535.89264597989995</v>
      </c>
      <c r="BV9" s="17">
        <f t="shared" si="71"/>
        <v>552.1154884179</v>
      </c>
      <c r="BW9" s="17">
        <f t="shared" si="72"/>
        <v>568.82943783179996</v>
      </c>
      <c r="BX9" s="17">
        <f t="shared" si="73"/>
        <v>586.04936128710006</v>
      </c>
      <c r="BY9" s="17">
        <f t="shared" si="74"/>
        <v>603.79057591360004</v>
      </c>
      <c r="BZ9" s="17">
        <f t="shared" si="75"/>
        <v>622.06886252959998</v>
      </c>
      <c r="CA9" s="17">
        <f t="shared" si="76"/>
        <v>640.90047967930002</v>
      </c>
      <c r="CB9" s="17">
        <f t="shared" si="77"/>
        <v>660.30217809459998</v>
      </c>
      <c r="CC9" s="17">
        <f t="shared" si="78"/>
        <v>680.29121559509997</v>
      </c>
      <c r="CD9" s="17">
        <f t="shared" si="79"/>
        <v>700.88537243860003</v>
      </c>
      <c r="CE9" s="17">
        <f t="shared" si="80"/>
        <v>722.10296713690002</v>
      </c>
      <c r="CF9" s="17">
        <f t="shared" si="81"/>
        <v>743.96287274999997</v>
      </c>
      <c r="CG9" s="17">
        <f t="shared" si="82"/>
        <v>766.48453367390005</v>
      </c>
      <c r="CH9" s="17">
        <f t="shared" si="83"/>
        <v>789.68798293609996</v>
      </c>
      <c r="CI9" s="17">
        <f t="shared" si="84"/>
        <v>813.59386001519999</v>
      </c>
      <c r="CJ9" s="17">
        <f t="shared" si="85"/>
        <v>838.22342919959999</v>
      </c>
      <c r="CK9" s="17">
        <f t="shared" si="86"/>
        <v>863.59859850220005</v>
      </c>
      <c r="CL9" s="17">
        <f t="shared" si="87"/>
        <v>889.74193914759996</v>
      </c>
      <c r="CM9" s="17">
        <f t="shared" si="88"/>
        <v>916.67670564900004</v>
      </c>
      <c r="CN9" s="17">
        <f t="shared" si="89"/>
        <v>944.42685649340001</v>
      </c>
      <c r="CO9" s="17">
        <f t="shared" si="90"/>
        <v>973.01707545249997</v>
      </c>
      <c r="CP9" s="17">
        <f t="shared" si="91"/>
        <v>1002.4727935389</v>
      </c>
      <c r="CQ9" s="17">
        <f t="shared" si="92"/>
        <v>1032.8202116272</v>
      </c>
      <c r="CR9" s="17">
        <f t="shared" si="93"/>
        <v>1064.0863237594001</v>
      </c>
      <c r="CS9" s="17">
        <f t="shared" si="94"/>
        <v>1096.2989411563999</v>
      </c>
      <c r="CT9" s="17">
        <f t="shared" si="95"/>
        <v>1129.4867169559</v>
      </c>
      <c r="CU9" s="17">
        <f t="shared" si="96"/>
        <v>1163.6791716994001</v>
      </c>
      <c r="CV9" s="17">
        <f t="shared" si="97"/>
        <v>1198.9067195908001</v>
      </c>
      <c r="CW9" s="17">
        <f t="shared" si="98"/>
        <v>1235.2006955498</v>
      </c>
      <c r="CX9" s="17">
        <f t="shared" si="99"/>
        <v>1272.5933830844999</v>
      </c>
      <c r="CY9" s="17">
        <f t="shared" si="100"/>
        <v>1311.1180430072</v>
      </c>
      <c r="CZ9" s="17">
        <f t="shared" si="101"/>
        <v>1350.8089430202999</v>
      </c>
      <c r="DA9" s="17">
        <f t="shared" si="102"/>
        <v>1391.7013881973</v>
      </c>
      <c r="DB9" s="17">
        <f t="shared" si="103"/>
        <v>1433.8317523866001</v>
      </c>
    </row>
    <row r="10" spans="1:106" x14ac:dyDescent="0.2">
      <c r="A10">
        <f t="shared" si="7"/>
        <v>1267339920.0000002</v>
      </c>
      <c r="B10" s="71">
        <f t="shared" si="8"/>
        <v>4.9987745825696244E-22</v>
      </c>
      <c r="C10" s="71">
        <f t="shared" si="9"/>
        <v>6.3263987952836604E-22</v>
      </c>
      <c r="D10" s="177">
        <f t="shared" si="104"/>
        <v>6</v>
      </c>
      <c r="K10" s="18">
        <f>IF(K$3="","",ROUND(J9*DownMove,RoundDigits))</f>
        <v>79.4590800183</v>
      </c>
      <c r="L10" s="17">
        <f t="shared" si="107"/>
        <v>81.864509809300003</v>
      </c>
      <c r="M10" s="17">
        <f t="shared" si="107"/>
        <v>84.342758118700004</v>
      </c>
      <c r="N10" s="17">
        <f t="shared" si="11"/>
        <v>86.896029349399996</v>
      </c>
      <c r="O10" s="17">
        <f t="shared" si="12"/>
        <v>89.526594637399995</v>
      </c>
      <c r="P10" s="17">
        <f t="shared" si="13"/>
        <v>92.236793871700002</v>
      </c>
      <c r="Q10" s="17">
        <f t="shared" si="14"/>
        <v>95.029037775800006</v>
      </c>
      <c r="R10" s="17">
        <f t="shared" si="15"/>
        <v>97.905810051800003</v>
      </c>
      <c r="S10" s="17">
        <f t="shared" si="16"/>
        <v>100.86966959</v>
      </c>
      <c r="T10" s="17">
        <f t="shared" si="17"/>
        <v>103.9232527448</v>
      </c>
      <c r="U10" s="17">
        <f t="shared" si="18"/>
        <v>107.0692756798</v>
      </c>
      <c r="V10" s="17">
        <f t="shared" si="19"/>
        <v>110.3105367838</v>
      </c>
      <c r="W10" s="17">
        <f t="shared" si="20"/>
        <v>113.64991916</v>
      </c>
      <c r="X10" s="17">
        <f t="shared" si="21"/>
        <v>117.0903931905</v>
      </c>
      <c r="Y10" s="17">
        <f t="shared" si="22"/>
        <v>120.6350191785</v>
      </c>
      <c r="Z10" s="17">
        <f t="shared" si="23"/>
        <v>124.2869500705</v>
      </c>
      <c r="AA10" s="17">
        <f t="shared" si="24"/>
        <v>128.04943426060001</v>
      </c>
      <c r="AB10" s="17">
        <f t="shared" si="25"/>
        <v>131.92581848020001</v>
      </c>
      <c r="AC10" s="17">
        <f t="shared" si="26"/>
        <v>135.9195507748</v>
      </c>
      <c r="AD10" s="17">
        <f t="shared" si="27"/>
        <v>140.03418357109999</v>
      </c>
      <c r="AE10" s="17">
        <f t="shared" si="28"/>
        <v>144.27337683690001</v>
      </c>
      <c r="AF10" s="17">
        <f t="shared" si="29"/>
        <v>148.64090133639999</v>
      </c>
      <c r="AG10" s="17">
        <f t="shared" si="30"/>
        <v>153.14064198470001</v>
      </c>
      <c r="AH10" s="17">
        <f t="shared" si="31"/>
        <v>157.77660130309999</v>
      </c>
      <c r="AI10" s="17">
        <f t="shared" si="32"/>
        <v>162.5529029795</v>
      </c>
      <c r="AJ10" s="17">
        <f t="shared" si="33"/>
        <v>167.47379553639999</v>
      </c>
      <c r="AK10" s="17">
        <f t="shared" si="34"/>
        <v>172.54365610990001</v>
      </c>
      <c r="AL10" s="17">
        <f t="shared" si="35"/>
        <v>177.76699434330001</v>
      </c>
      <c r="AM10" s="17">
        <f t="shared" si="36"/>
        <v>183.1484563983</v>
      </c>
      <c r="AN10" s="17">
        <f t="shared" si="37"/>
        <v>188.69282908790001</v>
      </c>
      <c r="AO10" s="17">
        <f t="shared" si="38"/>
        <v>194.40504413400001</v>
      </c>
      <c r="AP10" s="17">
        <f t="shared" si="39"/>
        <v>200.29018255450001</v>
      </c>
      <c r="AQ10" s="17">
        <f t="shared" si="40"/>
        <v>206.3534791827</v>
      </c>
      <c r="AR10" s="17">
        <f t="shared" si="41"/>
        <v>212.60032732369999</v>
      </c>
      <c r="AS10" s="17">
        <f t="shared" si="42"/>
        <v>219.0362835517</v>
      </c>
      <c r="AT10" s="17">
        <f t="shared" si="43"/>
        <v>225.6670726527</v>
      </c>
      <c r="AU10" s="17">
        <f t="shared" si="44"/>
        <v>232.4985927166</v>
      </c>
      <c r="AV10" s="17">
        <f t="shared" si="45"/>
        <v>239.53692038349999</v>
      </c>
      <c r="AW10" s="17">
        <f t="shared" si="46"/>
        <v>246.78831624910001</v>
      </c>
      <c r="AX10" s="17">
        <f t="shared" si="47"/>
        <v>254.25923043329999</v>
      </c>
      <c r="AY10" s="17">
        <f t="shared" si="48"/>
        <v>261.95630831760002</v>
      </c>
      <c r="AZ10" s="17">
        <f t="shared" si="49"/>
        <v>269.88639645630002</v>
      </c>
      <c r="BA10" s="17">
        <f t="shared" si="50"/>
        <v>278.05654866629999</v>
      </c>
      <c r="BB10" s="17">
        <f t="shared" si="51"/>
        <v>286.47403230169999</v>
      </c>
      <c r="BC10" s="17">
        <f t="shared" si="52"/>
        <v>295.14633471799999</v>
      </c>
      <c r="BD10" s="17">
        <f t="shared" si="53"/>
        <v>304.08116993210001</v>
      </c>
      <c r="BE10" s="17">
        <f t="shared" si="54"/>
        <v>313.28648548400002</v>
      </c>
      <c r="BF10" s="17">
        <f t="shared" si="55"/>
        <v>322.77046950599998</v>
      </c>
      <c r="BG10" s="17">
        <f t="shared" si="56"/>
        <v>332.54155800609999</v>
      </c>
      <c r="BH10" s="17">
        <f t="shared" si="57"/>
        <v>342.60844237200001</v>
      </c>
      <c r="BI10" s="17">
        <f t="shared" si="58"/>
        <v>352.98007710190001</v>
      </c>
      <c r="BJ10" s="17">
        <f t="shared" si="59"/>
        <v>363.66568776949998</v>
      </c>
      <c r="BK10" s="17">
        <f t="shared" si="60"/>
        <v>374.67477923040002</v>
      </c>
      <c r="BL10" s="17">
        <f t="shared" si="61"/>
        <v>386.01714407629999</v>
      </c>
      <c r="BM10" s="17">
        <f t="shared" si="62"/>
        <v>397.70287134590001</v>
      </c>
      <c r="BN10" s="17">
        <f t="shared" si="63"/>
        <v>409.7423554989</v>
      </c>
      <c r="BO10" s="17">
        <f t="shared" si="64"/>
        <v>422.14630566189999</v>
      </c>
      <c r="BP10" s="17">
        <f t="shared" si="65"/>
        <v>434.92575515409999</v>
      </c>
      <c r="BQ10" s="17">
        <f t="shared" si="66"/>
        <v>448.09207130160001</v>
      </c>
      <c r="BR10" s="17">
        <f t="shared" si="67"/>
        <v>461.6569655486</v>
      </c>
      <c r="BS10" s="17">
        <f t="shared" si="68"/>
        <v>475.63250387459999</v>
      </c>
      <c r="BT10" s="17">
        <f t="shared" si="69"/>
        <v>490.03111752730001</v>
      </c>
      <c r="BU10" s="17">
        <f t="shared" si="70"/>
        <v>504.86561407990001</v>
      </c>
      <c r="BV10" s="17">
        <f t="shared" si="71"/>
        <v>520.14918882389998</v>
      </c>
      <c r="BW10" s="17">
        <f t="shared" si="72"/>
        <v>535.89543650589997</v>
      </c>
      <c r="BX10" s="17">
        <f t="shared" si="73"/>
        <v>552.11836342030006</v>
      </c>
      <c r="BY10" s="17">
        <f t="shared" si="74"/>
        <v>568.83239986789999</v>
      </c>
      <c r="BZ10" s="17">
        <f t="shared" si="75"/>
        <v>586.05241299169995</v>
      </c>
      <c r="CA10" s="17">
        <f t="shared" si="76"/>
        <v>603.79372000110004</v>
      </c>
      <c r="CB10" s="17">
        <f t="shared" si="77"/>
        <v>622.07210179670005</v>
      </c>
      <c r="CC10" s="17">
        <f t="shared" si="78"/>
        <v>640.90381700729995</v>
      </c>
      <c r="CD10" s="17">
        <f t="shared" si="79"/>
        <v>660.30561645210003</v>
      </c>
      <c r="CE10" s="17">
        <f t="shared" si="80"/>
        <v>680.29475804050003</v>
      </c>
      <c r="CF10" s="17">
        <f t="shared" si="81"/>
        <v>700.88902212289997</v>
      </c>
      <c r="CG10" s="17">
        <f t="shared" si="82"/>
        <v>722.10672730650003</v>
      </c>
      <c r="CH10" s="17">
        <f t="shared" si="83"/>
        <v>743.96674674960002</v>
      </c>
      <c r="CI10" s="17">
        <f t="shared" si="84"/>
        <v>766.48852494940002</v>
      </c>
      <c r="CJ10" s="17">
        <f t="shared" si="85"/>
        <v>789.69209503770003</v>
      </c>
      <c r="CK10" s="17">
        <f t="shared" si="86"/>
        <v>813.5980966006</v>
      </c>
      <c r="CL10" s="17">
        <f t="shared" si="87"/>
        <v>838.22779403729999</v>
      </c>
      <c r="CM10" s="17">
        <f t="shared" si="88"/>
        <v>863.60309547470001</v>
      </c>
      <c r="CN10" s="17">
        <f t="shared" si="89"/>
        <v>889.7465722549</v>
      </c>
      <c r="CO10" s="17">
        <f t="shared" si="90"/>
        <v>916.68147901229997</v>
      </c>
      <c r="CP10" s="17">
        <f t="shared" si="91"/>
        <v>944.43177435860002</v>
      </c>
      <c r="CQ10" s="17">
        <f t="shared" si="92"/>
        <v>973.02214219409996</v>
      </c>
      <c r="CR10" s="17">
        <f t="shared" si="93"/>
        <v>1002.4780136638</v>
      </c>
      <c r="CS10" s="17">
        <f t="shared" si="94"/>
        <v>1032.8255897786</v>
      </c>
      <c r="CT10" s="17">
        <f t="shared" si="95"/>
        <v>1064.0918647212</v>
      </c>
      <c r="CU10" s="17">
        <f t="shared" si="96"/>
        <v>1096.3046498573001</v>
      </c>
      <c r="CV10" s="17">
        <f t="shared" si="97"/>
        <v>1129.4925984737999</v>
      </c>
      <c r="CW10" s="17">
        <f t="shared" si="98"/>
        <v>1163.6852312659</v>
      </c>
      <c r="CX10" s="17">
        <f t="shared" si="99"/>
        <v>1198.9129625958999</v>
      </c>
      <c r="CY10" s="17">
        <f t="shared" si="100"/>
        <v>1235.2071275466999</v>
      </c>
      <c r="CZ10" s="17">
        <f t="shared" si="101"/>
        <v>1272.6000097944</v>
      </c>
      <c r="DA10" s="17">
        <f t="shared" si="102"/>
        <v>1311.1248703245999</v>
      </c>
      <c r="DB10" s="17">
        <f t="shared" si="103"/>
        <v>1350.8159770181001</v>
      </c>
    </row>
    <row r="11" spans="1:106" x14ac:dyDescent="0.2">
      <c r="A11">
        <f t="shared" si="7"/>
        <v>17199613200</v>
      </c>
      <c r="B11" s="71">
        <f t="shared" si="8"/>
        <v>6.7840512192016318E-21</v>
      </c>
      <c r="C11" s="71">
        <f t="shared" si="9"/>
        <v>8.5404341513276792E-21</v>
      </c>
      <c r="D11" s="177">
        <f t="shared" si="104"/>
        <v>7</v>
      </c>
      <c r="L11" s="18">
        <f>IF(L$3="","",ROUND(K10*DownMove,RoundDigits))</f>
        <v>77.124730720399995</v>
      </c>
      <c r="M11" s="17">
        <f t="shared" si="107"/>
        <v>79.459493781500001</v>
      </c>
      <c r="N11" s="17">
        <f t="shared" si="11"/>
        <v>81.864936098200005</v>
      </c>
      <c r="O11" s="17">
        <f t="shared" si="12"/>
        <v>84.343197312399994</v>
      </c>
      <c r="P11" s="17">
        <f t="shared" si="13"/>
        <v>86.896481838699998</v>
      </c>
      <c r="Q11" s="17">
        <f t="shared" si="14"/>
        <v>89.527060824700001</v>
      </c>
      <c r="R11" s="17">
        <f t="shared" si="15"/>
        <v>92.237274171699994</v>
      </c>
      <c r="S11" s="17">
        <f t="shared" si="16"/>
        <v>95.029532615700006</v>
      </c>
      <c r="T11" s="17">
        <f t="shared" si="17"/>
        <v>97.906319871799994</v>
      </c>
      <c r="U11" s="17">
        <f t="shared" si="18"/>
        <v>100.8701948436</v>
      </c>
      <c r="V11" s="17">
        <f t="shared" si="19"/>
        <v>103.92379389920001</v>
      </c>
      <c r="W11" s="17">
        <f t="shared" si="20"/>
        <v>107.0698332163</v>
      </c>
      <c r="X11" s="17">
        <f t="shared" si="21"/>
        <v>110.3111111983</v>
      </c>
      <c r="Y11" s="17">
        <f t="shared" si="22"/>
        <v>113.6505109635</v>
      </c>
      <c r="Z11" s="17">
        <f t="shared" si="23"/>
        <v>117.0910029094</v>
      </c>
      <c r="AA11" s="17">
        <f t="shared" si="24"/>
        <v>120.63564735520001</v>
      </c>
      <c r="AB11" s="17">
        <f t="shared" si="25"/>
        <v>124.28759726369999</v>
      </c>
      <c r="AC11" s="17">
        <f t="shared" si="26"/>
        <v>128.05010104600001</v>
      </c>
      <c r="AD11" s="17">
        <f t="shared" si="27"/>
        <v>131.92650545090001</v>
      </c>
      <c r="AE11" s="17">
        <f t="shared" si="28"/>
        <v>135.92025854190001</v>
      </c>
      <c r="AF11" s="17">
        <f t="shared" si="29"/>
        <v>140.03491276419999</v>
      </c>
      <c r="AG11" s="17">
        <f t="shared" si="30"/>
        <v>144.27412810449999</v>
      </c>
      <c r="AH11" s="17">
        <f t="shared" si="31"/>
        <v>148.64167534680001</v>
      </c>
      <c r="AI11" s="17">
        <f t="shared" si="32"/>
        <v>153.14143942640001</v>
      </c>
      <c r="AJ11" s="17">
        <f t="shared" si="33"/>
        <v>157.7774228854</v>
      </c>
      <c r="AK11" s="17">
        <f t="shared" si="34"/>
        <v>162.55374943320001</v>
      </c>
      <c r="AL11" s="17">
        <f t="shared" si="35"/>
        <v>167.4746676144</v>
      </c>
      <c r="AM11" s="17">
        <f t="shared" si="36"/>
        <v>172.5445545879</v>
      </c>
      <c r="AN11" s="17">
        <f t="shared" si="37"/>
        <v>177.76792002049999</v>
      </c>
      <c r="AO11" s="17">
        <f t="shared" si="38"/>
        <v>183.14941009820001</v>
      </c>
      <c r="AP11" s="17">
        <f t="shared" si="39"/>
        <v>188.69381165870001</v>
      </c>
      <c r="AQ11" s="17">
        <f t="shared" si="40"/>
        <v>194.40605644979999</v>
      </c>
      <c r="AR11" s="17">
        <f t="shared" si="41"/>
        <v>200.29122551570001</v>
      </c>
      <c r="AS11" s="17">
        <f t="shared" si="42"/>
        <v>206.35455371699999</v>
      </c>
      <c r="AT11" s="17">
        <f t="shared" si="43"/>
        <v>212.6014343869</v>
      </c>
      <c r="AU11" s="17">
        <f t="shared" si="44"/>
        <v>219.03742412860001</v>
      </c>
      <c r="AV11" s="17">
        <f t="shared" si="45"/>
        <v>225.6682477578</v>
      </c>
      <c r="AW11" s="17">
        <f t="shared" si="46"/>
        <v>232.4998033951</v>
      </c>
      <c r="AX11" s="17">
        <f t="shared" si="47"/>
        <v>239.5381677124</v>
      </c>
      <c r="AY11" s="17">
        <f t="shared" si="48"/>
        <v>246.7896013379</v>
      </c>
      <c r="AZ11" s="17">
        <f t="shared" si="49"/>
        <v>254.26055442500001</v>
      </c>
      <c r="BA11" s="17">
        <f t="shared" si="50"/>
        <v>261.95767238989998</v>
      </c>
      <c r="BB11" s="17">
        <f t="shared" si="51"/>
        <v>269.88780182250002</v>
      </c>
      <c r="BC11" s="17">
        <f t="shared" si="52"/>
        <v>278.05799657649999</v>
      </c>
      <c r="BD11" s="17">
        <f t="shared" si="53"/>
        <v>286.47552404390001</v>
      </c>
      <c r="BE11" s="17">
        <f t="shared" si="54"/>
        <v>295.14787161909999</v>
      </c>
      <c r="BF11" s="17">
        <f t="shared" si="55"/>
        <v>304.08275335920001</v>
      </c>
      <c r="BG11" s="17">
        <f t="shared" si="56"/>
        <v>313.28811684549999</v>
      </c>
      <c r="BH11" s="17">
        <f t="shared" si="57"/>
        <v>322.77215025300001</v>
      </c>
      <c r="BI11" s="17">
        <f t="shared" si="58"/>
        <v>332.5432896337</v>
      </c>
      <c r="BJ11" s="17">
        <f t="shared" si="59"/>
        <v>342.61022642040001</v>
      </c>
      <c r="BK11" s="17">
        <f t="shared" si="60"/>
        <v>352.98191515799999</v>
      </c>
      <c r="BL11" s="17">
        <f t="shared" si="61"/>
        <v>363.6675814683</v>
      </c>
      <c r="BM11" s="17">
        <f t="shared" si="62"/>
        <v>374.6767302563</v>
      </c>
      <c r="BN11" s="17">
        <f t="shared" si="63"/>
        <v>386.0191541648</v>
      </c>
      <c r="BO11" s="17">
        <f t="shared" si="64"/>
        <v>397.70494228500002</v>
      </c>
      <c r="BP11" s="17">
        <f t="shared" si="65"/>
        <v>409.7444891307</v>
      </c>
      <c r="BQ11" s="17">
        <f t="shared" si="66"/>
        <v>422.14850388420001</v>
      </c>
      <c r="BR11" s="17">
        <f t="shared" si="67"/>
        <v>434.92801992220001</v>
      </c>
      <c r="BS11" s="17">
        <f t="shared" si="68"/>
        <v>448.09440463009997</v>
      </c>
      <c r="BT11" s="17">
        <f t="shared" si="69"/>
        <v>461.65936951290001</v>
      </c>
      <c r="BU11" s="17">
        <f t="shared" si="70"/>
        <v>475.63498061310003</v>
      </c>
      <c r="BV11" s="17">
        <f t="shared" si="71"/>
        <v>490.03366924300002</v>
      </c>
      <c r="BW11" s="17">
        <f t="shared" si="72"/>
        <v>504.8682430426</v>
      </c>
      <c r="BX11" s="17">
        <f t="shared" si="73"/>
        <v>520.15189737200001</v>
      </c>
      <c r="BY11" s="17">
        <f t="shared" si="74"/>
        <v>535.89822704870005</v>
      </c>
      <c r="BZ11" s="17">
        <f t="shared" si="75"/>
        <v>552.12123843999996</v>
      </c>
      <c r="CA11" s="17">
        <f t="shared" si="76"/>
        <v>568.83536192179997</v>
      </c>
      <c r="CB11" s="17">
        <f t="shared" si="77"/>
        <v>586.05546471449998</v>
      </c>
      <c r="CC11" s="17">
        <f t="shared" si="78"/>
        <v>603.79686410730005</v>
      </c>
      <c r="CD11" s="17">
        <f t="shared" si="79"/>
        <v>622.07534108300001</v>
      </c>
      <c r="CE11" s="17">
        <f t="shared" si="80"/>
        <v>640.90715435510003</v>
      </c>
      <c r="CF11" s="17">
        <f t="shared" si="81"/>
        <v>660.30905483000004</v>
      </c>
      <c r="CG11" s="17">
        <f t="shared" si="82"/>
        <v>680.29830050689998</v>
      </c>
      <c r="CH11" s="17">
        <f t="shared" si="83"/>
        <v>700.89267182879996</v>
      </c>
      <c r="CI11" s="17">
        <f t="shared" si="84"/>
        <v>722.11048749830002</v>
      </c>
      <c r="CJ11" s="17">
        <f t="shared" si="85"/>
        <v>743.97062077199996</v>
      </c>
      <c r="CK11" s="17">
        <f t="shared" si="86"/>
        <v>766.49251624839997</v>
      </c>
      <c r="CL11" s="17">
        <f t="shared" si="87"/>
        <v>789.69620716359998</v>
      </c>
      <c r="CM11" s="17">
        <f t="shared" si="88"/>
        <v>813.60233321110002</v>
      </c>
      <c r="CN11" s="17">
        <f t="shared" si="89"/>
        <v>838.23215890079996</v>
      </c>
      <c r="CO11" s="17">
        <f t="shared" si="90"/>
        <v>863.60759247379997</v>
      </c>
      <c r="CP11" s="17">
        <f t="shared" si="91"/>
        <v>889.75120538969998</v>
      </c>
      <c r="CQ11" s="17">
        <f t="shared" si="92"/>
        <v>916.68625240400002</v>
      </c>
      <c r="CR11" s="17">
        <f t="shared" si="93"/>
        <v>944.43669225309998</v>
      </c>
      <c r="CS11" s="17">
        <f t="shared" si="94"/>
        <v>973.02720896580001</v>
      </c>
      <c r="CT11" s="17">
        <f t="shared" si="95"/>
        <v>1002.4832338195999</v>
      </c>
      <c r="CU11" s="17">
        <f t="shared" si="96"/>
        <v>1032.8309679618999</v>
      </c>
      <c r="CV11" s="17">
        <f t="shared" si="97"/>
        <v>1064.0974057159001</v>
      </c>
      <c r="CW11" s="17">
        <f t="shared" si="98"/>
        <v>1096.3103585921001</v>
      </c>
      <c r="CX11" s="17">
        <f t="shared" si="99"/>
        <v>1129.4984800266</v>
      </c>
      <c r="CY11" s="17">
        <f t="shared" si="100"/>
        <v>1163.6912908683</v>
      </c>
      <c r="CZ11" s="17">
        <f t="shared" si="101"/>
        <v>1198.919205638</v>
      </c>
      <c r="DA11" s="17">
        <f t="shared" si="102"/>
        <v>1235.2135595817001</v>
      </c>
      <c r="DB11" s="17">
        <f t="shared" si="103"/>
        <v>1272.6066365434999</v>
      </c>
    </row>
    <row r="12" spans="1:106" x14ac:dyDescent="0.2">
      <c r="A12">
        <f t="shared" si="7"/>
        <v>202095455099.99994</v>
      </c>
      <c r="B12" s="71">
        <f t="shared" si="8"/>
        <v>7.9712601825619149E-20</v>
      </c>
      <c r="C12" s="71">
        <f t="shared" si="9"/>
        <v>9.9819555924848361E-20</v>
      </c>
      <c r="D12" s="177">
        <f t="shared" si="104"/>
        <v>8</v>
      </c>
      <c r="M12" s="18">
        <f>IF(M$3="","",ROUND(L11*DownMove,RoundDigits))</f>
        <v>74.858959949199999</v>
      </c>
      <c r="N12" s="17">
        <f t="shared" ref="N12" si="108">IF(N$3="","",ROUND(M12*UpMove,RoundDigits))</f>
        <v>77.125132328000007</v>
      </c>
      <c r="O12" s="17">
        <f t="shared" ref="O12:O13" si="109">IF(O$3="","",ROUND(N12*UpMove,RoundDigits))</f>
        <v>79.459907546799997</v>
      </c>
      <c r="P12" s="17">
        <f t="shared" ref="P12:P14" si="110">IF(P$3="","",ROUND(O12*UpMove,RoundDigits))</f>
        <v>81.865362389200001</v>
      </c>
      <c r="Q12" s="17">
        <f t="shared" ref="Q12:Q15" si="111">IF(Q$3="","",ROUND(P12*UpMove,RoundDigits))</f>
        <v>84.343636508299994</v>
      </c>
      <c r="R12" s="17">
        <f t="shared" ref="R12:T18" si="112">IF(R$3="","",ROUND(Q12*UpMove,RoundDigits))</f>
        <v>86.896934330099995</v>
      </c>
      <c r="S12" s="17">
        <f t="shared" si="112"/>
        <v>89.527527014200004</v>
      </c>
      <c r="T12" s="17">
        <f t="shared" si="112"/>
        <v>92.237754473999999</v>
      </c>
      <c r="U12" s="17">
        <f t="shared" si="18"/>
        <v>95.030027458000006</v>
      </c>
      <c r="V12" s="17">
        <f t="shared" si="19"/>
        <v>97.906829694199999</v>
      </c>
      <c r="W12" s="17">
        <f t="shared" si="20"/>
        <v>100.87072009960001</v>
      </c>
      <c r="X12" s="17">
        <f t="shared" si="21"/>
        <v>103.924335056</v>
      </c>
      <c r="Y12" s="17">
        <f t="shared" si="22"/>
        <v>107.0703907553</v>
      </c>
      <c r="Z12" s="17">
        <f t="shared" si="23"/>
        <v>110.31168561539999</v>
      </c>
      <c r="AA12" s="17">
        <f t="shared" si="24"/>
        <v>113.6511027696</v>
      </c>
      <c r="AB12" s="17">
        <f t="shared" si="25"/>
        <v>117.091612631</v>
      </c>
      <c r="AC12" s="17">
        <f t="shared" si="26"/>
        <v>120.6362755346</v>
      </c>
      <c r="AD12" s="17">
        <f t="shared" si="27"/>
        <v>124.2882444597</v>
      </c>
      <c r="AE12" s="17">
        <f t="shared" si="28"/>
        <v>128.05076783429999</v>
      </c>
      <c r="AF12" s="17">
        <f t="shared" si="29"/>
        <v>131.92719242460001</v>
      </c>
      <c r="AG12" s="17">
        <f t="shared" si="30"/>
        <v>135.92096631210001</v>
      </c>
      <c r="AH12" s="17">
        <f t="shared" si="31"/>
        <v>140.0356419604</v>
      </c>
      <c r="AI12" s="17">
        <f t="shared" si="32"/>
        <v>144.2748793753</v>
      </c>
      <c r="AJ12" s="17">
        <f t="shared" si="33"/>
        <v>148.6424493605</v>
      </c>
      <c r="AK12" s="17">
        <f t="shared" si="34"/>
        <v>153.1422368714</v>
      </c>
      <c r="AL12" s="17">
        <f t="shared" si="35"/>
        <v>157.77824447110001</v>
      </c>
      <c r="AM12" s="17">
        <f t="shared" si="36"/>
        <v>162.55459589040001</v>
      </c>
      <c r="AN12" s="17">
        <f t="shared" si="37"/>
        <v>167.475539696</v>
      </c>
      <c r="AO12" s="17">
        <f t="shared" si="38"/>
        <v>172.54545306969999</v>
      </c>
      <c r="AP12" s="17">
        <f t="shared" si="39"/>
        <v>177.7688457017</v>
      </c>
      <c r="AQ12" s="17">
        <f t="shared" si="40"/>
        <v>183.1503638021</v>
      </c>
      <c r="AR12" s="17">
        <f t="shared" si="41"/>
        <v>188.69479423370001</v>
      </c>
      <c r="AS12" s="17">
        <f t="shared" si="42"/>
        <v>194.40706876979999</v>
      </c>
      <c r="AT12" s="17">
        <f t="shared" si="43"/>
        <v>200.2922684813</v>
      </c>
      <c r="AU12" s="17">
        <f t="shared" si="44"/>
        <v>206.3556282559</v>
      </c>
      <c r="AV12" s="17">
        <f t="shared" si="45"/>
        <v>212.60254145490001</v>
      </c>
      <c r="AW12" s="17">
        <f t="shared" si="46"/>
        <v>219.03856471029999</v>
      </c>
      <c r="AX12" s="17">
        <f t="shared" si="47"/>
        <v>225.66942286779999</v>
      </c>
      <c r="AY12" s="17">
        <f t="shared" si="48"/>
        <v>232.5010140787</v>
      </c>
      <c r="AZ12" s="17">
        <f t="shared" si="49"/>
        <v>239.53941504650001</v>
      </c>
      <c r="BA12" s="17">
        <f t="shared" si="50"/>
        <v>246.79088643200001</v>
      </c>
      <c r="BB12" s="17">
        <f t="shared" si="51"/>
        <v>254.2618784222</v>
      </c>
      <c r="BC12" s="17">
        <f t="shared" si="52"/>
        <v>261.95903646789998</v>
      </c>
      <c r="BD12" s="17">
        <f t="shared" si="53"/>
        <v>269.88920719470002</v>
      </c>
      <c r="BE12" s="17">
        <f t="shared" si="54"/>
        <v>278.059444493</v>
      </c>
      <c r="BF12" s="17">
        <f t="shared" si="55"/>
        <v>286.47701579250003</v>
      </c>
      <c r="BG12" s="17">
        <f t="shared" si="56"/>
        <v>295.14940852669997</v>
      </c>
      <c r="BH12" s="17">
        <f t="shared" si="57"/>
        <v>304.08433679289999</v>
      </c>
      <c r="BI12" s="17">
        <f t="shared" si="58"/>
        <v>313.28974821380001</v>
      </c>
      <c r="BJ12" s="17">
        <f t="shared" si="59"/>
        <v>322.77383100700001</v>
      </c>
      <c r="BK12" s="17">
        <f t="shared" si="60"/>
        <v>332.54502126839998</v>
      </c>
      <c r="BL12" s="17">
        <f t="shared" si="61"/>
        <v>342.61201047610001</v>
      </c>
      <c r="BM12" s="17">
        <f t="shared" si="62"/>
        <v>352.98375322160001</v>
      </c>
      <c r="BN12" s="17">
        <f t="shared" si="63"/>
        <v>363.66947517480003</v>
      </c>
      <c r="BO12" s="17">
        <f t="shared" si="64"/>
        <v>374.67868129009997</v>
      </c>
      <c r="BP12" s="17">
        <f t="shared" si="65"/>
        <v>386.02116426139997</v>
      </c>
      <c r="BQ12" s="17">
        <f t="shared" si="66"/>
        <v>397.70701323230003</v>
      </c>
      <c r="BR12" s="17">
        <f t="shared" si="67"/>
        <v>409.7466227708</v>
      </c>
      <c r="BS12" s="17">
        <f t="shared" si="68"/>
        <v>422.150702115</v>
      </c>
      <c r="BT12" s="17">
        <f t="shared" si="69"/>
        <v>434.93028469910001</v>
      </c>
      <c r="BU12" s="17">
        <f t="shared" si="70"/>
        <v>448.09673796760001</v>
      </c>
      <c r="BV12" s="17">
        <f t="shared" si="71"/>
        <v>461.66177348650001</v>
      </c>
      <c r="BW12" s="17">
        <f t="shared" si="72"/>
        <v>475.63745736110002</v>
      </c>
      <c r="BX12" s="17">
        <f t="shared" si="73"/>
        <v>490.0362209685</v>
      </c>
      <c r="BY12" s="17">
        <f t="shared" si="74"/>
        <v>504.87087201539998</v>
      </c>
      <c r="BZ12" s="17">
        <f t="shared" si="75"/>
        <v>520.15460593060004</v>
      </c>
      <c r="CA12" s="17">
        <f t="shared" si="76"/>
        <v>535.90101760230004</v>
      </c>
      <c r="CB12" s="17">
        <f t="shared" si="77"/>
        <v>552.12411347080001</v>
      </c>
      <c r="CC12" s="17">
        <f t="shared" si="78"/>
        <v>568.83832398720006</v>
      </c>
      <c r="CD12" s="17">
        <f t="shared" si="79"/>
        <v>586.05851644920006</v>
      </c>
      <c r="CE12" s="17">
        <f t="shared" si="80"/>
        <v>603.8000082259</v>
      </c>
      <c r="CF12" s="17">
        <f t="shared" si="81"/>
        <v>622.07858038209997</v>
      </c>
      <c r="CG12" s="17">
        <f t="shared" si="82"/>
        <v>640.91049171609995</v>
      </c>
      <c r="CH12" s="17">
        <f t="shared" si="83"/>
        <v>660.31249322140002</v>
      </c>
      <c r="CI12" s="17">
        <f t="shared" si="84"/>
        <v>680.30184298719996</v>
      </c>
      <c r="CJ12" s="17">
        <f t="shared" si="85"/>
        <v>700.89632154900005</v>
      </c>
      <c r="CK12" s="17">
        <f t="shared" si="86"/>
        <v>722.11424770489998</v>
      </c>
      <c r="CL12" s="17">
        <f t="shared" si="87"/>
        <v>743.97449480969999</v>
      </c>
      <c r="CM12" s="17">
        <f t="shared" si="88"/>
        <v>766.49650756309995</v>
      </c>
      <c r="CN12" s="17">
        <f t="shared" si="89"/>
        <v>789.70031930560003</v>
      </c>
      <c r="CO12" s="17">
        <f t="shared" si="90"/>
        <v>813.60656983820002</v>
      </c>
      <c r="CP12" s="17">
        <f t="shared" si="91"/>
        <v>838.23652378149995</v>
      </c>
      <c r="CQ12" s="17">
        <f t="shared" si="92"/>
        <v>863.61208949060006</v>
      </c>
      <c r="CR12" s="17">
        <f t="shared" si="93"/>
        <v>889.75583854269996</v>
      </c>
      <c r="CS12" s="17">
        <f t="shared" si="94"/>
        <v>916.69102581439995</v>
      </c>
      <c r="CT12" s="17">
        <f t="shared" si="95"/>
        <v>944.44161016689998</v>
      </c>
      <c r="CU12" s="17">
        <f t="shared" si="96"/>
        <v>973.03227575749997</v>
      </c>
      <c r="CV12" s="17">
        <f t="shared" si="97"/>
        <v>1002.4884539961</v>
      </c>
      <c r="CW12" s="17">
        <f t="shared" si="98"/>
        <v>1032.8363461665001</v>
      </c>
      <c r="CX12" s="17">
        <f t="shared" si="99"/>
        <v>1064.1029467325</v>
      </c>
      <c r="CY12" s="17">
        <f t="shared" si="100"/>
        <v>1096.3160673494999</v>
      </c>
      <c r="CZ12" s="17">
        <f t="shared" si="101"/>
        <v>1129.5043616027001</v>
      </c>
      <c r="DA12" s="17">
        <f t="shared" si="102"/>
        <v>1163.6973504948</v>
      </c>
      <c r="DB12" s="17">
        <f t="shared" si="103"/>
        <v>1198.9254487049</v>
      </c>
    </row>
    <row r="13" spans="1:106" x14ac:dyDescent="0.2">
      <c r="A13">
        <f t="shared" si="7"/>
        <v>2088319702700</v>
      </c>
      <c r="B13" s="71">
        <f t="shared" si="8"/>
        <v>8.2369688553139813E-19</v>
      </c>
      <c r="C13" s="71">
        <f t="shared" si="9"/>
        <v>1.0260154271960537E-18</v>
      </c>
      <c r="D13" s="177">
        <f t="shared" si="104"/>
        <v>9</v>
      </c>
      <c r="N13" s="18">
        <f>IF(N$3="","",ROUND(M12*DownMove,RoundDigits))</f>
        <v>72.659753004400002</v>
      </c>
      <c r="O13" s="17">
        <f t="shared" si="109"/>
        <v>74.8593497584</v>
      </c>
      <c r="P13" s="17">
        <f t="shared" si="110"/>
        <v>77.125533937699998</v>
      </c>
      <c r="Q13" s="17">
        <f t="shared" si="111"/>
        <v>79.460321314300003</v>
      </c>
      <c r="R13" s="17">
        <f t="shared" si="112"/>
        <v>81.865788682499996</v>
      </c>
      <c r="S13" s="17">
        <f t="shared" si="112"/>
        <v>84.344075706599995</v>
      </c>
      <c r="T13" s="17">
        <f t="shared" si="112"/>
        <v>86.897386824099996</v>
      </c>
      <c r="U13" s="17">
        <f t="shared" si="18"/>
        <v>89.527993206399998</v>
      </c>
      <c r="V13" s="17">
        <f t="shared" si="19"/>
        <v>92.238234778999995</v>
      </c>
      <c r="W13" s="17">
        <f t="shared" si="20"/>
        <v>95.030522302999998</v>
      </c>
      <c r="X13" s="17">
        <f t="shared" si="21"/>
        <v>97.907339519499999</v>
      </c>
      <c r="Y13" s="17">
        <f t="shared" si="22"/>
        <v>100.87124535860001</v>
      </c>
      <c r="Z13" s="17">
        <f t="shared" si="23"/>
        <v>103.9248762159</v>
      </c>
      <c r="AA13" s="17">
        <f t="shared" si="24"/>
        <v>107.0709482975</v>
      </c>
      <c r="AB13" s="17">
        <f t="shared" si="25"/>
        <v>110.3122600359</v>
      </c>
      <c r="AC13" s="17">
        <f t="shared" si="26"/>
        <v>113.6516945793</v>
      </c>
      <c r="AD13" s="17">
        <f t="shared" si="27"/>
        <v>117.0922223563</v>
      </c>
      <c r="AE13" s="17">
        <f t="shared" si="28"/>
        <v>120.6369037179</v>
      </c>
      <c r="AF13" s="17">
        <f t="shared" si="29"/>
        <v>124.2888916597</v>
      </c>
      <c r="AG13" s="17">
        <f t="shared" si="30"/>
        <v>128.0514346267</v>
      </c>
      <c r="AH13" s="17">
        <f t="shared" si="31"/>
        <v>131.9278794025</v>
      </c>
      <c r="AI13" s="17">
        <f t="shared" si="32"/>
        <v>135.92167408649999</v>
      </c>
      <c r="AJ13" s="17">
        <f t="shared" si="33"/>
        <v>140.03637116089999</v>
      </c>
      <c r="AK13" s="17">
        <f t="shared" si="34"/>
        <v>144.27563065059999</v>
      </c>
      <c r="AL13" s="17">
        <f t="shared" si="35"/>
        <v>148.6432233788</v>
      </c>
      <c r="AM13" s="17">
        <f t="shared" si="36"/>
        <v>153.14303432119999</v>
      </c>
      <c r="AN13" s="17">
        <f t="shared" si="37"/>
        <v>157.77906606170001</v>
      </c>
      <c r="AO13" s="17">
        <f t="shared" si="38"/>
        <v>162.55544235260001</v>
      </c>
      <c r="AP13" s="17">
        <f t="shared" si="39"/>
        <v>167.4764117828</v>
      </c>
      <c r="AQ13" s="17">
        <f t="shared" si="40"/>
        <v>172.5463515568</v>
      </c>
      <c r="AR13" s="17">
        <f t="shared" si="41"/>
        <v>177.7697713883</v>
      </c>
      <c r="AS13" s="17">
        <f t="shared" si="42"/>
        <v>183.15131751160001</v>
      </c>
      <c r="AT13" s="17">
        <f t="shared" si="43"/>
        <v>188.69577681440001</v>
      </c>
      <c r="AU13" s="17">
        <f t="shared" si="44"/>
        <v>194.40808109579999</v>
      </c>
      <c r="AV13" s="17">
        <f t="shared" si="45"/>
        <v>200.293311453</v>
      </c>
      <c r="AW13" s="17">
        <f t="shared" si="46"/>
        <v>206.35670280100001</v>
      </c>
      <c r="AX13" s="17">
        <f t="shared" si="47"/>
        <v>212.6036485292</v>
      </c>
      <c r="AY13" s="17">
        <f t="shared" si="48"/>
        <v>219.03970529860001</v>
      </c>
      <c r="AZ13" s="17">
        <f t="shared" si="49"/>
        <v>225.67059798459999</v>
      </c>
      <c r="BA13" s="17">
        <f t="shared" si="50"/>
        <v>232.5022247693</v>
      </c>
      <c r="BB13" s="17">
        <f t="shared" si="51"/>
        <v>239.54066238780001</v>
      </c>
      <c r="BC13" s="17">
        <f t="shared" si="52"/>
        <v>246.79217153350001</v>
      </c>
      <c r="BD13" s="17">
        <f t="shared" si="53"/>
        <v>254.26320242700001</v>
      </c>
      <c r="BE13" s="17">
        <f t="shared" si="54"/>
        <v>261.96040055370003</v>
      </c>
      <c r="BF13" s="17">
        <f t="shared" si="55"/>
        <v>269.8906125748</v>
      </c>
      <c r="BG13" s="17">
        <f t="shared" si="56"/>
        <v>278.06089241749999</v>
      </c>
      <c r="BH13" s="17">
        <f t="shared" si="57"/>
        <v>286.47850754939998</v>
      </c>
      <c r="BI13" s="17">
        <f t="shared" si="58"/>
        <v>295.15094544290002</v>
      </c>
      <c r="BJ13" s="17">
        <f t="shared" si="59"/>
        <v>304.0859202355</v>
      </c>
      <c r="BK13" s="17">
        <f t="shared" si="60"/>
        <v>313.29137959119998</v>
      </c>
      <c r="BL13" s="17">
        <f t="shared" si="61"/>
        <v>322.7755117703</v>
      </c>
      <c r="BM13" s="17">
        <f t="shared" si="62"/>
        <v>332.54675291270001</v>
      </c>
      <c r="BN13" s="17">
        <f t="shared" si="63"/>
        <v>342.61379454180002</v>
      </c>
      <c r="BO13" s="17">
        <f t="shared" si="64"/>
        <v>352.98559129559999</v>
      </c>
      <c r="BP13" s="17">
        <f t="shared" si="65"/>
        <v>363.67136889199998</v>
      </c>
      <c r="BQ13" s="17">
        <f t="shared" si="66"/>
        <v>374.68063233499998</v>
      </c>
      <c r="BR13" s="17">
        <f t="shared" si="67"/>
        <v>386.02317436940001</v>
      </c>
      <c r="BS13" s="17">
        <f t="shared" si="68"/>
        <v>397.70908419149998</v>
      </c>
      <c r="BT13" s="17">
        <f t="shared" si="69"/>
        <v>409.74875642329999</v>
      </c>
      <c r="BU13" s="17">
        <f t="shared" si="70"/>
        <v>422.15290035869998</v>
      </c>
      <c r="BV13" s="17">
        <f t="shared" si="71"/>
        <v>434.93254948930002</v>
      </c>
      <c r="BW13" s="17">
        <f t="shared" si="72"/>
        <v>448.0990713187</v>
      </c>
      <c r="BX13" s="17">
        <f t="shared" si="73"/>
        <v>461.66417747409997</v>
      </c>
      <c r="BY13" s="17">
        <f t="shared" si="74"/>
        <v>475.63993412360003</v>
      </c>
      <c r="BZ13" s="17">
        <f t="shared" si="75"/>
        <v>490.03877270890001</v>
      </c>
      <c r="CA13" s="17">
        <f t="shared" si="76"/>
        <v>504.8735010035</v>
      </c>
      <c r="CB13" s="17">
        <f t="shared" si="77"/>
        <v>520.1573145049</v>
      </c>
      <c r="CC13" s="17">
        <f t="shared" si="78"/>
        <v>535.90380817209996</v>
      </c>
      <c r="CD13" s="17">
        <f t="shared" si="79"/>
        <v>552.12698851829998</v>
      </c>
      <c r="CE13" s="17">
        <f t="shared" si="80"/>
        <v>568.8412860697</v>
      </c>
      <c r="CF13" s="17">
        <f t="shared" si="81"/>
        <v>586.06156820149999</v>
      </c>
      <c r="CG13" s="17">
        <f t="shared" si="82"/>
        <v>603.80315236249999</v>
      </c>
      <c r="CH13" s="17">
        <f t="shared" si="83"/>
        <v>622.08181969980001</v>
      </c>
      <c r="CI13" s="17">
        <f t="shared" si="84"/>
        <v>640.91382909619995</v>
      </c>
      <c r="CJ13" s="17">
        <f t="shared" si="85"/>
        <v>660.31593163260004</v>
      </c>
      <c r="CK13" s="17">
        <f t="shared" si="86"/>
        <v>680.30538548790003</v>
      </c>
      <c r="CL13" s="17">
        <f t="shared" si="87"/>
        <v>700.89997129029996</v>
      </c>
      <c r="CM13" s="17">
        <f t="shared" si="88"/>
        <v>722.11800793320003</v>
      </c>
      <c r="CN13" s="17">
        <f t="shared" si="89"/>
        <v>743.97836886979997</v>
      </c>
      <c r="CO13" s="17">
        <f t="shared" si="90"/>
        <v>766.50049890089997</v>
      </c>
      <c r="CP13" s="17">
        <f t="shared" si="91"/>
        <v>789.70443147139997</v>
      </c>
      <c r="CQ13" s="17">
        <f t="shared" si="92"/>
        <v>813.61080648979998</v>
      </c>
      <c r="CR13" s="17">
        <f t="shared" si="93"/>
        <v>838.2408886874</v>
      </c>
      <c r="CS13" s="17">
        <f t="shared" si="94"/>
        <v>863.61658653339998</v>
      </c>
      <c r="CT13" s="17">
        <f t="shared" si="95"/>
        <v>889.76047172250003</v>
      </c>
      <c r="CU13" s="17">
        <f t="shared" si="96"/>
        <v>916.69579925239998</v>
      </c>
      <c r="CV13" s="17">
        <f t="shared" si="97"/>
        <v>944.44652810909997</v>
      </c>
      <c r="CW13" s="17">
        <f t="shared" si="98"/>
        <v>973.03734257839994</v>
      </c>
      <c r="CX13" s="17">
        <f t="shared" si="99"/>
        <v>1002.4936742026</v>
      </c>
      <c r="CY13" s="17">
        <f t="shared" si="100"/>
        <v>1032.841724402</v>
      </c>
      <c r="CZ13" s="17">
        <f t="shared" si="101"/>
        <v>1064.1084877809999</v>
      </c>
      <c r="DA13" s="17">
        <f t="shared" si="102"/>
        <v>1096.3217761397</v>
      </c>
      <c r="DB13" s="17">
        <f t="shared" si="103"/>
        <v>1129.5102432126</v>
      </c>
    </row>
    <row r="14" spans="1:106" x14ac:dyDescent="0.2">
      <c r="A14">
        <f t="shared" si="7"/>
        <v>19212541264840</v>
      </c>
      <c r="B14" s="71">
        <f t="shared" si="8"/>
        <v>7.5780113468888628E-18</v>
      </c>
      <c r="C14" s="71">
        <f t="shared" si="9"/>
        <v>9.3894366592070468E-18</v>
      </c>
      <c r="D14" s="177">
        <f t="shared" si="104"/>
        <v>10</v>
      </c>
      <c r="O14" s="18">
        <f>IF(O$3="","",ROUND(N13*DownMove,RoundDigits))</f>
        <v>70.525154373600003</v>
      </c>
      <c r="P14" s="17">
        <f t="shared" si="110"/>
        <v>72.660131361799998</v>
      </c>
      <c r="Q14" s="17">
        <f t="shared" si="111"/>
        <v>74.859739569599995</v>
      </c>
      <c r="R14" s="17">
        <f t="shared" si="112"/>
        <v>77.125935549499999</v>
      </c>
      <c r="S14" s="17">
        <f t="shared" si="112"/>
        <v>79.460735083900005</v>
      </c>
      <c r="T14" s="17">
        <f t="shared" si="112"/>
        <v>81.866214978000002</v>
      </c>
      <c r="U14" s="17">
        <f t="shared" si="18"/>
        <v>84.344514907199994</v>
      </c>
      <c r="V14" s="17">
        <f t="shared" si="19"/>
        <v>86.897839320399996</v>
      </c>
      <c r="W14" s="17">
        <f t="shared" si="20"/>
        <v>89.528459400900005</v>
      </c>
      <c r="X14" s="17">
        <f t="shared" si="21"/>
        <v>92.238715086400006</v>
      </c>
      <c r="Y14" s="17">
        <f t="shared" si="22"/>
        <v>95.031017150599993</v>
      </c>
      <c r="Z14" s="17">
        <f t="shared" si="23"/>
        <v>97.907849347400003</v>
      </c>
      <c r="AA14" s="17">
        <f t="shared" si="24"/>
        <v>100.8717706203</v>
      </c>
      <c r="AB14" s="17">
        <f t="shared" si="25"/>
        <v>103.9254173786</v>
      </c>
      <c r="AC14" s="17">
        <f t="shared" si="26"/>
        <v>107.0715058426</v>
      </c>
      <c r="AD14" s="17">
        <f t="shared" si="27"/>
        <v>110.31283445930001</v>
      </c>
      <c r="AE14" s="17">
        <f t="shared" si="28"/>
        <v>113.65228639199999</v>
      </c>
      <c r="AF14" s="17">
        <f t="shared" si="29"/>
        <v>117.09283208470001</v>
      </c>
      <c r="AG14" s="17">
        <f t="shared" si="30"/>
        <v>120.6375319043</v>
      </c>
      <c r="AH14" s="17">
        <f t="shared" si="31"/>
        <v>124.2895388629</v>
      </c>
      <c r="AI14" s="17">
        <f t="shared" si="32"/>
        <v>128.0521014224</v>
      </c>
      <c r="AJ14" s="17">
        <f t="shared" si="33"/>
        <v>131.92856638379999</v>
      </c>
      <c r="AK14" s="17">
        <f t="shared" si="34"/>
        <v>135.92238186450001</v>
      </c>
      <c r="AL14" s="17">
        <f t="shared" si="35"/>
        <v>140.03710036519999</v>
      </c>
      <c r="AM14" s="17">
        <f t="shared" si="36"/>
        <v>144.27638192980001</v>
      </c>
      <c r="AN14" s="17">
        <f t="shared" si="37"/>
        <v>148.64399740120001</v>
      </c>
      <c r="AO14" s="17">
        <f t="shared" si="38"/>
        <v>153.14383177529999</v>
      </c>
      <c r="AP14" s="17">
        <f t="shared" si="39"/>
        <v>157.77988765680001</v>
      </c>
      <c r="AQ14" s="17">
        <f t="shared" si="40"/>
        <v>162.5562888195</v>
      </c>
      <c r="AR14" s="17">
        <f t="shared" si="41"/>
        <v>167.4772838744</v>
      </c>
      <c r="AS14" s="17">
        <f t="shared" si="42"/>
        <v>172.54725004880001</v>
      </c>
      <c r="AT14" s="17">
        <f t="shared" si="43"/>
        <v>177.7706970799</v>
      </c>
      <c r="AU14" s="17">
        <f t="shared" si="44"/>
        <v>183.1522712263</v>
      </c>
      <c r="AV14" s="17">
        <f t="shared" si="45"/>
        <v>188.69675940050001</v>
      </c>
      <c r="AW14" s="17">
        <f t="shared" si="46"/>
        <v>194.40909342730001</v>
      </c>
      <c r="AX14" s="17">
        <f t="shared" si="47"/>
        <v>200.29435443029999</v>
      </c>
      <c r="AY14" s="17">
        <f t="shared" si="48"/>
        <v>206.35777735190001</v>
      </c>
      <c r="AZ14" s="17">
        <f t="shared" si="49"/>
        <v>212.60475560949999</v>
      </c>
      <c r="BA14" s="17">
        <f t="shared" si="50"/>
        <v>219.0408458931</v>
      </c>
      <c r="BB14" s="17">
        <f t="shared" si="51"/>
        <v>225.67177310790001</v>
      </c>
      <c r="BC14" s="17">
        <f t="shared" si="52"/>
        <v>232.5034354666</v>
      </c>
      <c r="BD14" s="17">
        <f t="shared" si="53"/>
        <v>239.54190973600001</v>
      </c>
      <c r="BE14" s="17">
        <f t="shared" si="54"/>
        <v>246.79345664210001</v>
      </c>
      <c r="BF14" s="17">
        <f t="shared" si="55"/>
        <v>254.26452643920001</v>
      </c>
      <c r="BG14" s="17">
        <f t="shared" si="56"/>
        <v>261.96176464720003</v>
      </c>
      <c r="BH14" s="17">
        <f t="shared" si="57"/>
        <v>269.89201796290001</v>
      </c>
      <c r="BI14" s="17">
        <f t="shared" si="58"/>
        <v>278.06234035030002</v>
      </c>
      <c r="BJ14" s="17">
        <f t="shared" si="59"/>
        <v>286.47999931480001</v>
      </c>
      <c r="BK14" s="17">
        <f t="shared" si="60"/>
        <v>295.15248236790001</v>
      </c>
      <c r="BL14" s="17">
        <f t="shared" si="61"/>
        <v>304.08750368710002</v>
      </c>
      <c r="BM14" s="17">
        <f t="shared" si="62"/>
        <v>313.29301097799998</v>
      </c>
      <c r="BN14" s="17">
        <f t="shared" si="63"/>
        <v>322.77719254340002</v>
      </c>
      <c r="BO14" s="17">
        <f t="shared" si="64"/>
        <v>332.54848456709999</v>
      </c>
      <c r="BP14" s="17">
        <f t="shared" si="65"/>
        <v>342.6155786178</v>
      </c>
      <c r="BQ14" s="17">
        <f t="shared" si="66"/>
        <v>352.98742938010002</v>
      </c>
      <c r="BR14" s="17">
        <f t="shared" si="67"/>
        <v>363.67326262</v>
      </c>
      <c r="BS14" s="17">
        <f t="shared" si="68"/>
        <v>374.68258339099998</v>
      </c>
      <c r="BT14" s="17">
        <f t="shared" si="69"/>
        <v>386.02518448889998</v>
      </c>
      <c r="BU14" s="17">
        <f t="shared" si="70"/>
        <v>397.71115516240002</v>
      </c>
      <c r="BV14" s="17">
        <f t="shared" si="71"/>
        <v>409.75089008779997</v>
      </c>
      <c r="BW14" s="17">
        <f t="shared" si="72"/>
        <v>422.15509861459998</v>
      </c>
      <c r="BX14" s="17">
        <f t="shared" si="73"/>
        <v>434.934814292</v>
      </c>
      <c r="BY14" s="17">
        <f t="shared" si="74"/>
        <v>448.10140468280002</v>
      </c>
      <c r="BZ14" s="17">
        <f t="shared" si="75"/>
        <v>461.66658147509997</v>
      </c>
      <c r="CA14" s="17">
        <f t="shared" si="76"/>
        <v>475.64241089979998</v>
      </c>
      <c r="CB14" s="17">
        <f t="shared" si="77"/>
        <v>490.04132446350002</v>
      </c>
      <c r="CC14" s="17">
        <f t="shared" si="78"/>
        <v>504.87613000620001</v>
      </c>
      <c r="CD14" s="17">
        <f t="shared" si="79"/>
        <v>520.16002309420003</v>
      </c>
      <c r="CE14" s="17">
        <f t="shared" si="80"/>
        <v>535.9065987573</v>
      </c>
      <c r="CF14" s="17">
        <f t="shared" si="81"/>
        <v>552.12986358160003</v>
      </c>
      <c r="CG14" s="17">
        <f t="shared" si="82"/>
        <v>568.84424816850003</v>
      </c>
      <c r="CH14" s="17">
        <f t="shared" si="83"/>
        <v>586.06461997070005</v>
      </c>
      <c r="CI14" s="17">
        <f t="shared" si="84"/>
        <v>603.80629651660001</v>
      </c>
      <c r="CJ14" s="17">
        <f t="shared" si="85"/>
        <v>622.08505903549997</v>
      </c>
      <c r="CK14" s="17">
        <f t="shared" si="86"/>
        <v>640.91716649490002</v>
      </c>
      <c r="CL14" s="17">
        <f t="shared" si="87"/>
        <v>660.31937006290002</v>
      </c>
      <c r="CM14" s="17">
        <f t="shared" si="88"/>
        <v>680.30892800829997</v>
      </c>
      <c r="CN14" s="17">
        <f t="shared" si="89"/>
        <v>700.90362105190002</v>
      </c>
      <c r="CO14" s="17">
        <f t="shared" si="90"/>
        <v>722.12176818240005</v>
      </c>
      <c r="CP14" s="17">
        <f t="shared" si="91"/>
        <v>743.98224295130001</v>
      </c>
      <c r="CQ14" s="17">
        <f t="shared" si="92"/>
        <v>766.50449026080003</v>
      </c>
      <c r="CR14" s="17">
        <f t="shared" si="93"/>
        <v>789.70854366000003</v>
      </c>
      <c r="CS14" s="17">
        <f t="shared" si="94"/>
        <v>813.6150431648</v>
      </c>
      <c r="CT14" s="17">
        <f t="shared" si="95"/>
        <v>838.24525361739995</v>
      </c>
      <c r="CU14" s="17">
        <f t="shared" si="96"/>
        <v>863.62108360100001</v>
      </c>
      <c r="CV14" s="17">
        <f t="shared" si="97"/>
        <v>889.76510492789998</v>
      </c>
      <c r="CW14" s="17">
        <f t="shared" si="98"/>
        <v>916.70057271680002</v>
      </c>
      <c r="CX14" s="17">
        <f t="shared" si="99"/>
        <v>944.4514460785</v>
      </c>
      <c r="CY14" s="17">
        <f t="shared" si="100"/>
        <v>973.04240942729996</v>
      </c>
      <c r="CZ14" s="17">
        <f t="shared" si="101"/>
        <v>1002.498894438</v>
      </c>
      <c r="DA14" s="17">
        <f t="shared" si="102"/>
        <v>1032.8471026673001</v>
      </c>
      <c r="DB14" s="17">
        <f t="shared" si="103"/>
        <v>1064.1140288602001</v>
      </c>
    </row>
    <row r="15" spans="1:106" x14ac:dyDescent="0.2">
      <c r="A15">
        <f t="shared" si="7"/>
        <v>158940114100040.06</v>
      </c>
      <c r="B15" s="71">
        <f t="shared" si="8"/>
        <v>6.2690821142444253E-17</v>
      </c>
      <c r="C15" s="71">
        <f t="shared" si="9"/>
        <v>7.7265578758774959E-17</v>
      </c>
      <c r="D15" s="177">
        <f t="shared" si="104"/>
        <v>11</v>
      </c>
      <c r="P15" s="18">
        <f>IF(P$3="","",ROUND(O14*DownMove,RoundDigits))</f>
        <v>68.453265993299993</v>
      </c>
      <c r="Q15" s="17">
        <f t="shared" si="111"/>
        <v>70.525521615599999</v>
      </c>
      <c r="R15" s="17">
        <f t="shared" si="112"/>
        <v>72.6605097212</v>
      </c>
      <c r="S15" s="17">
        <f t="shared" si="112"/>
        <v>74.860129382899999</v>
      </c>
      <c r="T15" s="17">
        <f t="shared" si="112"/>
        <v>77.126337163499997</v>
      </c>
      <c r="U15" s="17">
        <f t="shared" si="18"/>
        <v>79.461148855800005</v>
      </c>
      <c r="V15" s="17">
        <f t="shared" si="19"/>
        <v>81.866641275800006</v>
      </c>
      <c r="W15" s="17">
        <f t="shared" si="20"/>
        <v>84.344954110100005</v>
      </c>
      <c r="X15" s="17">
        <f t="shared" si="21"/>
        <v>86.898291819099995</v>
      </c>
      <c r="Y15" s="17">
        <f t="shared" si="22"/>
        <v>89.528925597899999</v>
      </c>
      <c r="Z15" s="17">
        <f t="shared" si="23"/>
        <v>92.239195396400007</v>
      </c>
      <c r="AA15" s="17">
        <f t="shared" si="24"/>
        <v>95.031512000800006</v>
      </c>
      <c r="AB15" s="17">
        <f t="shared" si="25"/>
        <v>97.908359177899996</v>
      </c>
      <c r="AC15" s="17">
        <f t="shared" si="26"/>
        <v>100.87229588469999</v>
      </c>
      <c r="AD15" s="17">
        <f t="shared" si="27"/>
        <v>103.9259585441</v>
      </c>
      <c r="AE15" s="17">
        <f t="shared" si="28"/>
        <v>107.07206339050001</v>
      </c>
      <c r="AF15" s="17">
        <f t="shared" si="29"/>
        <v>110.3134088856</v>
      </c>
      <c r="AG15" s="17">
        <f t="shared" si="30"/>
        <v>113.6528782076</v>
      </c>
      <c r="AH15" s="17">
        <f t="shared" si="31"/>
        <v>117.093441816</v>
      </c>
      <c r="AI15" s="17">
        <f t="shared" si="32"/>
        <v>120.63816009369999</v>
      </c>
      <c r="AJ15" s="17">
        <f t="shared" si="33"/>
        <v>124.2901860692</v>
      </c>
      <c r="AK15" s="17">
        <f t="shared" si="34"/>
        <v>128.0527682213</v>
      </c>
      <c r="AL15" s="17">
        <f t="shared" si="35"/>
        <v>131.92925336850001</v>
      </c>
      <c r="AM15" s="17">
        <f t="shared" si="36"/>
        <v>135.92308964599999</v>
      </c>
      <c r="AN15" s="17">
        <f t="shared" si="37"/>
        <v>140.03782957300001</v>
      </c>
      <c r="AO15" s="17">
        <f t="shared" si="38"/>
        <v>144.27713321260001</v>
      </c>
      <c r="AP15" s="17">
        <f t="shared" si="39"/>
        <v>148.6447714272</v>
      </c>
      <c r="AQ15" s="17">
        <f t="shared" si="40"/>
        <v>153.14462923299999</v>
      </c>
      <c r="AR15" s="17">
        <f t="shared" si="41"/>
        <v>157.78070925559999</v>
      </c>
      <c r="AS15" s="17">
        <f t="shared" si="42"/>
        <v>162.55713529019999</v>
      </c>
      <c r="AT15" s="17">
        <f t="shared" si="43"/>
        <v>167.4781559699</v>
      </c>
      <c r="AU15" s="17">
        <f t="shared" si="44"/>
        <v>172.54814854489999</v>
      </c>
      <c r="AV15" s="17">
        <f t="shared" si="45"/>
        <v>177.77162277580001</v>
      </c>
      <c r="AW15" s="17">
        <f t="shared" si="46"/>
        <v>183.1532249453</v>
      </c>
      <c r="AX15" s="17">
        <f t="shared" si="47"/>
        <v>188.69774199099999</v>
      </c>
      <c r="AY15" s="17">
        <f t="shared" si="48"/>
        <v>194.41010576330001</v>
      </c>
      <c r="AZ15" s="17">
        <f t="shared" si="49"/>
        <v>200.29539741229999</v>
      </c>
      <c r="BA15" s="17">
        <f t="shared" si="50"/>
        <v>206.35885190760001</v>
      </c>
      <c r="BB15" s="17">
        <f t="shared" si="51"/>
        <v>212.60586269469999</v>
      </c>
      <c r="BC15" s="17">
        <f t="shared" si="52"/>
        <v>219.04198649259999</v>
      </c>
      <c r="BD15" s="17">
        <f t="shared" si="53"/>
        <v>225.6729482362</v>
      </c>
      <c r="BE15" s="17">
        <f t="shared" si="54"/>
        <v>232.50464616900001</v>
      </c>
      <c r="BF15" s="17">
        <f t="shared" si="55"/>
        <v>239.54315708940001</v>
      </c>
      <c r="BG15" s="17">
        <f t="shared" si="56"/>
        <v>246.7947417561</v>
      </c>
      <c r="BH15" s="17">
        <f t="shared" si="57"/>
        <v>254.2658504568</v>
      </c>
      <c r="BI15" s="17">
        <f t="shared" si="58"/>
        <v>261.96312874620003</v>
      </c>
      <c r="BJ15" s="17">
        <f t="shared" si="59"/>
        <v>269.8934233567</v>
      </c>
      <c r="BK15" s="17">
        <f t="shared" si="60"/>
        <v>278.063788289</v>
      </c>
      <c r="BL15" s="17">
        <f t="shared" si="61"/>
        <v>286.48149108630003</v>
      </c>
      <c r="BM15" s="17">
        <f t="shared" si="62"/>
        <v>295.15401929910001</v>
      </c>
      <c r="BN15" s="17">
        <f t="shared" si="63"/>
        <v>304.08908714519998</v>
      </c>
      <c r="BO15" s="17">
        <f t="shared" si="64"/>
        <v>313.29464237140002</v>
      </c>
      <c r="BP15" s="17">
        <f t="shared" si="65"/>
        <v>322.7788733232</v>
      </c>
      <c r="BQ15" s="17">
        <f t="shared" si="66"/>
        <v>332.55021622840002</v>
      </c>
      <c r="BR15" s="17">
        <f t="shared" si="67"/>
        <v>342.6173627009</v>
      </c>
      <c r="BS15" s="17">
        <f t="shared" si="68"/>
        <v>352.98926747199999</v>
      </c>
      <c r="BT15" s="17">
        <f t="shared" si="69"/>
        <v>363.67515635569998</v>
      </c>
      <c r="BU15" s="17">
        <f t="shared" si="70"/>
        <v>374.68453445490002</v>
      </c>
      <c r="BV15" s="17">
        <f t="shared" si="71"/>
        <v>386.02719461650003</v>
      </c>
      <c r="BW15" s="17">
        <f t="shared" si="72"/>
        <v>397.71322614169998</v>
      </c>
      <c r="BX15" s="17">
        <f t="shared" si="73"/>
        <v>409.75302376090002</v>
      </c>
      <c r="BY15" s="17">
        <f t="shared" si="74"/>
        <v>422.1572968795</v>
      </c>
      <c r="BZ15" s="17">
        <f t="shared" si="75"/>
        <v>434.93707910400002</v>
      </c>
      <c r="CA15" s="17">
        <f t="shared" si="76"/>
        <v>448.10373805649999</v>
      </c>
      <c r="CB15" s="17">
        <f t="shared" si="77"/>
        <v>461.668985486</v>
      </c>
      <c r="CC15" s="17">
        <f t="shared" si="78"/>
        <v>475.64488768630002</v>
      </c>
      <c r="CD15" s="17">
        <f t="shared" si="79"/>
        <v>490.04387622860003</v>
      </c>
      <c r="CE15" s="17">
        <f t="shared" si="80"/>
        <v>504.87875901979999</v>
      </c>
      <c r="CF15" s="17">
        <f t="shared" si="81"/>
        <v>520.16273169479996</v>
      </c>
      <c r="CG15" s="17">
        <f t="shared" si="82"/>
        <v>535.90938935420002</v>
      </c>
      <c r="CH15" s="17">
        <f t="shared" si="83"/>
        <v>552.132738657</v>
      </c>
      <c r="CI15" s="17">
        <f t="shared" si="84"/>
        <v>568.84721027980004</v>
      </c>
      <c r="CJ15" s="17">
        <f t="shared" si="85"/>
        <v>586.06767175269999</v>
      </c>
      <c r="CK15" s="17">
        <f t="shared" si="86"/>
        <v>603.80944068379995</v>
      </c>
      <c r="CL15" s="17">
        <f t="shared" si="87"/>
        <v>622.08829838470001</v>
      </c>
      <c r="CM15" s="17">
        <f t="shared" si="88"/>
        <v>640.92050390750001</v>
      </c>
      <c r="CN15" s="17">
        <f t="shared" si="89"/>
        <v>660.32280850749999</v>
      </c>
      <c r="CO15" s="17">
        <f t="shared" si="90"/>
        <v>680.31247054339997</v>
      </c>
      <c r="CP15" s="17">
        <f t="shared" si="91"/>
        <v>700.90727082859996</v>
      </c>
      <c r="CQ15" s="17">
        <f t="shared" si="92"/>
        <v>722.12552844720005</v>
      </c>
      <c r="CR15" s="17">
        <f t="shared" si="93"/>
        <v>743.98611704899997</v>
      </c>
      <c r="CS15" s="17">
        <f t="shared" si="94"/>
        <v>766.50848163729995</v>
      </c>
      <c r="CT15" s="17">
        <f t="shared" si="95"/>
        <v>789.71265586569996</v>
      </c>
      <c r="CU15" s="17">
        <f t="shared" si="96"/>
        <v>813.61927985750003</v>
      </c>
      <c r="CV15" s="17">
        <f t="shared" si="97"/>
        <v>838.24961856560003</v>
      </c>
      <c r="CW15" s="17">
        <f t="shared" si="98"/>
        <v>863.62558068739997</v>
      </c>
      <c r="CX15" s="17">
        <f t="shared" si="99"/>
        <v>889.76973815259998</v>
      </c>
      <c r="CY15" s="17">
        <f t="shared" si="100"/>
        <v>916.70534620110004</v>
      </c>
      <c r="CZ15" s="17">
        <f t="shared" si="101"/>
        <v>944.45636406840003</v>
      </c>
      <c r="DA15" s="17">
        <f t="shared" si="102"/>
        <v>973.04747629730002</v>
      </c>
      <c r="DB15" s="17">
        <f t="shared" si="103"/>
        <v>1002.5041146951</v>
      </c>
    </row>
    <row r="16" spans="1:106" x14ac:dyDescent="0.2">
      <c r="A16">
        <f t="shared" si="7"/>
        <v>1192050855750300.2</v>
      </c>
      <c r="B16" s="71">
        <f t="shared" si="8"/>
        <v>4.7018115856833181E-16</v>
      </c>
      <c r="C16" s="71">
        <f t="shared" si="9"/>
        <v>5.7642809985338303E-16</v>
      </c>
      <c r="D16" s="177">
        <f t="shared" si="104"/>
        <v>12</v>
      </c>
      <c r="Q16" s="18">
        <f>IF(Q$3="","",ROUND(P15*DownMove,RoundDigits))</f>
        <v>66.442245561500002</v>
      </c>
      <c r="R16" s="17">
        <f t="shared" si="112"/>
        <v>68.453622446500006</v>
      </c>
      <c r="S16" s="17">
        <f t="shared" si="112"/>
        <v>70.5258888595</v>
      </c>
      <c r="T16" s="17">
        <f t="shared" si="112"/>
        <v>72.660888082499994</v>
      </c>
      <c r="U16" s="17">
        <f t="shared" si="18"/>
        <v>74.860519198199995</v>
      </c>
      <c r="V16" s="17">
        <f t="shared" si="19"/>
        <v>77.126738779500002</v>
      </c>
      <c r="W16" s="17">
        <f t="shared" si="20"/>
        <v>79.461562629699998</v>
      </c>
      <c r="X16" s="17">
        <f t="shared" si="21"/>
        <v>81.867067575700005</v>
      </c>
      <c r="Y16" s="17">
        <f t="shared" si="22"/>
        <v>84.345393315199999</v>
      </c>
      <c r="Z16" s="17">
        <f t="shared" si="23"/>
        <v>86.898744320099993</v>
      </c>
      <c r="AA16" s="17">
        <f t="shared" si="24"/>
        <v>89.529391797200006</v>
      </c>
      <c r="AB16" s="17">
        <f t="shared" si="25"/>
        <v>92.239675708700005</v>
      </c>
      <c r="AC16" s="17">
        <f t="shared" si="26"/>
        <v>95.032006853300004</v>
      </c>
      <c r="AD16" s="17">
        <f t="shared" si="27"/>
        <v>97.908869010900005</v>
      </c>
      <c r="AE16" s="17">
        <f t="shared" si="28"/>
        <v>100.87282115159999</v>
      </c>
      <c r="AF16" s="17">
        <f t="shared" si="29"/>
        <v>103.9264997122</v>
      </c>
      <c r="AG16" s="17">
        <f t="shared" si="30"/>
        <v>107.0726209412</v>
      </c>
      <c r="AH16" s="17">
        <f t="shared" si="31"/>
        <v>110.3139833148</v>
      </c>
      <c r="AI16" s="17">
        <f t="shared" si="32"/>
        <v>113.6534700263</v>
      </c>
      <c r="AJ16" s="17">
        <f t="shared" si="33"/>
        <v>117.0940515506</v>
      </c>
      <c r="AK16" s="17">
        <f t="shared" si="34"/>
        <v>120.6387882866</v>
      </c>
      <c r="AL16" s="17">
        <f t="shared" si="35"/>
        <v>124.2908332791</v>
      </c>
      <c r="AM16" s="17">
        <f t="shared" si="36"/>
        <v>128.05343502389999</v>
      </c>
      <c r="AN16" s="17">
        <f t="shared" si="37"/>
        <v>131.9299403569</v>
      </c>
      <c r="AO16" s="17">
        <f t="shared" si="38"/>
        <v>135.92379743129999</v>
      </c>
      <c r="AP16" s="17">
        <f t="shared" si="39"/>
        <v>140.03855878479999</v>
      </c>
      <c r="AQ16" s="17">
        <f t="shared" si="40"/>
        <v>144.2778844995</v>
      </c>
      <c r="AR16" s="17">
        <f t="shared" si="41"/>
        <v>148.64554545749999</v>
      </c>
      <c r="AS16" s="17">
        <f t="shared" si="42"/>
        <v>153.1454266952</v>
      </c>
      <c r="AT16" s="17">
        <f t="shared" si="43"/>
        <v>157.78153085899999</v>
      </c>
      <c r="AU16" s="17">
        <f t="shared" si="44"/>
        <v>162.5579817656</v>
      </c>
      <c r="AV16" s="17">
        <f t="shared" si="45"/>
        <v>167.47902807029999</v>
      </c>
      <c r="AW16" s="17">
        <f t="shared" si="46"/>
        <v>172.549047046</v>
      </c>
      <c r="AX16" s="17">
        <f t="shared" si="47"/>
        <v>177.7725484769</v>
      </c>
      <c r="AY16" s="17">
        <f t="shared" si="48"/>
        <v>183.15417866979999</v>
      </c>
      <c r="AZ16" s="17">
        <f t="shared" si="49"/>
        <v>188.69872458719999</v>
      </c>
      <c r="BA16" s="17">
        <f t="shared" si="50"/>
        <v>194.41111810519999</v>
      </c>
      <c r="BB16" s="17">
        <f t="shared" si="51"/>
        <v>200.2964404004</v>
      </c>
      <c r="BC16" s="17">
        <f t="shared" si="52"/>
        <v>206.35992646970001</v>
      </c>
      <c r="BD16" s="17">
        <f t="shared" si="53"/>
        <v>212.60696978659999</v>
      </c>
      <c r="BE16" s="17">
        <f t="shared" si="54"/>
        <v>219.043127099</v>
      </c>
      <c r="BF16" s="17">
        <f t="shared" si="55"/>
        <v>225.67412337170001</v>
      </c>
      <c r="BG16" s="17">
        <f t="shared" si="56"/>
        <v>232.5058568789</v>
      </c>
      <c r="BH16" s="17">
        <f t="shared" si="57"/>
        <v>239.54440445060001</v>
      </c>
      <c r="BI16" s="17">
        <f t="shared" si="58"/>
        <v>246.79602687810001</v>
      </c>
      <c r="BJ16" s="17">
        <f t="shared" si="59"/>
        <v>254.26717448279999</v>
      </c>
      <c r="BK16" s="17">
        <f t="shared" si="60"/>
        <v>261.96449285379998</v>
      </c>
      <c r="BL16" s="17">
        <f t="shared" si="61"/>
        <v>269.89482875930003</v>
      </c>
      <c r="BM16" s="17">
        <f t="shared" si="62"/>
        <v>278.0652362367</v>
      </c>
      <c r="BN16" s="17">
        <f t="shared" si="63"/>
        <v>286.48298286710002</v>
      </c>
      <c r="BO16" s="17">
        <f t="shared" si="64"/>
        <v>295.15555623990002</v>
      </c>
      <c r="BP16" s="17">
        <f t="shared" si="65"/>
        <v>304.09067061309997</v>
      </c>
      <c r="BQ16" s="17">
        <f t="shared" si="66"/>
        <v>313.29627377489999</v>
      </c>
      <c r="BR16" s="17">
        <f t="shared" si="67"/>
        <v>322.78055411349999</v>
      </c>
      <c r="BS16" s="17">
        <f t="shared" si="68"/>
        <v>332.55194790050001</v>
      </c>
      <c r="BT16" s="17">
        <f t="shared" si="69"/>
        <v>342.61914679509999</v>
      </c>
      <c r="BU16" s="17">
        <f t="shared" si="70"/>
        <v>352.99110557530003</v>
      </c>
      <c r="BV16" s="17">
        <f t="shared" si="71"/>
        <v>363.67705010309999</v>
      </c>
      <c r="BW16" s="17">
        <f t="shared" si="72"/>
        <v>374.68648553089997</v>
      </c>
      <c r="BX16" s="17">
        <f t="shared" si="73"/>
        <v>386.02920475650001</v>
      </c>
      <c r="BY16" s="17">
        <f t="shared" si="74"/>
        <v>397.71529713379999</v>
      </c>
      <c r="BZ16" s="17">
        <f t="shared" si="75"/>
        <v>409.75515744720002</v>
      </c>
      <c r="CA16" s="17">
        <f t="shared" si="76"/>
        <v>422.15949515789998</v>
      </c>
      <c r="CB16" s="17">
        <f t="shared" si="77"/>
        <v>434.93934392990002</v>
      </c>
      <c r="CC16" s="17">
        <f t="shared" si="78"/>
        <v>448.1060714445</v>
      </c>
      <c r="CD16" s="17">
        <f t="shared" si="79"/>
        <v>461.6713895117</v>
      </c>
      <c r="CE16" s="17">
        <f t="shared" si="80"/>
        <v>475.64736448799999</v>
      </c>
      <c r="CF16" s="17">
        <f t="shared" si="81"/>
        <v>490.0464280095</v>
      </c>
      <c r="CG16" s="17">
        <f t="shared" si="82"/>
        <v>504.88138804959999</v>
      </c>
      <c r="CH16" s="17">
        <f t="shared" si="83"/>
        <v>520.16544031210003</v>
      </c>
      <c r="CI16" s="17">
        <f t="shared" si="84"/>
        <v>535.91217996830005</v>
      </c>
      <c r="CJ16" s="17">
        <f t="shared" si="85"/>
        <v>552.13561375020004</v>
      </c>
      <c r="CK16" s="17">
        <f t="shared" si="86"/>
        <v>568.85017240950003</v>
      </c>
      <c r="CL16" s="17">
        <f t="shared" si="87"/>
        <v>586.07072355360003</v>
      </c>
      <c r="CM16" s="17">
        <f t="shared" si="88"/>
        <v>603.81258487059995</v>
      </c>
      <c r="CN16" s="17">
        <f t="shared" si="89"/>
        <v>622.09153775410005</v>
      </c>
      <c r="CO16" s="17">
        <f t="shared" si="90"/>
        <v>640.92384134090003</v>
      </c>
      <c r="CP16" s="17">
        <f t="shared" si="91"/>
        <v>660.32624697350002</v>
      </c>
      <c r="CQ16" s="17">
        <f t="shared" si="92"/>
        <v>680.3160131006</v>
      </c>
      <c r="CR16" s="17">
        <f t="shared" si="93"/>
        <v>700.91092062810003</v>
      </c>
      <c r="CS16" s="17">
        <f t="shared" si="94"/>
        <v>722.12928873550004</v>
      </c>
      <c r="CT16" s="17">
        <f t="shared" si="95"/>
        <v>743.98999117079995</v>
      </c>
      <c r="CU16" s="17">
        <f t="shared" si="96"/>
        <v>766.51247303870002</v>
      </c>
      <c r="CV16" s="17">
        <f t="shared" si="97"/>
        <v>789.716768097</v>
      </c>
      <c r="CW16" s="17">
        <f t="shared" si="98"/>
        <v>813.62351657659997</v>
      </c>
      <c r="CX16" s="17">
        <f t="shared" si="99"/>
        <v>838.25398354100003</v>
      </c>
      <c r="CY16" s="17">
        <f t="shared" si="100"/>
        <v>863.63007780179998</v>
      </c>
      <c r="CZ16" s="17">
        <f t="shared" si="101"/>
        <v>889.77437140619998</v>
      </c>
      <c r="DA16" s="17">
        <f t="shared" si="102"/>
        <v>916.71011971509995</v>
      </c>
      <c r="DB16" s="17">
        <f t="shared" si="103"/>
        <v>944.46128208879998</v>
      </c>
    </row>
    <row r="17" spans="1:106" x14ac:dyDescent="0.2">
      <c r="A17">
        <f t="shared" si="7"/>
        <v>8160963550905900</v>
      </c>
      <c r="B17" s="71">
        <f t="shared" si="8"/>
        <v>3.2189325471216556E-15</v>
      </c>
      <c r="C17" s="71">
        <f t="shared" si="9"/>
        <v>3.9254515045323708E-15</v>
      </c>
      <c r="D17" s="177">
        <f t="shared" si="104"/>
        <v>13</v>
      </c>
      <c r="R17" s="18">
        <f>IF(R$3="","",ROUND(Q16*DownMove,RoundDigits))</f>
        <v>64.490304899199998</v>
      </c>
      <c r="S17" s="17">
        <f t="shared" si="112"/>
        <v>66.442591542800002</v>
      </c>
      <c r="T17" s="17">
        <f t="shared" si="112"/>
        <v>68.453978901599996</v>
      </c>
      <c r="U17" s="17">
        <f t="shared" si="18"/>
        <v>70.526256105499996</v>
      </c>
      <c r="V17" s="17">
        <f t="shared" si="19"/>
        <v>72.661266445999999</v>
      </c>
      <c r="W17" s="17">
        <f t="shared" si="20"/>
        <v>74.860909015700003</v>
      </c>
      <c r="X17" s="17">
        <f t="shared" si="21"/>
        <v>77.127140397700003</v>
      </c>
      <c r="Y17" s="17">
        <f t="shared" si="22"/>
        <v>79.461976405900003</v>
      </c>
      <c r="Z17" s="17">
        <f t="shared" si="23"/>
        <v>81.867493877900003</v>
      </c>
      <c r="AA17" s="17">
        <f t="shared" si="24"/>
        <v>84.345832522699993</v>
      </c>
      <c r="AB17" s="17">
        <f t="shared" si="25"/>
        <v>86.899196823500006</v>
      </c>
      <c r="AC17" s="17">
        <f t="shared" si="26"/>
        <v>89.529857999100003</v>
      </c>
      <c r="AD17" s="17">
        <f t="shared" si="27"/>
        <v>92.240156023699996</v>
      </c>
      <c r="AE17" s="17">
        <f t="shared" si="28"/>
        <v>95.032501708699996</v>
      </c>
      <c r="AF17" s="17">
        <f t="shared" si="29"/>
        <v>97.909378846799996</v>
      </c>
      <c r="AG17" s="17">
        <f t="shared" si="30"/>
        <v>100.8733464216</v>
      </c>
      <c r="AH17" s="17">
        <f t="shared" si="31"/>
        <v>103.9270408835</v>
      </c>
      <c r="AI17" s="17">
        <f t="shared" si="32"/>
        <v>107.0731784951</v>
      </c>
      <c r="AJ17" s="17">
        <f t="shared" si="33"/>
        <v>110.3145577473</v>
      </c>
      <c r="AK17" s="17">
        <f t="shared" si="34"/>
        <v>113.6540618483</v>
      </c>
      <c r="AL17" s="17">
        <f t="shared" si="35"/>
        <v>117.09466128859999</v>
      </c>
      <c r="AM17" s="17">
        <f t="shared" si="36"/>
        <v>120.6394164829</v>
      </c>
      <c r="AN17" s="17">
        <f t="shared" si="37"/>
        <v>124.2914804925</v>
      </c>
      <c r="AO17" s="17">
        <f t="shared" si="38"/>
        <v>128.0541018301</v>
      </c>
      <c r="AP17" s="17">
        <f t="shared" si="39"/>
        <v>131.93062734899999</v>
      </c>
      <c r="AQ17" s="17">
        <f t="shared" si="40"/>
        <v>135.92450522039999</v>
      </c>
      <c r="AR17" s="17">
        <f t="shared" si="41"/>
        <v>140.03928800049999</v>
      </c>
      <c r="AS17" s="17">
        <f t="shared" si="42"/>
        <v>144.27863579039999</v>
      </c>
      <c r="AT17" s="17">
        <f t="shared" si="43"/>
        <v>148.64631949189999</v>
      </c>
      <c r="AU17" s="17">
        <f t="shared" si="44"/>
        <v>153.1462241616</v>
      </c>
      <c r="AV17" s="17">
        <f t="shared" si="45"/>
        <v>157.78235246680001</v>
      </c>
      <c r="AW17" s="17">
        <f t="shared" si="46"/>
        <v>162.55882824560001</v>
      </c>
      <c r="AX17" s="17">
        <f t="shared" si="47"/>
        <v>167.47990017539999</v>
      </c>
      <c r="AY17" s="17">
        <f t="shared" si="48"/>
        <v>172.549945552</v>
      </c>
      <c r="AZ17" s="17">
        <f t="shared" si="49"/>
        <v>177.7734741829</v>
      </c>
      <c r="BA17" s="17">
        <f t="shared" si="50"/>
        <v>183.15513239929999</v>
      </c>
      <c r="BB17" s="17">
        <f t="shared" si="51"/>
        <v>188.69970718850001</v>
      </c>
      <c r="BC17" s="17">
        <f t="shared" si="52"/>
        <v>194.41213045239999</v>
      </c>
      <c r="BD17" s="17">
        <f t="shared" si="53"/>
        <v>200.2974833939</v>
      </c>
      <c r="BE17" s="17">
        <f t="shared" si="54"/>
        <v>206.3610010372</v>
      </c>
      <c r="BF17" s="17">
        <f t="shared" si="55"/>
        <v>212.60807688400001</v>
      </c>
      <c r="BG17" s="17">
        <f t="shared" si="56"/>
        <v>219.04426771109999</v>
      </c>
      <c r="BH17" s="17">
        <f t="shared" si="57"/>
        <v>225.675298513</v>
      </c>
      <c r="BI17" s="17">
        <f t="shared" si="58"/>
        <v>232.5070675947</v>
      </c>
      <c r="BJ17" s="17">
        <f t="shared" si="59"/>
        <v>239.54565181789999</v>
      </c>
      <c r="BK17" s="17">
        <f t="shared" si="60"/>
        <v>246.79731200640001</v>
      </c>
      <c r="BL17" s="17">
        <f t="shared" si="61"/>
        <v>254.26849851520001</v>
      </c>
      <c r="BM17" s="17">
        <f t="shared" si="62"/>
        <v>261.96585696810001</v>
      </c>
      <c r="BN17" s="17">
        <f t="shared" si="63"/>
        <v>269.89623416889998</v>
      </c>
      <c r="BO17" s="17">
        <f t="shared" si="64"/>
        <v>278.06668419170001</v>
      </c>
      <c r="BP17" s="17">
        <f t="shared" si="65"/>
        <v>286.48447465539999</v>
      </c>
      <c r="BQ17" s="17">
        <f t="shared" si="66"/>
        <v>295.15709318850003</v>
      </c>
      <c r="BR17" s="17">
        <f t="shared" si="67"/>
        <v>304.09225408909998</v>
      </c>
      <c r="BS17" s="17">
        <f t="shared" si="68"/>
        <v>313.29790518679999</v>
      </c>
      <c r="BT17" s="17">
        <f t="shared" si="69"/>
        <v>322.78223491239999</v>
      </c>
      <c r="BU17" s="17">
        <f t="shared" si="70"/>
        <v>332.55367958149998</v>
      </c>
      <c r="BV17" s="17">
        <f t="shared" si="71"/>
        <v>342.62093089849998</v>
      </c>
      <c r="BW17" s="17">
        <f t="shared" si="72"/>
        <v>352.99294368810001</v>
      </c>
      <c r="BX17" s="17">
        <f t="shared" si="73"/>
        <v>363.67894386019998</v>
      </c>
      <c r="BY17" s="17">
        <f t="shared" si="74"/>
        <v>374.68843661689999</v>
      </c>
      <c r="BZ17" s="17">
        <f t="shared" si="75"/>
        <v>386.0312149069</v>
      </c>
      <c r="CA17" s="17">
        <f t="shared" si="76"/>
        <v>397.71736813659999</v>
      </c>
      <c r="CB17" s="17">
        <f t="shared" si="77"/>
        <v>409.7572911446</v>
      </c>
      <c r="CC17" s="17">
        <f t="shared" si="78"/>
        <v>422.16169344780002</v>
      </c>
      <c r="CD17" s="17">
        <f t="shared" si="79"/>
        <v>434.94160876770002</v>
      </c>
      <c r="CE17" s="17">
        <f t="shared" si="80"/>
        <v>448.10840484469998</v>
      </c>
      <c r="CF17" s="17">
        <f t="shared" si="81"/>
        <v>461.67379354989998</v>
      </c>
      <c r="CG17" s="17">
        <f t="shared" si="82"/>
        <v>475.64984130260001</v>
      </c>
      <c r="CH17" s="17">
        <f t="shared" si="83"/>
        <v>490.04897980359999</v>
      </c>
      <c r="CI17" s="17">
        <f t="shared" si="84"/>
        <v>504.8840170931</v>
      </c>
      <c r="CJ17" s="17">
        <f t="shared" si="85"/>
        <v>520.16814894339996</v>
      </c>
      <c r="CK17" s="17">
        <f t="shared" si="86"/>
        <v>535.9149705968</v>
      </c>
      <c r="CL17" s="17">
        <f t="shared" si="87"/>
        <v>552.1384888581</v>
      </c>
      <c r="CM17" s="17">
        <f t="shared" si="88"/>
        <v>568.85313455419998</v>
      </c>
      <c r="CN17" s="17">
        <f t="shared" si="89"/>
        <v>586.07377537000002</v>
      </c>
      <c r="CO17" s="17">
        <f t="shared" si="90"/>
        <v>603.81572907329996</v>
      </c>
      <c r="CP17" s="17">
        <f t="shared" si="91"/>
        <v>622.09477713980004</v>
      </c>
      <c r="CQ17" s="17">
        <f t="shared" si="92"/>
        <v>640.9271787911</v>
      </c>
      <c r="CR17" s="17">
        <f t="shared" si="93"/>
        <v>660.32968545690005</v>
      </c>
      <c r="CS17" s="17">
        <f t="shared" si="94"/>
        <v>680.31955567570003</v>
      </c>
      <c r="CT17" s="17">
        <f t="shared" si="95"/>
        <v>700.91457044599997</v>
      </c>
      <c r="CU17" s="17">
        <f t="shared" si="96"/>
        <v>722.13304904270001</v>
      </c>
      <c r="CV17" s="17">
        <f t="shared" si="97"/>
        <v>743.99386531209996</v>
      </c>
      <c r="CW17" s="17">
        <f t="shared" si="98"/>
        <v>766.51646446020004</v>
      </c>
      <c r="CX17" s="17">
        <f t="shared" si="99"/>
        <v>789.72088034909996</v>
      </c>
      <c r="CY17" s="17">
        <f t="shared" si="100"/>
        <v>813.62775331709997</v>
      </c>
      <c r="CZ17" s="17">
        <f t="shared" si="101"/>
        <v>838.25834853849994</v>
      </c>
      <c r="DA17" s="17">
        <f t="shared" si="102"/>
        <v>863.63457493889996</v>
      </c>
      <c r="DB17" s="17">
        <f t="shared" si="103"/>
        <v>889.77900468309997</v>
      </c>
    </row>
    <row r="18" spans="1:106" x14ac:dyDescent="0.2">
      <c r="A18">
        <f t="shared" si="7"/>
        <v>5.1297485177122792E+16</v>
      </c>
      <c r="B18" s="71">
        <f t="shared" si="8"/>
        <v>2.023329029619326E-14</v>
      </c>
      <c r="C18" s="71">
        <f t="shared" si="9"/>
        <v>2.4543815137260971E-14</v>
      </c>
      <c r="D18" s="177">
        <f t="shared" si="104"/>
        <v>14</v>
      </c>
      <c r="S18" s="18">
        <f>IF(S$3="","",ROUND(R17*DownMove,RoundDigits))</f>
        <v>62.5957083606</v>
      </c>
      <c r="T18" s="17">
        <f t="shared" si="112"/>
        <v>64.490640716300007</v>
      </c>
      <c r="U18" s="17">
        <f t="shared" si="18"/>
        <v>66.442937525999994</v>
      </c>
      <c r="V18" s="17">
        <f t="shared" si="19"/>
        <v>68.454335358600005</v>
      </c>
      <c r="W18" s="17">
        <f t="shared" si="20"/>
        <v>70.526623353299996</v>
      </c>
      <c r="X18" s="17">
        <f t="shared" si="21"/>
        <v>72.661644811299993</v>
      </c>
      <c r="Y18" s="17">
        <f t="shared" si="22"/>
        <v>74.861298835100001</v>
      </c>
      <c r="Z18" s="17">
        <f t="shared" si="23"/>
        <v>77.127542018</v>
      </c>
      <c r="AA18" s="17">
        <f t="shared" si="24"/>
        <v>79.462390184300006</v>
      </c>
      <c r="AB18" s="17">
        <f t="shared" si="25"/>
        <v>81.867920182500001</v>
      </c>
      <c r="AC18" s="17">
        <f t="shared" si="26"/>
        <v>84.346271732600002</v>
      </c>
      <c r="AD18" s="17">
        <f t="shared" si="27"/>
        <v>86.899649329400006</v>
      </c>
      <c r="AE18" s="17">
        <f t="shared" si="28"/>
        <v>89.530324203500001</v>
      </c>
      <c r="AF18" s="17">
        <f t="shared" si="29"/>
        <v>92.240636341300004</v>
      </c>
      <c r="AG18" s="17">
        <f t="shared" si="30"/>
        <v>95.032996566799994</v>
      </c>
      <c r="AH18" s="17">
        <f t="shared" si="31"/>
        <v>97.909888685599995</v>
      </c>
      <c r="AI18" s="17">
        <f t="shared" si="32"/>
        <v>100.8738716945</v>
      </c>
      <c r="AJ18" s="17">
        <f t="shared" si="33"/>
        <v>103.92758205769999</v>
      </c>
      <c r="AK18" s="17">
        <f t="shared" si="34"/>
        <v>107.073736052</v>
      </c>
      <c r="AL18" s="17">
        <f t="shared" si="35"/>
        <v>110.3151321828</v>
      </c>
      <c r="AM18" s="17">
        <f t="shared" si="36"/>
        <v>113.65465367349999</v>
      </c>
      <c r="AN18" s="17">
        <f t="shared" si="37"/>
        <v>117.0952710298</v>
      </c>
      <c r="AO18" s="17">
        <f t="shared" si="38"/>
        <v>120.6400446825</v>
      </c>
      <c r="AP18" s="17">
        <f t="shared" si="39"/>
        <v>124.29212770940001</v>
      </c>
      <c r="AQ18" s="17">
        <f t="shared" si="40"/>
        <v>128.0547686399</v>
      </c>
      <c r="AR18" s="17">
        <f t="shared" si="41"/>
        <v>131.9313143448</v>
      </c>
      <c r="AS18" s="17">
        <f t="shared" si="42"/>
        <v>135.92521301330001</v>
      </c>
      <c r="AT18" s="17">
        <f t="shared" si="43"/>
        <v>140.0400172201</v>
      </c>
      <c r="AU18" s="17">
        <f t="shared" si="44"/>
        <v>144.2793870854</v>
      </c>
      <c r="AV18" s="17">
        <f t="shared" si="45"/>
        <v>148.6470935305</v>
      </c>
      <c r="AW18" s="17">
        <f t="shared" si="46"/>
        <v>153.14702163230001</v>
      </c>
      <c r="AX18" s="17">
        <f t="shared" si="47"/>
        <v>157.7831740789</v>
      </c>
      <c r="AY18" s="17">
        <f t="shared" si="48"/>
        <v>162.55967473000001</v>
      </c>
      <c r="AZ18" s="17">
        <f t="shared" si="49"/>
        <v>167.48077228509999</v>
      </c>
      <c r="BA18" s="17">
        <f t="shared" si="50"/>
        <v>172.55084406270001</v>
      </c>
      <c r="BB18" s="17">
        <f t="shared" si="51"/>
        <v>177.77439989379999</v>
      </c>
      <c r="BC18" s="17">
        <f t="shared" si="52"/>
        <v>183.15608613379999</v>
      </c>
      <c r="BD18" s="17">
        <f t="shared" si="53"/>
        <v>188.70068979499999</v>
      </c>
      <c r="BE18" s="17">
        <f t="shared" si="54"/>
        <v>194.41314280489999</v>
      </c>
      <c r="BF18" s="17">
        <f t="shared" si="55"/>
        <v>200.29852639289999</v>
      </c>
      <c r="BG18" s="17">
        <f t="shared" si="56"/>
        <v>206.3620756105</v>
      </c>
      <c r="BH18" s="17">
        <f t="shared" si="57"/>
        <v>212.6091839874</v>
      </c>
      <c r="BI18" s="17">
        <f t="shared" si="58"/>
        <v>219.04540832929999</v>
      </c>
      <c r="BJ18" s="17">
        <f t="shared" si="59"/>
        <v>225.6764736607</v>
      </c>
      <c r="BK18" s="17">
        <f t="shared" si="60"/>
        <v>232.50827831719999</v>
      </c>
      <c r="BL18" s="17">
        <f t="shared" si="61"/>
        <v>239.5468991921</v>
      </c>
      <c r="BM18" s="17">
        <f t="shared" si="62"/>
        <v>246.7985971418</v>
      </c>
      <c r="BN18" s="17">
        <f t="shared" si="63"/>
        <v>254.2698225549</v>
      </c>
      <c r="BO18" s="17">
        <f t="shared" si="64"/>
        <v>261.96722108979998</v>
      </c>
      <c r="BP18" s="17">
        <f t="shared" si="65"/>
        <v>269.89763958600003</v>
      </c>
      <c r="BQ18" s="17">
        <f t="shared" si="66"/>
        <v>278.06813215429997</v>
      </c>
      <c r="BR18" s="17">
        <f t="shared" si="67"/>
        <v>286.48596645160001</v>
      </c>
      <c r="BS18" s="17">
        <f t="shared" si="68"/>
        <v>295.15863014519999</v>
      </c>
      <c r="BT18" s="17">
        <f t="shared" si="69"/>
        <v>304.09383757339998</v>
      </c>
      <c r="BU18" s="17">
        <f t="shared" si="70"/>
        <v>313.29953660720003</v>
      </c>
      <c r="BV18" s="17">
        <f t="shared" si="71"/>
        <v>322.78391572010003</v>
      </c>
      <c r="BW18" s="17">
        <f t="shared" si="72"/>
        <v>332.55541127160001</v>
      </c>
      <c r="BX18" s="17">
        <f t="shared" si="73"/>
        <v>342.62271501129999</v>
      </c>
      <c r="BY18" s="17">
        <f t="shared" si="74"/>
        <v>352.9947818105</v>
      </c>
      <c r="BZ18" s="17">
        <f t="shared" si="75"/>
        <v>363.68083762729998</v>
      </c>
      <c r="CA18" s="17">
        <f t="shared" si="76"/>
        <v>374.69038771319998</v>
      </c>
      <c r="CB18" s="17">
        <f t="shared" si="77"/>
        <v>386.03322506789999</v>
      </c>
      <c r="CC18" s="17">
        <f t="shared" si="78"/>
        <v>397.71943915029999</v>
      </c>
      <c r="CD18" s="17">
        <f t="shared" si="79"/>
        <v>409.75942485320002</v>
      </c>
      <c r="CE18" s="17">
        <f t="shared" si="80"/>
        <v>422.16389174919999</v>
      </c>
      <c r="CF18" s="17">
        <f t="shared" si="81"/>
        <v>434.94387361730003</v>
      </c>
      <c r="CG18" s="17">
        <f t="shared" si="82"/>
        <v>448.11073825710002</v>
      </c>
      <c r="CH18" s="17">
        <f t="shared" si="83"/>
        <v>461.67619760060001</v>
      </c>
      <c r="CI18" s="17">
        <f t="shared" si="84"/>
        <v>475.65231813010001</v>
      </c>
      <c r="CJ18" s="17">
        <f t="shared" si="85"/>
        <v>490.05153161099997</v>
      </c>
      <c r="CK18" s="17">
        <f t="shared" si="86"/>
        <v>504.88664615020002</v>
      </c>
      <c r="CL18" s="17">
        <f t="shared" si="87"/>
        <v>520.1708575888</v>
      </c>
      <c r="CM18" s="17">
        <f t="shared" si="88"/>
        <v>535.91776123980003</v>
      </c>
      <c r="CN18" s="17">
        <f t="shared" si="89"/>
        <v>552.14136398109997</v>
      </c>
      <c r="CO18" s="17">
        <f t="shared" si="90"/>
        <v>568.85609671459997</v>
      </c>
      <c r="CP18" s="17">
        <f t="shared" si="91"/>
        <v>586.07682720260004</v>
      </c>
      <c r="CQ18" s="17">
        <f t="shared" si="92"/>
        <v>603.81887329259996</v>
      </c>
      <c r="CR18" s="17">
        <f t="shared" si="93"/>
        <v>622.09801654269995</v>
      </c>
      <c r="CS18" s="17">
        <f t="shared" si="94"/>
        <v>640.930516259</v>
      </c>
      <c r="CT18" s="17">
        <f t="shared" si="95"/>
        <v>660.33312395849998</v>
      </c>
      <c r="CU18" s="17">
        <f t="shared" si="96"/>
        <v>680.32309826949995</v>
      </c>
      <c r="CV18" s="17">
        <f t="shared" si="97"/>
        <v>700.91822028319996</v>
      </c>
      <c r="CW18" s="17">
        <f t="shared" si="98"/>
        <v>722.13680936979995</v>
      </c>
      <c r="CX18" s="17">
        <f t="shared" si="99"/>
        <v>743.99773947400001</v>
      </c>
      <c r="CY18" s="17">
        <f t="shared" si="100"/>
        <v>766.52045590290004</v>
      </c>
      <c r="CZ18" s="17">
        <f t="shared" si="101"/>
        <v>789.7249926229</v>
      </c>
      <c r="DA18" s="17">
        <f t="shared" si="102"/>
        <v>813.63199008000004</v>
      </c>
      <c r="DB18" s="17">
        <f t="shared" si="103"/>
        <v>838.26271355910001</v>
      </c>
    </row>
    <row r="19" spans="1:106" x14ac:dyDescent="0.2">
      <c r="A19">
        <f t="shared" si="7"/>
        <v>2.9752541402731226E+17</v>
      </c>
      <c r="B19" s="71">
        <f t="shared" si="8"/>
        <v>1.1735308371792093E-13</v>
      </c>
      <c r="C19" s="71">
        <f t="shared" si="9"/>
        <v>1.4160150951216053E-13</v>
      </c>
      <c r="D19" s="177">
        <f t="shared" si="104"/>
        <v>15</v>
      </c>
      <c r="T19" s="18">
        <f>IF(T$3="","",ROUND(S18*DownMove,RoundDigits))</f>
        <v>60.756771289699998</v>
      </c>
      <c r="U19" s="17">
        <f t="shared" ref="U19" si="113">IF(U$3="","",ROUND(T19*UpMove,RoundDigits))</f>
        <v>62.596034312</v>
      </c>
      <c r="V19" s="17">
        <f t="shared" ref="V19:V20" si="114">IF(V$3="","",ROUND(U19*UpMove,RoundDigits))</f>
        <v>64.490976535000001</v>
      </c>
      <c r="W19" s="17">
        <f t="shared" ref="W19:W21" si="115">IF(W$3="","",ROUND(V19*UpMove,RoundDigits))</f>
        <v>66.443283510800001</v>
      </c>
      <c r="X19" s="17">
        <f t="shared" ref="X19:X22" si="116">IF(X$3="","",ROUND(W19*UpMove,RoundDigits))</f>
        <v>68.454691817200001</v>
      </c>
      <c r="Y19" s="17">
        <f t="shared" ref="Y19:AB26" si="117">IF(Y$3="","",ROUND(X19*UpMove,RoundDigits))</f>
        <v>70.526990602799998</v>
      </c>
      <c r="Z19" s="17">
        <f t="shared" si="117"/>
        <v>72.662023178400005</v>
      </c>
      <c r="AA19" s="17">
        <f t="shared" si="117"/>
        <v>74.861688656400005</v>
      </c>
      <c r="AB19" s="17">
        <f t="shared" si="117"/>
        <v>77.127943640200002</v>
      </c>
      <c r="AC19" s="17">
        <f t="shared" ref="AC19:AC27" si="118">IF(AC$3="","",ROUND(AB19*UpMove,RoundDigits))</f>
        <v>79.462803964599999</v>
      </c>
      <c r="AD19" s="17">
        <f t="shared" ref="AD19:AD28" si="119">IF(AD$3="","",ROUND(AC19*UpMove,RoundDigits))</f>
        <v>81.868346489000004</v>
      </c>
      <c r="AE19" s="17">
        <f t="shared" ref="AE19:AE29" si="120">IF(AE$3="","",ROUND(AD19*UpMove,RoundDigits))</f>
        <v>84.346710944500003</v>
      </c>
      <c r="AF19" s="17">
        <f t="shared" ref="AF19:AF30" si="121">IF(AF$3="","",ROUND(AE19*UpMove,RoundDigits))</f>
        <v>86.900101837400001</v>
      </c>
      <c r="AG19" s="17">
        <f t="shared" ref="AG19:AG31" si="122">IF(AG$3="","",ROUND(AF19*UpMove,RoundDigits))</f>
        <v>89.530790410099996</v>
      </c>
      <c r="AH19" s="17">
        <f t="shared" ref="AH19:AH32" si="123">IF(AH$3="","",ROUND(AG19*UpMove,RoundDigits))</f>
        <v>92.241116661199996</v>
      </c>
      <c r="AI19" s="17">
        <f t="shared" si="32"/>
        <v>95.033491427200005</v>
      </c>
      <c r="AJ19" s="17">
        <f t="shared" si="33"/>
        <v>97.910398526600005</v>
      </c>
      <c r="AK19" s="17">
        <f t="shared" si="34"/>
        <v>100.8743969697</v>
      </c>
      <c r="AL19" s="17">
        <f t="shared" si="35"/>
        <v>103.9281232344</v>
      </c>
      <c r="AM19" s="17">
        <f t="shared" si="36"/>
        <v>107.0742936115</v>
      </c>
      <c r="AN19" s="17">
        <f t="shared" si="37"/>
        <v>110.31570662110001</v>
      </c>
      <c r="AO19" s="17">
        <f t="shared" si="38"/>
        <v>113.6552455015</v>
      </c>
      <c r="AP19" s="17">
        <f t="shared" si="39"/>
        <v>117.09588077399999</v>
      </c>
      <c r="AQ19" s="17">
        <f t="shared" si="40"/>
        <v>120.6406728852</v>
      </c>
      <c r="AR19" s="17">
        <f t="shared" si="41"/>
        <v>124.2927749294</v>
      </c>
      <c r="AS19" s="17">
        <f t="shared" si="42"/>
        <v>128.05543545290001</v>
      </c>
      <c r="AT19" s="17">
        <f t="shared" si="43"/>
        <v>131.93200134400001</v>
      </c>
      <c r="AU19" s="17">
        <f t="shared" si="44"/>
        <v>135.9259208098</v>
      </c>
      <c r="AV19" s="17">
        <f t="shared" si="45"/>
        <v>140.0407464434</v>
      </c>
      <c r="AW19" s="17">
        <f t="shared" si="46"/>
        <v>144.28013838410001</v>
      </c>
      <c r="AX19" s="17">
        <f t="shared" si="47"/>
        <v>148.64786757300001</v>
      </c>
      <c r="AY19" s="17">
        <f t="shared" si="48"/>
        <v>153.14781910709999</v>
      </c>
      <c r="AZ19" s="17">
        <f t="shared" si="49"/>
        <v>157.78399569530001</v>
      </c>
      <c r="BA19" s="17">
        <f t="shared" si="50"/>
        <v>162.56052121889999</v>
      </c>
      <c r="BB19" s="17">
        <f t="shared" si="51"/>
        <v>167.48164439940001</v>
      </c>
      <c r="BC19" s="17">
        <f t="shared" si="52"/>
        <v>172.5517425781</v>
      </c>
      <c r="BD19" s="17">
        <f t="shared" si="53"/>
        <v>177.7753256096</v>
      </c>
      <c r="BE19" s="17">
        <f t="shared" si="54"/>
        <v>183.15703987340001</v>
      </c>
      <c r="BF19" s="17">
        <f t="shared" si="55"/>
        <v>188.7016724067</v>
      </c>
      <c r="BG19" s="17">
        <f t="shared" si="56"/>
        <v>194.41415516270001</v>
      </c>
      <c r="BH19" s="17">
        <f t="shared" si="57"/>
        <v>200.29956939740001</v>
      </c>
      <c r="BI19" s="17">
        <f t="shared" si="58"/>
        <v>206.36315018939999</v>
      </c>
      <c r="BJ19" s="17">
        <f t="shared" si="59"/>
        <v>212.61029109649999</v>
      </c>
      <c r="BK19" s="17">
        <f t="shared" si="60"/>
        <v>219.04654895339999</v>
      </c>
      <c r="BL19" s="17">
        <f t="shared" si="61"/>
        <v>225.67764881439999</v>
      </c>
      <c r="BM19" s="17">
        <f t="shared" si="62"/>
        <v>232.5094890458</v>
      </c>
      <c r="BN19" s="17">
        <f t="shared" si="63"/>
        <v>239.5481465725</v>
      </c>
      <c r="BO19" s="17">
        <f t="shared" si="64"/>
        <v>246.7998822836</v>
      </c>
      <c r="BP19" s="17">
        <f t="shared" si="65"/>
        <v>254.27114660129999</v>
      </c>
      <c r="BQ19" s="17">
        <f t="shared" si="66"/>
        <v>261.96858521849998</v>
      </c>
      <c r="BR19" s="17">
        <f t="shared" si="67"/>
        <v>269.89904501040002</v>
      </c>
      <c r="BS19" s="17">
        <f t="shared" si="68"/>
        <v>278.06958012450002</v>
      </c>
      <c r="BT19" s="17">
        <f t="shared" si="69"/>
        <v>286.48745825549997</v>
      </c>
      <c r="BU19" s="17">
        <f t="shared" si="70"/>
        <v>295.1601671098</v>
      </c>
      <c r="BV19" s="17">
        <f t="shared" si="71"/>
        <v>304.0954210658</v>
      </c>
      <c r="BW19" s="17">
        <f t="shared" si="72"/>
        <v>313.30116803599998</v>
      </c>
      <c r="BX19" s="17">
        <f t="shared" si="73"/>
        <v>322.78559653640002</v>
      </c>
      <c r="BY19" s="17">
        <f t="shared" si="74"/>
        <v>332.55714297050002</v>
      </c>
      <c r="BZ19" s="17">
        <f t="shared" si="75"/>
        <v>342.6244991332</v>
      </c>
      <c r="CA19" s="17">
        <f t="shared" si="76"/>
        <v>352.9966199424</v>
      </c>
      <c r="CB19" s="17">
        <f t="shared" si="77"/>
        <v>363.68273140420001</v>
      </c>
      <c r="CC19" s="17">
        <f t="shared" si="78"/>
        <v>374.69233881949998</v>
      </c>
      <c r="CD19" s="17">
        <f t="shared" si="79"/>
        <v>386.03523523920001</v>
      </c>
      <c r="CE19" s="17">
        <f t="shared" si="80"/>
        <v>397.72151017469997</v>
      </c>
      <c r="CF19" s="17">
        <f t="shared" si="81"/>
        <v>409.76155857280003</v>
      </c>
      <c r="CG19" s="17">
        <f t="shared" si="82"/>
        <v>422.16609006200002</v>
      </c>
      <c r="CH19" s="17">
        <f t="shared" si="83"/>
        <v>434.94613847869999</v>
      </c>
      <c r="CI19" s="17">
        <f t="shared" si="84"/>
        <v>448.11307168169998</v>
      </c>
      <c r="CJ19" s="17">
        <f t="shared" si="85"/>
        <v>461.67860166399998</v>
      </c>
      <c r="CK19" s="17">
        <f t="shared" si="86"/>
        <v>475.65479497059999</v>
      </c>
      <c r="CL19" s="17">
        <f t="shared" si="87"/>
        <v>490.0540834318</v>
      </c>
      <c r="CM19" s="17">
        <f t="shared" si="88"/>
        <v>504.88927522120002</v>
      </c>
      <c r="CN19" s="17">
        <f t="shared" si="89"/>
        <v>520.17356624850004</v>
      </c>
      <c r="CO19" s="17">
        <f t="shared" si="90"/>
        <v>535.92055189760003</v>
      </c>
      <c r="CP19" s="17">
        <f t="shared" si="91"/>
        <v>552.14423911920005</v>
      </c>
      <c r="CQ19" s="17">
        <f t="shared" si="92"/>
        <v>568.85905889050002</v>
      </c>
      <c r="CR19" s="17">
        <f t="shared" si="93"/>
        <v>586.07987905109997</v>
      </c>
      <c r="CS19" s="17">
        <f t="shared" si="94"/>
        <v>603.82201752840001</v>
      </c>
      <c r="CT19" s="17">
        <f t="shared" si="95"/>
        <v>622.10125596260002</v>
      </c>
      <c r="CU19" s="17">
        <f t="shared" si="96"/>
        <v>640.93385374440004</v>
      </c>
      <c r="CV19" s="17">
        <f t="shared" si="97"/>
        <v>660.33656247809995</v>
      </c>
      <c r="CW19" s="17">
        <f t="shared" si="98"/>
        <v>680.32664088189995</v>
      </c>
      <c r="CX19" s="17">
        <f t="shared" si="99"/>
        <v>700.92187013950002</v>
      </c>
      <c r="CY19" s="17">
        <f t="shared" si="100"/>
        <v>722.1405697166</v>
      </c>
      <c r="CZ19" s="17">
        <f t="shared" si="101"/>
        <v>744.00161365609995</v>
      </c>
      <c r="DA19" s="17">
        <f t="shared" si="102"/>
        <v>766.52444736639995</v>
      </c>
      <c r="DB19" s="17">
        <f t="shared" si="103"/>
        <v>789.72910491829998</v>
      </c>
    </row>
    <row r="20" spans="1:106" x14ac:dyDescent="0.2">
      <c r="A20">
        <f t="shared" si="7"/>
        <v>1.5991991003968033E+18</v>
      </c>
      <c r="B20" s="71">
        <f t="shared" si="8"/>
        <v>6.3077282498382501E-13</v>
      </c>
      <c r="C20" s="71">
        <f t="shared" si="9"/>
        <v>7.5708417774872999E-13</v>
      </c>
      <c r="D20" s="177">
        <f t="shared" si="104"/>
        <v>16</v>
      </c>
      <c r="U20" s="18">
        <f>IF(U$3="","",ROUND(T19*DownMove,RoundDigits))</f>
        <v>58.971858522399998</v>
      </c>
      <c r="V20" s="17">
        <f t="shared" si="114"/>
        <v>60.757087665299998</v>
      </c>
      <c r="W20" s="17">
        <f t="shared" si="115"/>
        <v>62.596360265100003</v>
      </c>
      <c r="X20" s="17">
        <f t="shared" si="116"/>
        <v>64.491312355600002</v>
      </c>
      <c r="Y20" s="17">
        <f t="shared" si="117"/>
        <v>66.443629497499998</v>
      </c>
      <c r="Z20" s="17">
        <f t="shared" si="117"/>
        <v>68.455048277800003</v>
      </c>
      <c r="AA20" s="17">
        <f t="shared" si="117"/>
        <v>70.527357854399995</v>
      </c>
      <c r="AB20" s="17">
        <f t="shared" si="117"/>
        <v>72.662401547599998</v>
      </c>
      <c r="AC20" s="17">
        <f t="shared" si="118"/>
        <v>74.862078479800005</v>
      </c>
      <c r="AD20" s="17">
        <f t="shared" si="119"/>
        <v>77.128345264499998</v>
      </c>
      <c r="AE20" s="17">
        <f t="shared" si="120"/>
        <v>79.463217747100003</v>
      </c>
      <c r="AF20" s="17">
        <f t="shared" si="121"/>
        <v>81.868772797700004</v>
      </c>
      <c r="AG20" s="17">
        <f t="shared" si="122"/>
        <v>84.347150158600002</v>
      </c>
      <c r="AH20" s="17">
        <f t="shared" si="123"/>
        <v>86.900554347600007</v>
      </c>
      <c r="AI20" s="17">
        <f t="shared" si="32"/>
        <v>89.531256618900002</v>
      </c>
      <c r="AJ20" s="17">
        <f t="shared" si="33"/>
        <v>92.241596983299999</v>
      </c>
      <c r="AK20" s="17">
        <f t="shared" si="34"/>
        <v>95.033986289799998</v>
      </c>
      <c r="AL20" s="17">
        <f t="shared" si="35"/>
        <v>97.910908370000001</v>
      </c>
      <c r="AM20" s="17">
        <f t="shared" si="36"/>
        <v>100.87492224730001</v>
      </c>
      <c r="AN20" s="17">
        <f t="shared" si="37"/>
        <v>103.9286644135</v>
      </c>
      <c r="AO20" s="17">
        <f t="shared" si="38"/>
        <v>107.07485117349999</v>
      </c>
      <c r="AP20" s="17">
        <f t="shared" si="39"/>
        <v>110.3162810619</v>
      </c>
      <c r="AQ20" s="17">
        <f t="shared" si="40"/>
        <v>113.65583733210001</v>
      </c>
      <c r="AR20" s="17">
        <f t="shared" si="41"/>
        <v>117.0964905208</v>
      </c>
      <c r="AS20" s="17">
        <f t="shared" si="42"/>
        <v>120.6413010906</v>
      </c>
      <c r="AT20" s="17">
        <f t="shared" si="43"/>
        <v>124.29342215210001</v>
      </c>
      <c r="AU20" s="17">
        <f t="shared" si="44"/>
        <v>128.05610226869999</v>
      </c>
      <c r="AV20" s="17">
        <f t="shared" si="45"/>
        <v>131.93268834599999</v>
      </c>
      <c r="AW20" s="17">
        <f t="shared" si="46"/>
        <v>135.92662860909999</v>
      </c>
      <c r="AX20" s="17">
        <f t="shared" si="47"/>
        <v>140.0414756696</v>
      </c>
      <c r="AY20" s="17">
        <f t="shared" si="48"/>
        <v>144.28088968590001</v>
      </c>
      <c r="AZ20" s="17">
        <f t="shared" si="49"/>
        <v>148.64864161860001</v>
      </c>
      <c r="BA20" s="17">
        <f t="shared" si="50"/>
        <v>153.14861658500001</v>
      </c>
      <c r="BB20" s="17">
        <f t="shared" si="51"/>
        <v>157.78481731490001</v>
      </c>
      <c r="BC20" s="17">
        <f t="shared" si="52"/>
        <v>162.561367711</v>
      </c>
      <c r="BD20" s="17">
        <f t="shared" si="53"/>
        <v>167.48251651699999</v>
      </c>
      <c r="BE20" s="17">
        <f t="shared" si="54"/>
        <v>172.5526410969</v>
      </c>
      <c r="BF20" s="17">
        <f t="shared" si="55"/>
        <v>177.7762513289</v>
      </c>
      <c r="BG20" s="17">
        <f t="shared" si="56"/>
        <v>183.15799361660001</v>
      </c>
      <c r="BH20" s="17">
        <f t="shared" si="57"/>
        <v>188.70265502219999</v>
      </c>
      <c r="BI20" s="17">
        <f t="shared" si="58"/>
        <v>194.41516752449999</v>
      </c>
      <c r="BJ20" s="17">
        <f t="shared" si="59"/>
        <v>200.300612406</v>
      </c>
      <c r="BK20" s="17">
        <f t="shared" si="60"/>
        <v>206.36422477249999</v>
      </c>
      <c r="BL20" s="17">
        <f t="shared" si="61"/>
        <v>212.61139821</v>
      </c>
      <c r="BM20" s="17">
        <f t="shared" si="62"/>
        <v>219.04768958209999</v>
      </c>
      <c r="BN20" s="17">
        <f t="shared" si="63"/>
        <v>225.67882397279999</v>
      </c>
      <c r="BO20" s="17">
        <f t="shared" si="64"/>
        <v>232.5106997792</v>
      </c>
      <c r="BP20" s="17">
        <f t="shared" si="65"/>
        <v>239.54939395790001</v>
      </c>
      <c r="BQ20" s="17">
        <f t="shared" si="66"/>
        <v>246.80116743049999</v>
      </c>
      <c r="BR20" s="17">
        <f t="shared" si="67"/>
        <v>254.27247065290001</v>
      </c>
      <c r="BS20" s="17">
        <f t="shared" si="68"/>
        <v>261.9699493526</v>
      </c>
      <c r="BT20" s="17">
        <f t="shared" si="69"/>
        <v>269.90045044030001</v>
      </c>
      <c r="BU20" s="17">
        <f t="shared" si="70"/>
        <v>278.07102810039999</v>
      </c>
      <c r="BV20" s="17">
        <f t="shared" si="71"/>
        <v>286.48895006539999</v>
      </c>
      <c r="BW20" s="17">
        <f t="shared" si="72"/>
        <v>295.16170408059997</v>
      </c>
      <c r="BX20" s="17">
        <f t="shared" si="73"/>
        <v>304.0970045647</v>
      </c>
      <c r="BY20" s="17">
        <f t="shared" si="74"/>
        <v>313.30279947150001</v>
      </c>
      <c r="BZ20" s="17">
        <f t="shared" si="75"/>
        <v>322.7872773597</v>
      </c>
      <c r="CA20" s="17">
        <f t="shared" si="76"/>
        <v>332.5588746766</v>
      </c>
      <c r="CB20" s="17">
        <f t="shared" si="77"/>
        <v>342.62628326250001</v>
      </c>
      <c r="CC20" s="17">
        <f t="shared" si="78"/>
        <v>352.99845808179998</v>
      </c>
      <c r="CD20" s="17">
        <f t="shared" si="79"/>
        <v>363.6846251888</v>
      </c>
      <c r="CE20" s="17">
        <f t="shared" si="80"/>
        <v>374.69428993380001</v>
      </c>
      <c r="CF20" s="17">
        <f t="shared" si="81"/>
        <v>386.03724541870002</v>
      </c>
      <c r="CG20" s="17">
        <f t="shared" si="82"/>
        <v>397.7235812074</v>
      </c>
      <c r="CH20" s="17">
        <f t="shared" si="83"/>
        <v>409.76369230099999</v>
      </c>
      <c r="CI20" s="17">
        <f t="shared" si="84"/>
        <v>422.16828838359999</v>
      </c>
      <c r="CJ20" s="17">
        <f t="shared" si="85"/>
        <v>434.94840334909998</v>
      </c>
      <c r="CK20" s="17">
        <f t="shared" si="86"/>
        <v>448.11540511549998</v>
      </c>
      <c r="CL20" s="17">
        <f t="shared" si="87"/>
        <v>461.68100573679999</v>
      </c>
      <c r="CM20" s="17">
        <f t="shared" si="88"/>
        <v>475.65727182080002</v>
      </c>
      <c r="CN20" s="17">
        <f t="shared" si="89"/>
        <v>490.05663526260003</v>
      </c>
      <c r="CO20" s="17">
        <f t="shared" si="90"/>
        <v>504.89190430240001</v>
      </c>
      <c r="CP20" s="17">
        <f t="shared" si="91"/>
        <v>520.1762749188</v>
      </c>
      <c r="CQ20" s="17">
        <f t="shared" si="92"/>
        <v>535.92334256619995</v>
      </c>
      <c r="CR20" s="17">
        <f t="shared" si="93"/>
        <v>552.14711426849999</v>
      </c>
      <c r="CS20" s="17">
        <f t="shared" si="94"/>
        <v>568.86202107789995</v>
      </c>
      <c r="CT20" s="17">
        <f t="shared" si="95"/>
        <v>586.08293091149994</v>
      </c>
      <c r="CU20" s="17">
        <f t="shared" si="96"/>
        <v>603.82516177640002</v>
      </c>
      <c r="CV20" s="17">
        <f t="shared" si="97"/>
        <v>622.10449539499996</v>
      </c>
      <c r="CW20" s="17">
        <f t="shared" si="98"/>
        <v>640.93719124270001</v>
      </c>
      <c r="CX20" s="17">
        <f t="shared" si="99"/>
        <v>660.34000101100003</v>
      </c>
      <c r="CY20" s="17">
        <f t="shared" si="100"/>
        <v>680.330183508</v>
      </c>
      <c r="CZ20" s="17">
        <f t="shared" si="101"/>
        <v>700.92552001000001</v>
      </c>
      <c r="DA20" s="17">
        <f t="shared" si="102"/>
        <v>722.14433007809998</v>
      </c>
      <c r="DB20" s="17">
        <f t="shared" si="103"/>
        <v>744.00548785340004</v>
      </c>
    </row>
    <row r="21" spans="1:106" x14ac:dyDescent="0.2">
      <c r="A21">
        <f t="shared" si="7"/>
        <v>7.9959955019840215E+18</v>
      </c>
      <c r="B21" s="71">
        <f t="shared" si="8"/>
        <v>3.153864124919127E-12</v>
      </c>
      <c r="C21" s="71">
        <f t="shared" si="9"/>
        <v>3.7654075809637263E-12</v>
      </c>
      <c r="D21" s="177">
        <f t="shared" si="104"/>
        <v>17</v>
      </c>
      <c r="V21" s="18">
        <f>IF(V$3="","",ROUND(U20*DownMove,RoundDigits))</f>
        <v>57.239382932399998</v>
      </c>
      <c r="W21" s="17">
        <f t="shared" si="115"/>
        <v>58.972165603599997</v>
      </c>
      <c r="X21" s="17">
        <f t="shared" si="116"/>
        <v>60.757404042700003</v>
      </c>
      <c r="Y21" s="17">
        <f t="shared" si="117"/>
        <v>62.596686220099997</v>
      </c>
      <c r="Z21" s="17">
        <f t="shared" si="117"/>
        <v>64.491648178099993</v>
      </c>
      <c r="AA21" s="17">
        <f t="shared" si="117"/>
        <v>66.443975486200003</v>
      </c>
      <c r="AB21" s="17">
        <f t="shared" si="117"/>
        <v>68.455404740500001</v>
      </c>
      <c r="AC21" s="17">
        <f t="shared" si="118"/>
        <v>70.5277251081</v>
      </c>
      <c r="AD21" s="17">
        <f t="shared" si="119"/>
        <v>72.662779919000002</v>
      </c>
      <c r="AE21" s="17">
        <f t="shared" si="120"/>
        <v>74.8624683054</v>
      </c>
      <c r="AF21" s="17">
        <f t="shared" si="121"/>
        <v>77.128746891099993</v>
      </c>
      <c r="AG21" s="17">
        <f t="shared" si="122"/>
        <v>79.463631531999994</v>
      </c>
      <c r="AH21" s="17">
        <f t="shared" si="123"/>
        <v>81.869199108999993</v>
      </c>
      <c r="AI21" s="17">
        <f t="shared" si="32"/>
        <v>84.347589375499993</v>
      </c>
      <c r="AJ21" s="17">
        <f t="shared" si="33"/>
        <v>86.901006860799995</v>
      </c>
      <c r="AK21" s="17">
        <f t="shared" si="34"/>
        <v>89.531722830800007</v>
      </c>
      <c r="AL21" s="17">
        <f t="shared" si="35"/>
        <v>92.242077308700004</v>
      </c>
      <c r="AM21" s="17">
        <f t="shared" si="36"/>
        <v>95.034481155899996</v>
      </c>
      <c r="AN21" s="17">
        <f t="shared" si="37"/>
        <v>97.911418217000005</v>
      </c>
      <c r="AO21" s="17">
        <f t="shared" si="38"/>
        <v>100.87544752869999</v>
      </c>
      <c r="AP21" s="17">
        <f t="shared" si="39"/>
        <v>103.9292055965</v>
      </c>
      <c r="AQ21" s="17">
        <f t="shared" si="40"/>
        <v>107.07540873950001</v>
      </c>
      <c r="AR21" s="17">
        <f t="shared" si="41"/>
        <v>110.3168555069</v>
      </c>
      <c r="AS21" s="17">
        <f t="shared" si="42"/>
        <v>113.656429167</v>
      </c>
      <c r="AT21" s="17">
        <f t="shared" si="43"/>
        <v>117.09710027209999</v>
      </c>
      <c r="AU21" s="17">
        <f t="shared" si="44"/>
        <v>120.6419293007</v>
      </c>
      <c r="AV21" s="17">
        <f t="shared" si="45"/>
        <v>124.29406937980001</v>
      </c>
      <c r="AW21" s="17">
        <f t="shared" si="46"/>
        <v>128.05676908960001</v>
      </c>
      <c r="AX21" s="17">
        <f t="shared" si="47"/>
        <v>131.93337535329999</v>
      </c>
      <c r="AY21" s="17">
        <f t="shared" si="48"/>
        <v>135.92733641379999</v>
      </c>
      <c r="AZ21" s="17">
        <f t="shared" si="49"/>
        <v>140.0422049014</v>
      </c>
      <c r="BA21" s="17">
        <f t="shared" si="50"/>
        <v>144.2816409934</v>
      </c>
      <c r="BB21" s="17">
        <f t="shared" si="51"/>
        <v>148.64941567010001</v>
      </c>
      <c r="BC21" s="17">
        <f t="shared" si="52"/>
        <v>153.1494140691</v>
      </c>
      <c r="BD21" s="17">
        <f t="shared" si="53"/>
        <v>157.78563894089999</v>
      </c>
      <c r="BE21" s="17">
        <f t="shared" si="54"/>
        <v>162.56221420969999</v>
      </c>
      <c r="BF21" s="17">
        <f t="shared" si="55"/>
        <v>167.4833886413</v>
      </c>
      <c r="BG21" s="17">
        <f t="shared" si="56"/>
        <v>172.55353962269999</v>
      </c>
      <c r="BH21" s="17">
        <f t="shared" si="57"/>
        <v>177.77717705539999</v>
      </c>
      <c r="BI21" s="17">
        <f t="shared" si="58"/>
        <v>183.1589473672</v>
      </c>
      <c r="BJ21" s="17">
        <f t="shared" si="59"/>
        <v>188.70363764530001</v>
      </c>
      <c r="BK21" s="17">
        <f t="shared" si="60"/>
        <v>194.4161798941</v>
      </c>
      <c r="BL21" s="17">
        <f t="shared" si="61"/>
        <v>200.30165542259999</v>
      </c>
      <c r="BM21" s="17">
        <f t="shared" si="62"/>
        <v>206.36529936389999</v>
      </c>
      <c r="BN21" s="17">
        <f t="shared" si="63"/>
        <v>212.6125053321</v>
      </c>
      <c r="BO21" s="17">
        <f t="shared" si="64"/>
        <v>219.04883021960001</v>
      </c>
      <c r="BP21" s="17">
        <f t="shared" si="65"/>
        <v>225.67999914040001</v>
      </c>
      <c r="BQ21" s="17">
        <f t="shared" si="66"/>
        <v>232.5119105222</v>
      </c>
      <c r="BR21" s="17">
        <f t="shared" si="67"/>
        <v>239.55064135320001</v>
      </c>
      <c r="BS21" s="17">
        <f t="shared" si="68"/>
        <v>246.8024525877</v>
      </c>
      <c r="BT21" s="17">
        <f t="shared" si="69"/>
        <v>254.2737947151</v>
      </c>
      <c r="BU21" s="17">
        <f t="shared" si="70"/>
        <v>261.97131349749998</v>
      </c>
      <c r="BV21" s="17">
        <f t="shared" si="71"/>
        <v>269.90185588140002</v>
      </c>
      <c r="BW21" s="17">
        <f t="shared" si="72"/>
        <v>278.0724760878</v>
      </c>
      <c r="BX21" s="17">
        <f t="shared" si="73"/>
        <v>286.49044188699997</v>
      </c>
      <c r="BY21" s="17">
        <f t="shared" si="74"/>
        <v>295.16324106349998</v>
      </c>
      <c r="BZ21" s="17">
        <f t="shared" si="75"/>
        <v>304.098588076</v>
      </c>
      <c r="CA21" s="17">
        <f t="shared" si="76"/>
        <v>313.3044309197</v>
      </c>
      <c r="CB21" s="17">
        <f t="shared" si="77"/>
        <v>322.78895819600001</v>
      </c>
      <c r="CC21" s="17">
        <f t="shared" si="78"/>
        <v>332.56060639610001</v>
      </c>
      <c r="CD21" s="17">
        <f t="shared" si="79"/>
        <v>342.62806740560001</v>
      </c>
      <c r="CE21" s="17">
        <f t="shared" si="80"/>
        <v>353.0002962355</v>
      </c>
      <c r="CF21" s="17">
        <f t="shared" si="81"/>
        <v>363.68651898809998</v>
      </c>
      <c r="CG21" s="17">
        <f t="shared" si="82"/>
        <v>374.69624106330002</v>
      </c>
      <c r="CH21" s="17">
        <f t="shared" si="83"/>
        <v>386.03925561390002</v>
      </c>
      <c r="CI21" s="17">
        <f t="shared" si="84"/>
        <v>397.7256522564</v>
      </c>
      <c r="CJ21" s="17">
        <f t="shared" si="85"/>
        <v>409.76582604589998</v>
      </c>
      <c r="CK21" s="17">
        <f t="shared" si="86"/>
        <v>422.17048672240003</v>
      </c>
      <c r="CL21" s="17">
        <f t="shared" si="87"/>
        <v>434.95066823719998</v>
      </c>
      <c r="CM21" s="17">
        <f t="shared" si="88"/>
        <v>448.1177385675</v>
      </c>
      <c r="CN21" s="17">
        <f t="shared" si="89"/>
        <v>461.6834098283</v>
      </c>
      <c r="CO21" s="17">
        <f t="shared" si="90"/>
        <v>475.65974869040002</v>
      </c>
      <c r="CP21" s="17">
        <f t="shared" si="91"/>
        <v>490.05918711340001</v>
      </c>
      <c r="CQ21" s="17">
        <f t="shared" si="92"/>
        <v>504.89453340429998</v>
      </c>
      <c r="CR21" s="17">
        <f t="shared" si="93"/>
        <v>520.17898361029995</v>
      </c>
      <c r="CS21" s="17">
        <f t="shared" si="94"/>
        <v>535.92613325679997</v>
      </c>
      <c r="CT21" s="17">
        <f t="shared" si="95"/>
        <v>552.14998944039996</v>
      </c>
      <c r="CU21" s="17">
        <f t="shared" si="96"/>
        <v>568.8649832886</v>
      </c>
      <c r="CV21" s="17">
        <f t="shared" si="97"/>
        <v>586.08598279590001</v>
      </c>
      <c r="CW21" s="17">
        <f t="shared" si="98"/>
        <v>603.82830604920002</v>
      </c>
      <c r="CX21" s="17">
        <f t="shared" si="99"/>
        <v>622.10773485300001</v>
      </c>
      <c r="CY21" s="17">
        <f t="shared" si="100"/>
        <v>640.9405287674</v>
      </c>
      <c r="CZ21" s="17">
        <f t="shared" si="101"/>
        <v>660.34343957119995</v>
      </c>
      <c r="DA21" s="17">
        <f t="shared" si="102"/>
        <v>680.33372616220004</v>
      </c>
      <c r="DB21" s="17">
        <f t="shared" si="103"/>
        <v>700.9291699094</v>
      </c>
    </row>
    <row r="22" spans="1:106" x14ac:dyDescent="0.2">
      <c r="A22">
        <f t="shared" si="7"/>
        <v>3.7314645675925398E+19</v>
      </c>
      <c r="B22" s="71">
        <f t="shared" si="8"/>
        <v>1.4718032582955911E-11</v>
      </c>
      <c r="C22" s="71">
        <f t="shared" si="9"/>
        <v>1.7479000384620924E-11</v>
      </c>
      <c r="D22" s="177">
        <f t="shared" si="104"/>
        <v>18</v>
      </c>
      <c r="W22" s="18">
        <f>IF(W$3="","",ROUND(V21*DownMove,RoundDigits))</f>
        <v>55.557804019899997</v>
      </c>
      <c r="X22" s="17">
        <f t="shared" si="116"/>
        <v>57.239680991999997</v>
      </c>
      <c r="Y22" s="17">
        <f t="shared" si="117"/>
        <v>58.9724726862</v>
      </c>
      <c r="Z22" s="17">
        <f t="shared" si="117"/>
        <v>60.757720421400002</v>
      </c>
      <c r="AA22" s="17">
        <f t="shared" si="117"/>
        <v>62.5970121764</v>
      </c>
      <c r="AB22" s="17">
        <f t="shared" si="117"/>
        <v>64.491984001899993</v>
      </c>
      <c r="AC22" s="17">
        <f t="shared" si="118"/>
        <v>66.444321476300004</v>
      </c>
      <c r="AD22" s="17">
        <f t="shared" si="119"/>
        <v>68.455761204599995</v>
      </c>
      <c r="AE22" s="17">
        <f t="shared" si="120"/>
        <v>70.528092363300004</v>
      </c>
      <c r="AF22" s="17">
        <f t="shared" si="121"/>
        <v>72.663158292000006</v>
      </c>
      <c r="AG22" s="17">
        <f t="shared" si="122"/>
        <v>74.862858132699998</v>
      </c>
      <c r="AH22" s="17">
        <f t="shared" si="123"/>
        <v>77.129148519500006</v>
      </c>
      <c r="AI22" s="17">
        <f t="shared" si="32"/>
        <v>79.464045318700002</v>
      </c>
      <c r="AJ22" s="17">
        <f t="shared" si="33"/>
        <v>81.869625421999999</v>
      </c>
      <c r="AK22" s="17">
        <f t="shared" si="34"/>
        <v>84.348028594100001</v>
      </c>
      <c r="AL22" s="17">
        <f t="shared" si="35"/>
        <v>86.901459375599998</v>
      </c>
      <c r="AM22" s="17">
        <f t="shared" si="36"/>
        <v>89.532189044399999</v>
      </c>
      <c r="AN22" s="17">
        <f t="shared" si="37"/>
        <v>92.242557635699995</v>
      </c>
      <c r="AO22" s="17">
        <f t="shared" si="38"/>
        <v>95.034976023699997</v>
      </c>
      <c r="AP22" s="17">
        <f t="shared" si="39"/>
        <v>97.911928065699996</v>
      </c>
      <c r="AQ22" s="17">
        <f t="shared" si="40"/>
        <v>100.8759728118</v>
      </c>
      <c r="AR22" s="17">
        <f t="shared" si="41"/>
        <v>103.9297467812</v>
      </c>
      <c r="AS22" s="17">
        <f t="shared" si="42"/>
        <v>107.07596630730001</v>
      </c>
      <c r="AT22" s="17">
        <f t="shared" si="43"/>
        <v>110.3174299537</v>
      </c>
      <c r="AU22" s="17">
        <f t="shared" si="44"/>
        <v>113.6570210038</v>
      </c>
      <c r="AV22" s="17">
        <f t="shared" si="45"/>
        <v>117.0977100253</v>
      </c>
      <c r="AW22" s="17">
        <f t="shared" si="46"/>
        <v>120.64255751269999</v>
      </c>
      <c r="AX22" s="17">
        <f t="shared" si="47"/>
        <v>124.2947166094</v>
      </c>
      <c r="AY22" s="17">
        <f t="shared" si="48"/>
        <v>128.05743591250001</v>
      </c>
      <c r="AZ22" s="17">
        <f t="shared" si="49"/>
        <v>131.9340623626</v>
      </c>
      <c r="BA22" s="17">
        <f t="shared" si="50"/>
        <v>135.9280442207</v>
      </c>
      <c r="BB22" s="17">
        <f t="shared" si="51"/>
        <v>140.0429341354</v>
      </c>
      <c r="BC22" s="17">
        <f t="shared" si="52"/>
        <v>144.2823923032</v>
      </c>
      <c r="BD22" s="17">
        <f t="shared" si="53"/>
        <v>148.650189724</v>
      </c>
      <c r="BE22" s="17">
        <f t="shared" si="54"/>
        <v>153.15021155549999</v>
      </c>
      <c r="BF22" s="17">
        <f t="shared" si="55"/>
        <v>157.7864605693</v>
      </c>
      <c r="BG22" s="17">
        <f t="shared" si="56"/>
        <v>162.5630607109</v>
      </c>
      <c r="BH22" s="17">
        <f t="shared" si="57"/>
        <v>167.4842607683</v>
      </c>
      <c r="BI22" s="17">
        <f t="shared" si="58"/>
        <v>172.5544381512</v>
      </c>
      <c r="BJ22" s="17">
        <f t="shared" si="59"/>
        <v>177.77810278460001</v>
      </c>
      <c r="BK22" s="17">
        <f t="shared" si="60"/>
        <v>183.15990112060001</v>
      </c>
      <c r="BL22" s="17">
        <f t="shared" si="61"/>
        <v>188.70462027120001</v>
      </c>
      <c r="BM22" s="17">
        <f t="shared" si="62"/>
        <v>194.41719226660001</v>
      </c>
      <c r="BN22" s="17">
        <f t="shared" si="63"/>
        <v>200.30269844220001</v>
      </c>
      <c r="BO22" s="17">
        <f t="shared" si="64"/>
        <v>206.3663739584</v>
      </c>
      <c r="BP22" s="17">
        <f t="shared" si="65"/>
        <v>212.61361245730001</v>
      </c>
      <c r="BQ22" s="17">
        <f t="shared" si="66"/>
        <v>219.04997086029999</v>
      </c>
      <c r="BR22" s="17">
        <f t="shared" si="67"/>
        <v>225.68117431120001</v>
      </c>
      <c r="BS22" s="17">
        <f t="shared" si="68"/>
        <v>232.5131212684</v>
      </c>
      <c r="BT22" s="17">
        <f t="shared" si="69"/>
        <v>239.55188875179999</v>
      </c>
      <c r="BU22" s="17">
        <f t="shared" si="70"/>
        <v>246.80373774820001</v>
      </c>
      <c r="BV22" s="17">
        <f t="shared" si="71"/>
        <v>254.27511878070001</v>
      </c>
      <c r="BW22" s="17">
        <f t="shared" si="72"/>
        <v>261.97267764600002</v>
      </c>
      <c r="BX22" s="17">
        <f t="shared" si="73"/>
        <v>269.90326132609999</v>
      </c>
      <c r="BY22" s="17">
        <f t="shared" si="74"/>
        <v>278.07392407890001</v>
      </c>
      <c r="BZ22" s="17">
        <f t="shared" si="75"/>
        <v>286.49193371249999</v>
      </c>
      <c r="CA22" s="17">
        <f t="shared" si="76"/>
        <v>295.1647780504</v>
      </c>
      <c r="CB22" s="17">
        <f t="shared" si="77"/>
        <v>304.1001715914</v>
      </c>
      <c r="CC22" s="17">
        <f t="shared" si="78"/>
        <v>313.30606237220002</v>
      </c>
      <c r="CD22" s="17">
        <f t="shared" si="79"/>
        <v>322.79063903669999</v>
      </c>
      <c r="CE22" s="17">
        <f t="shared" si="80"/>
        <v>332.56233812020002</v>
      </c>
      <c r="CF22" s="17">
        <f t="shared" si="81"/>
        <v>342.62985155339999</v>
      </c>
      <c r="CG22" s="17">
        <f t="shared" si="82"/>
        <v>353.002134394</v>
      </c>
      <c r="CH22" s="17">
        <f t="shared" si="83"/>
        <v>363.68841279230003</v>
      </c>
      <c r="CI22" s="17">
        <f t="shared" si="84"/>
        <v>374.69819219779998</v>
      </c>
      <c r="CJ22" s="17">
        <f t="shared" si="85"/>
        <v>386.04126581420002</v>
      </c>
      <c r="CK22" s="17">
        <f t="shared" si="86"/>
        <v>397.72772331060003</v>
      </c>
      <c r="CL22" s="17">
        <f t="shared" si="87"/>
        <v>409.76795979619999</v>
      </c>
      <c r="CM22" s="17">
        <f t="shared" si="88"/>
        <v>422.1726850668</v>
      </c>
      <c r="CN22" s="17">
        <f t="shared" si="89"/>
        <v>434.9529331311</v>
      </c>
      <c r="CO22" s="17">
        <f t="shared" si="90"/>
        <v>448.1200720256</v>
      </c>
      <c r="CP22" s="17">
        <f t="shared" si="91"/>
        <v>461.68581392620001</v>
      </c>
      <c r="CQ22" s="17">
        <f t="shared" si="92"/>
        <v>475.66222556650001</v>
      </c>
      <c r="CR22" s="17">
        <f t="shared" si="93"/>
        <v>490.06173897090002</v>
      </c>
      <c r="CS22" s="17">
        <f t="shared" si="94"/>
        <v>504.89716251300001</v>
      </c>
      <c r="CT22" s="17">
        <f t="shared" si="95"/>
        <v>520.18169230889998</v>
      </c>
      <c r="CU22" s="17">
        <f t="shared" si="96"/>
        <v>535.92892395460001</v>
      </c>
      <c r="CV22" s="17">
        <f t="shared" si="97"/>
        <v>552.15286461979997</v>
      </c>
      <c r="CW22" s="17">
        <f t="shared" si="98"/>
        <v>568.86794550699994</v>
      </c>
      <c r="CX22" s="17">
        <f t="shared" si="99"/>
        <v>586.08903468829999</v>
      </c>
      <c r="CY22" s="17">
        <f t="shared" si="100"/>
        <v>603.83145033020003</v>
      </c>
      <c r="CZ22" s="17">
        <f t="shared" si="101"/>
        <v>622.11097431940004</v>
      </c>
      <c r="DA22" s="17">
        <f t="shared" si="102"/>
        <v>640.94386630079998</v>
      </c>
      <c r="DB22" s="17">
        <f t="shared" si="103"/>
        <v>660.34687814020003</v>
      </c>
    </row>
    <row r="23" spans="1:106" x14ac:dyDescent="0.2">
      <c r="A23">
        <f t="shared" si="7"/>
        <v>1.6300608374220046E+20</v>
      </c>
      <c r="B23" s="71">
        <f t="shared" si="8"/>
        <v>6.4294563388702157E-11</v>
      </c>
      <c r="C23" s="71">
        <f t="shared" si="9"/>
        <v>7.5951945311595032E-11</v>
      </c>
      <c r="D23" s="177">
        <f t="shared" si="104"/>
        <v>19</v>
      </c>
      <c r="X23" s="18">
        <f>IF(X$3="","",ROUND(W22*DownMove,RoundDigits))</f>
        <v>53.9256265422</v>
      </c>
      <c r="Y23" s="17">
        <f t="shared" si="117"/>
        <v>55.558093323199998</v>
      </c>
      <c r="Z23" s="17">
        <f t="shared" si="117"/>
        <v>57.239979053299997</v>
      </c>
      <c r="AA23" s="17">
        <f t="shared" si="117"/>
        <v>58.972779770599999</v>
      </c>
      <c r="AB23" s="17">
        <f t="shared" si="117"/>
        <v>60.758036802100001</v>
      </c>
      <c r="AC23" s="17">
        <f t="shared" si="118"/>
        <v>62.597338134700003</v>
      </c>
      <c r="AD23" s="17">
        <f t="shared" si="119"/>
        <v>64.492319827800003</v>
      </c>
      <c r="AE23" s="17">
        <f t="shared" si="120"/>
        <v>66.4446674685</v>
      </c>
      <c r="AF23" s="17">
        <f t="shared" si="121"/>
        <v>68.456117670799998</v>
      </c>
      <c r="AG23" s="17">
        <f t="shared" si="122"/>
        <v>70.528459620700005</v>
      </c>
      <c r="AH23" s="17">
        <f t="shared" si="123"/>
        <v>72.663536667200006</v>
      </c>
      <c r="AI23" s="17">
        <f t="shared" si="32"/>
        <v>74.863247962299994</v>
      </c>
      <c r="AJ23" s="17">
        <f t="shared" si="33"/>
        <v>77.129550150300005</v>
      </c>
      <c r="AK23" s="17">
        <f t="shared" si="34"/>
        <v>79.464459107899998</v>
      </c>
      <c r="AL23" s="17">
        <f t="shared" si="35"/>
        <v>81.870051737699995</v>
      </c>
      <c r="AM23" s="17">
        <f t="shared" si="36"/>
        <v>84.348467815399999</v>
      </c>
      <c r="AN23" s="17">
        <f t="shared" si="37"/>
        <v>86.901911893299996</v>
      </c>
      <c r="AO23" s="17">
        <f t="shared" si="38"/>
        <v>89.532655261000002</v>
      </c>
      <c r="AP23" s="17">
        <f t="shared" si="39"/>
        <v>92.243037965900001</v>
      </c>
      <c r="AQ23" s="17">
        <f t="shared" si="40"/>
        <v>95.035470894699998</v>
      </c>
      <c r="AR23" s="17">
        <f t="shared" si="41"/>
        <v>97.912437917700004</v>
      </c>
      <c r="AS23" s="17">
        <f t="shared" si="42"/>
        <v>100.87649809840001</v>
      </c>
      <c r="AT23" s="17">
        <f t="shared" si="43"/>
        <v>103.9302879696</v>
      </c>
      <c r="AU23" s="17">
        <f t="shared" si="44"/>
        <v>107.0765238788</v>
      </c>
      <c r="AV23" s="17">
        <f t="shared" si="45"/>
        <v>110.3180044043</v>
      </c>
      <c r="AW23" s="17">
        <f t="shared" si="46"/>
        <v>113.65761284449999</v>
      </c>
      <c r="AX23" s="17">
        <f t="shared" si="47"/>
        <v>117.0983197825</v>
      </c>
      <c r="AY23" s="17">
        <f t="shared" si="48"/>
        <v>120.64318572880001</v>
      </c>
      <c r="AZ23" s="17">
        <f t="shared" si="49"/>
        <v>124.29536384319999</v>
      </c>
      <c r="BA23" s="17">
        <f t="shared" si="50"/>
        <v>128.05810273980001</v>
      </c>
      <c r="BB23" s="17">
        <f t="shared" si="51"/>
        <v>131.93474937650001</v>
      </c>
      <c r="BC23" s="17">
        <f t="shared" si="52"/>
        <v>135.92875203220001</v>
      </c>
      <c r="BD23" s="17">
        <f t="shared" si="53"/>
        <v>140.04366337420001</v>
      </c>
      <c r="BE23" s="17">
        <f t="shared" si="54"/>
        <v>144.28314361790001</v>
      </c>
      <c r="BF23" s="17">
        <f t="shared" si="55"/>
        <v>148.65096378289999</v>
      </c>
      <c r="BG23" s="17">
        <f t="shared" si="56"/>
        <v>153.15100904720001</v>
      </c>
      <c r="BH23" s="17">
        <f t="shared" si="57"/>
        <v>157.78728220310001</v>
      </c>
      <c r="BI23" s="17">
        <f t="shared" si="58"/>
        <v>162.56390721770001</v>
      </c>
      <c r="BJ23" s="17">
        <f t="shared" si="59"/>
        <v>167.48513290099999</v>
      </c>
      <c r="BK23" s="17">
        <f t="shared" si="60"/>
        <v>172.5553366856</v>
      </c>
      <c r="BL23" s="17">
        <f t="shared" si="61"/>
        <v>177.77902851990001</v>
      </c>
      <c r="BM23" s="17">
        <f t="shared" si="62"/>
        <v>183.16085488030001</v>
      </c>
      <c r="BN23" s="17">
        <f t="shared" si="63"/>
        <v>188.7056029037</v>
      </c>
      <c r="BO23" s="17">
        <f t="shared" si="64"/>
        <v>194.4182046459</v>
      </c>
      <c r="BP23" s="17">
        <f t="shared" si="65"/>
        <v>200.30374146880001</v>
      </c>
      <c r="BQ23" s="17">
        <f t="shared" si="66"/>
        <v>206.3674485601</v>
      </c>
      <c r="BR23" s="17">
        <f t="shared" si="67"/>
        <v>212.61471958990001</v>
      </c>
      <c r="BS23" s="17">
        <f t="shared" si="68"/>
        <v>219.05111150869999</v>
      </c>
      <c r="BT23" s="17">
        <f t="shared" si="69"/>
        <v>225.68234948989999</v>
      </c>
      <c r="BU23" s="17">
        <f t="shared" si="70"/>
        <v>232.51433202280001</v>
      </c>
      <c r="BV23" s="17">
        <f t="shared" si="71"/>
        <v>239.55313615879999</v>
      </c>
      <c r="BW23" s="17">
        <f t="shared" si="72"/>
        <v>246.8050229175</v>
      </c>
      <c r="BX23" s="17">
        <f t="shared" si="73"/>
        <v>254.27644285529999</v>
      </c>
      <c r="BY23" s="17">
        <f t="shared" si="74"/>
        <v>261.9740418037</v>
      </c>
      <c r="BZ23" s="17">
        <f t="shared" si="75"/>
        <v>269.90466678040002</v>
      </c>
      <c r="CA23" s="17">
        <f t="shared" si="76"/>
        <v>278.07537207989998</v>
      </c>
      <c r="CB23" s="17">
        <f t="shared" si="77"/>
        <v>286.49342554819998</v>
      </c>
      <c r="CC23" s="17">
        <f t="shared" si="78"/>
        <v>295.16631504769998</v>
      </c>
      <c r="CD23" s="17">
        <f t="shared" si="79"/>
        <v>304.10175511760002</v>
      </c>
      <c r="CE23" s="17">
        <f t="shared" si="80"/>
        <v>313.30769383580002</v>
      </c>
      <c r="CF23" s="17">
        <f t="shared" si="81"/>
        <v>322.79231988890001</v>
      </c>
      <c r="CG23" s="17">
        <f t="shared" si="82"/>
        <v>332.56406985609999</v>
      </c>
      <c r="CH23" s="17">
        <f t="shared" si="83"/>
        <v>342.63163571339999</v>
      </c>
      <c r="CI23" s="17">
        <f t="shared" si="84"/>
        <v>353.00397256510001</v>
      </c>
      <c r="CJ23" s="17">
        <f t="shared" si="85"/>
        <v>363.69030660959999</v>
      </c>
      <c r="CK23" s="17">
        <f t="shared" si="86"/>
        <v>374.70014334579997</v>
      </c>
      <c r="CL23" s="17">
        <f t="shared" si="87"/>
        <v>386.04327602849997</v>
      </c>
      <c r="CM23" s="17">
        <f t="shared" si="88"/>
        <v>397.72979437919997</v>
      </c>
      <c r="CN23" s="17">
        <f t="shared" si="89"/>
        <v>409.77009356140002</v>
      </c>
      <c r="CO23" s="17">
        <f t="shared" si="90"/>
        <v>422.17488342659999</v>
      </c>
      <c r="CP23" s="17">
        <f t="shared" si="91"/>
        <v>434.95519804089997</v>
      </c>
      <c r="CQ23" s="17">
        <f t="shared" si="92"/>
        <v>448.12240550000001</v>
      </c>
      <c r="CR23" s="17">
        <f t="shared" si="93"/>
        <v>461.6882180408</v>
      </c>
      <c r="CS23" s="17">
        <f t="shared" si="94"/>
        <v>475.66470245980003</v>
      </c>
      <c r="CT23" s="17">
        <f t="shared" si="95"/>
        <v>490.06429084609999</v>
      </c>
      <c r="CU23" s="17">
        <f t="shared" si="96"/>
        <v>504.89979163999999</v>
      </c>
      <c r="CV23" s="17">
        <f t="shared" si="97"/>
        <v>520.18440102629995</v>
      </c>
      <c r="CW23" s="17">
        <f t="shared" si="98"/>
        <v>535.93171467180002</v>
      </c>
      <c r="CX23" s="17">
        <f t="shared" si="99"/>
        <v>552.15573981919999</v>
      </c>
      <c r="CY23" s="17">
        <f t="shared" si="100"/>
        <v>568.87090774609999</v>
      </c>
      <c r="CZ23" s="17">
        <f t="shared" si="101"/>
        <v>586.09208660189995</v>
      </c>
      <c r="DA23" s="17">
        <f t="shared" si="102"/>
        <v>603.83459463300005</v>
      </c>
      <c r="DB23" s="17">
        <f t="shared" si="103"/>
        <v>622.11421380829995</v>
      </c>
    </row>
    <row r="24" spans="1:106" x14ac:dyDescent="0.2">
      <c r="A24">
        <f t="shared" si="7"/>
        <v>6.6832494334302211E+20</v>
      </c>
      <c r="B24" s="71">
        <f t="shared" si="8"/>
        <v>2.6360770989367893E-10</v>
      </c>
      <c r="C24" s="71">
        <f t="shared" si="9"/>
        <v>3.0975660572226971E-10</v>
      </c>
      <c r="D24" s="177">
        <f t="shared" si="104"/>
        <v>20</v>
      </c>
      <c r="Y24" s="18">
        <f>IF(Y$3="","",ROUND(X23*DownMove,RoundDigits))</f>
        <v>52.341399183500002</v>
      </c>
      <c r="Z24" s="17">
        <f t="shared" si="117"/>
        <v>53.925907346300001</v>
      </c>
      <c r="AA24" s="17">
        <f t="shared" si="117"/>
        <v>55.558382627999997</v>
      </c>
      <c r="AB24" s="17">
        <f t="shared" si="117"/>
        <v>57.240277116100003</v>
      </c>
      <c r="AC24" s="17">
        <f t="shared" si="118"/>
        <v>58.973086856499997</v>
      </c>
      <c r="AD24" s="17">
        <f t="shared" si="119"/>
        <v>60.758353184299999</v>
      </c>
      <c r="AE24" s="17">
        <f t="shared" si="120"/>
        <v>62.597664094599999</v>
      </c>
      <c r="AF24" s="17">
        <f t="shared" si="121"/>
        <v>64.492655655299998</v>
      </c>
      <c r="AG24" s="17">
        <f t="shared" si="122"/>
        <v>66.445013462299997</v>
      </c>
      <c r="AH24" s="17">
        <f t="shared" si="123"/>
        <v>68.456474138800004</v>
      </c>
      <c r="AI24" s="17">
        <f t="shared" si="32"/>
        <v>70.528826879899995</v>
      </c>
      <c r="AJ24" s="17">
        <f t="shared" si="33"/>
        <v>72.663915044299998</v>
      </c>
      <c r="AK24" s="17">
        <f t="shared" si="34"/>
        <v>74.863637793899997</v>
      </c>
      <c r="AL24" s="17">
        <f t="shared" si="35"/>
        <v>77.129951783099997</v>
      </c>
      <c r="AM24" s="17">
        <f t="shared" si="36"/>
        <v>79.464872899100001</v>
      </c>
      <c r="AN24" s="17">
        <f t="shared" si="37"/>
        <v>81.8704780554</v>
      </c>
      <c r="AO24" s="17">
        <f t="shared" si="38"/>
        <v>84.348907038899995</v>
      </c>
      <c r="AP24" s="17">
        <f t="shared" si="39"/>
        <v>86.902364413200004</v>
      </c>
      <c r="AQ24" s="17">
        <f t="shared" si="40"/>
        <v>89.533121479800002</v>
      </c>
      <c r="AR24" s="17">
        <f t="shared" si="41"/>
        <v>92.243518298400005</v>
      </c>
      <c r="AS24" s="17">
        <f t="shared" si="42"/>
        <v>95.035965768099999</v>
      </c>
      <c r="AT24" s="17">
        <f t="shared" si="43"/>
        <v>97.912947772199999</v>
      </c>
      <c r="AU24" s="17">
        <f t="shared" si="44"/>
        <v>100.8770233875</v>
      </c>
      <c r="AV24" s="17">
        <f t="shared" si="45"/>
        <v>103.9308291606</v>
      </c>
      <c r="AW24" s="17">
        <f t="shared" si="46"/>
        <v>107.07708145310001</v>
      </c>
      <c r="AX24" s="17">
        <f t="shared" si="47"/>
        <v>110.31857885780001</v>
      </c>
      <c r="AY24" s="17">
        <f t="shared" si="48"/>
        <v>113.6582046881</v>
      </c>
      <c r="AZ24" s="17">
        <f t="shared" si="49"/>
        <v>117.09892954270001</v>
      </c>
      <c r="BA24" s="17">
        <f t="shared" si="50"/>
        <v>120.643813948</v>
      </c>
      <c r="BB24" s="17">
        <f t="shared" si="51"/>
        <v>124.2960110802</v>
      </c>
      <c r="BC24" s="17">
        <f t="shared" si="52"/>
        <v>128.0587695703</v>
      </c>
      <c r="BD24" s="17">
        <f t="shared" si="53"/>
        <v>131.93543639360001</v>
      </c>
      <c r="BE24" s="17">
        <f t="shared" si="54"/>
        <v>135.92945984709999</v>
      </c>
      <c r="BF24" s="17">
        <f t="shared" si="55"/>
        <v>140.04439261639999</v>
      </c>
      <c r="BG24" s="17">
        <f t="shared" si="56"/>
        <v>144.28389493610001</v>
      </c>
      <c r="BH24" s="17">
        <f t="shared" si="57"/>
        <v>148.65173784539999</v>
      </c>
      <c r="BI24" s="17">
        <f t="shared" si="58"/>
        <v>153.1518065425</v>
      </c>
      <c r="BJ24" s="17">
        <f t="shared" si="59"/>
        <v>157.7881038406</v>
      </c>
      <c r="BK24" s="17">
        <f t="shared" si="60"/>
        <v>162.5647537282</v>
      </c>
      <c r="BL24" s="17">
        <f t="shared" si="61"/>
        <v>167.48600503759999</v>
      </c>
      <c r="BM24" s="17">
        <f t="shared" si="62"/>
        <v>172.55623522400001</v>
      </c>
      <c r="BN24" s="17">
        <f t="shared" si="63"/>
        <v>177.7799542594</v>
      </c>
      <c r="BO24" s="17">
        <f t="shared" si="64"/>
        <v>183.16180864430001</v>
      </c>
      <c r="BP24" s="17">
        <f t="shared" si="65"/>
        <v>188.7065855406</v>
      </c>
      <c r="BQ24" s="17">
        <f t="shared" si="66"/>
        <v>194.4192170298</v>
      </c>
      <c r="BR24" s="17">
        <f t="shared" si="67"/>
        <v>200.30478450019999</v>
      </c>
      <c r="BS24" s="17">
        <f t="shared" si="68"/>
        <v>206.36852316669999</v>
      </c>
      <c r="BT24" s="17">
        <f t="shared" si="69"/>
        <v>212.61582672759999</v>
      </c>
      <c r="BU24" s="17">
        <f t="shared" si="70"/>
        <v>219.05225216229999</v>
      </c>
      <c r="BV24" s="17">
        <f t="shared" si="71"/>
        <v>225.68352467400001</v>
      </c>
      <c r="BW24" s="17">
        <f t="shared" si="72"/>
        <v>232.51554278270001</v>
      </c>
      <c r="BX24" s="17">
        <f t="shared" si="73"/>
        <v>239.55438357150001</v>
      </c>
      <c r="BY24" s="17">
        <f t="shared" si="74"/>
        <v>246.80630809249999</v>
      </c>
      <c r="BZ24" s="17">
        <f t="shared" si="75"/>
        <v>254.27776693589999</v>
      </c>
      <c r="CA24" s="17">
        <f t="shared" si="76"/>
        <v>261.97540596760001</v>
      </c>
      <c r="CB24" s="17">
        <f t="shared" si="77"/>
        <v>269.906072241</v>
      </c>
      <c r="CC24" s="17">
        <f t="shared" si="78"/>
        <v>278.07682008739999</v>
      </c>
      <c r="CD24" s="17">
        <f t="shared" si="79"/>
        <v>286.49491739059999</v>
      </c>
      <c r="CE24" s="17">
        <f t="shared" si="80"/>
        <v>295.167852052</v>
      </c>
      <c r="CF24" s="17">
        <f t="shared" si="81"/>
        <v>304.10333865090001</v>
      </c>
      <c r="CG24" s="17">
        <f t="shared" si="82"/>
        <v>313.30932530669998</v>
      </c>
      <c r="CH24" s="17">
        <f t="shared" si="83"/>
        <v>322.79400074860001</v>
      </c>
      <c r="CI24" s="17">
        <f t="shared" si="84"/>
        <v>332.56580159970002</v>
      </c>
      <c r="CJ24" s="17">
        <f t="shared" si="85"/>
        <v>342.63341988129997</v>
      </c>
      <c r="CK24" s="17">
        <f t="shared" si="86"/>
        <v>353.00581074439998</v>
      </c>
      <c r="CL24" s="17">
        <f t="shared" si="87"/>
        <v>363.69220043529998</v>
      </c>
      <c r="CM24" s="17">
        <f t="shared" si="88"/>
        <v>374.70209450239997</v>
      </c>
      <c r="CN24" s="17">
        <f t="shared" si="89"/>
        <v>386.04528625159998</v>
      </c>
      <c r="CO24" s="17">
        <f t="shared" si="90"/>
        <v>397.73186545689998</v>
      </c>
      <c r="CP24" s="17">
        <f t="shared" si="91"/>
        <v>409.77222733590003</v>
      </c>
      <c r="CQ24" s="17">
        <f t="shared" si="92"/>
        <v>422.17708179589999</v>
      </c>
      <c r="CR24" s="17">
        <f t="shared" si="93"/>
        <v>434.95746296049998</v>
      </c>
      <c r="CS24" s="17">
        <f t="shared" si="94"/>
        <v>448.12473898450003</v>
      </c>
      <c r="CT24" s="17">
        <f t="shared" si="95"/>
        <v>461.69062216589998</v>
      </c>
      <c r="CU24" s="17">
        <f t="shared" si="96"/>
        <v>475.6671793639</v>
      </c>
      <c r="CV24" s="17">
        <f t="shared" si="97"/>
        <v>490.0668427324</v>
      </c>
      <c r="CW24" s="17">
        <f t="shared" si="98"/>
        <v>504.90242077850002</v>
      </c>
      <c r="CX24" s="17">
        <f t="shared" si="99"/>
        <v>520.18710975550005</v>
      </c>
      <c r="CY24" s="17">
        <f t="shared" si="100"/>
        <v>535.9345054012</v>
      </c>
      <c r="CZ24" s="17">
        <f t="shared" si="101"/>
        <v>552.1586150311</v>
      </c>
      <c r="DA24" s="17">
        <f t="shared" si="102"/>
        <v>568.87386999800003</v>
      </c>
      <c r="DB24" s="17">
        <f t="shared" si="103"/>
        <v>586.09513852880002</v>
      </c>
    </row>
    <row r="25" spans="1:106" x14ac:dyDescent="0.2">
      <c r="A25">
        <f t="shared" si="7"/>
        <v>2.5778247814659425E+21</v>
      </c>
      <c r="B25" s="71">
        <f t="shared" si="8"/>
        <v>1.0167725953041902E-9</v>
      </c>
      <c r="C25" s="71">
        <f t="shared" si="9"/>
        <v>1.1884587683133028E-9</v>
      </c>
      <c r="D25" s="177">
        <f t="shared" si="104"/>
        <v>21</v>
      </c>
      <c r="Z25" s="18">
        <f>IF(Z$3="","",ROUND(Y24*DownMove,RoundDigits))</f>
        <v>50.803713265100001</v>
      </c>
      <c r="AA25" s="17">
        <f t="shared" si="117"/>
        <v>52.341671738199999</v>
      </c>
      <c r="AB25" s="17">
        <f t="shared" si="117"/>
        <v>53.9261881519</v>
      </c>
      <c r="AC25" s="17">
        <f t="shared" si="118"/>
        <v>55.558671934300001</v>
      </c>
      <c r="AD25" s="17">
        <f t="shared" si="119"/>
        <v>57.2405751804</v>
      </c>
      <c r="AE25" s="17">
        <f t="shared" si="120"/>
        <v>58.973393944000001</v>
      </c>
      <c r="AF25" s="17">
        <f t="shared" si="121"/>
        <v>60.758669568099997</v>
      </c>
      <c r="AG25" s="17">
        <f t="shared" si="122"/>
        <v>62.597990056199997</v>
      </c>
      <c r="AH25" s="17">
        <f t="shared" si="123"/>
        <v>64.492991484599997</v>
      </c>
      <c r="AI25" s="17">
        <f t="shared" si="32"/>
        <v>66.445359457999999</v>
      </c>
      <c r="AJ25" s="17">
        <f t="shared" si="33"/>
        <v>68.456830608600001</v>
      </c>
      <c r="AK25" s="17">
        <f t="shared" si="34"/>
        <v>70.529194140900003</v>
      </c>
      <c r="AL25" s="17">
        <f t="shared" si="35"/>
        <v>72.664293423199993</v>
      </c>
      <c r="AM25" s="17">
        <f t="shared" si="36"/>
        <v>74.864027627300004</v>
      </c>
      <c r="AN25" s="17">
        <f t="shared" si="37"/>
        <v>77.130353417699993</v>
      </c>
      <c r="AO25" s="17">
        <f t="shared" si="38"/>
        <v>79.465286692199996</v>
      </c>
      <c r="AP25" s="17">
        <f t="shared" si="39"/>
        <v>81.870904375099997</v>
      </c>
      <c r="AQ25" s="17">
        <f t="shared" si="40"/>
        <v>84.349346264299996</v>
      </c>
      <c r="AR25" s="17">
        <f t="shared" si="41"/>
        <v>86.902816935100006</v>
      </c>
      <c r="AS25" s="17">
        <f t="shared" si="42"/>
        <v>89.533587700699997</v>
      </c>
      <c r="AT25" s="17">
        <f t="shared" si="43"/>
        <v>92.243998633000004</v>
      </c>
      <c r="AU25" s="17">
        <f t="shared" si="44"/>
        <v>95.036460643599995</v>
      </c>
      <c r="AV25" s="17">
        <f t="shared" si="45"/>
        <v>97.913457628800003</v>
      </c>
      <c r="AW25" s="17">
        <f t="shared" si="46"/>
        <v>100.87754867869999</v>
      </c>
      <c r="AX25" s="17">
        <f t="shared" si="47"/>
        <v>103.9313703537</v>
      </c>
      <c r="AY25" s="17">
        <f t="shared" si="48"/>
        <v>107.07763902950001</v>
      </c>
      <c r="AZ25" s="17">
        <f t="shared" si="49"/>
        <v>110.3191533135</v>
      </c>
      <c r="BA25" s="17">
        <f t="shared" si="50"/>
        <v>113.65879653410001</v>
      </c>
      <c r="BB25" s="17">
        <f t="shared" si="51"/>
        <v>117.0995393054</v>
      </c>
      <c r="BC25" s="17">
        <f t="shared" si="52"/>
        <v>120.6444421697</v>
      </c>
      <c r="BD25" s="17">
        <f t="shared" si="53"/>
        <v>124.2966583198</v>
      </c>
      <c r="BE25" s="17">
        <f t="shared" si="54"/>
        <v>128.0594364035</v>
      </c>
      <c r="BF25" s="17">
        <f t="shared" si="55"/>
        <v>131.9361234136</v>
      </c>
      <c r="BG25" s="17">
        <f t="shared" si="56"/>
        <v>135.930167665</v>
      </c>
      <c r="BH25" s="17">
        <f t="shared" si="57"/>
        <v>140.0451218618</v>
      </c>
      <c r="BI25" s="17">
        <f t="shared" si="58"/>
        <v>144.2846462576</v>
      </c>
      <c r="BJ25" s="17">
        <f t="shared" si="59"/>
        <v>148.6525119113</v>
      </c>
      <c r="BK25" s="17">
        <f t="shared" si="60"/>
        <v>153.1526040414</v>
      </c>
      <c r="BL25" s="17">
        <f t="shared" si="61"/>
        <v>157.78892548190001</v>
      </c>
      <c r="BM25" s="17">
        <f t="shared" si="62"/>
        <v>162.56560024269999</v>
      </c>
      <c r="BN25" s="17">
        <f t="shared" si="63"/>
        <v>167.48687717819999</v>
      </c>
      <c r="BO25" s="17">
        <f t="shared" si="64"/>
        <v>172.55713376649999</v>
      </c>
      <c r="BP25" s="17">
        <f t="shared" si="65"/>
        <v>177.78088000310001</v>
      </c>
      <c r="BQ25" s="17">
        <f t="shared" si="66"/>
        <v>183.16276241259999</v>
      </c>
      <c r="BR25" s="17">
        <f t="shared" si="67"/>
        <v>188.7075681819</v>
      </c>
      <c r="BS25" s="17">
        <f t="shared" si="68"/>
        <v>194.42022941810001</v>
      </c>
      <c r="BT25" s="17">
        <f t="shared" si="69"/>
        <v>200.3058275361</v>
      </c>
      <c r="BU25" s="17">
        <f t="shared" si="70"/>
        <v>206.36959777800001</v>
      </c>
      <c r="BV25" s="17">
        <f t="shared" si="71"/>
        <v>212.6169338702</v>
      </c>
      <c r="BW25" s="17">
        <f t="shared" si="72"/>
        <v>219.0533928209</v>
      </c>
      <c r="BX25" s="17">
        <f t="shared" si="73"/>
        <v>225.68469986330001</v>
      </c>
      <c r="BY25" s="17">
        <f t="shared" si="74"/>
        <v>232.516753548</v>
      </c>
      <c r="BZ25" s="17">
        <f t="shared" si="75"/>
        <v>239.55563098979999</v>
      </c>
      <c r="CA25" s="17">
        <f t="shared" si="76"/>
        <v>246.80759327339999</v>
      </c>
      <c r="CB25" s="17">
        <f t="shared" si="77"/>
        <v>254.27909102250001</v>
      </c>
      <c r="CC25" s="17">
        <f t="shared" si="78"/>
        <v>261.97677013769999</v>
      </c>
      <c r="CD25" s="17">
        <f t="shared" si="79"/>
        <v>269.90747770809998</v>
      </c>
      <c r="CE25" s="17">
        <f t="shared" si="80"/>
        <v>278.07826810159997</v>
      </c>
      <c r="CF25" s="17">
        <f t="shared" si="81"/>
        <v>286.4964092399</v>
      </c>
      <c r="CG25" s="17">
        <f t="shared" si="82"/>
        <v>295.16938906339999</v>
      </c>
      <c r="CH25" s="17">
        <f t="shared" si="83"/>
        <v>304.1049221916</v>
      </c>
      <c r="CI25" s="17">
        <f t="shared" si="84"/>
        <v>313.31095678520001</v>
      </c>
      <c r="CJ25" s="17">
        <f t="shared" si="85"/>
        <v>322.79568161610001</v>
      </c>
      <c r="CK25" s="17">
        <f t="shared" si="86"/>
        <v>332.56753335140002</v>
      </c>
      <c r="CL25" s="17">
        <f t="shared" si="87"/>
        <v>342.6352040575</v>
      </c>
      <c r="CM25" s="17">
        <f t="shared" si="88"/>
        <v>353.00764893209998</v>
      </c>
      <c r="CN25" s="17">
        <f t="shared" si="89"/>
        <v>363.69409426959999</v>
      </c>
      <c r="CO25" s="17">
        <f t="shared" si="90"/>
        <v>374.70404566799999</v>
      </c>
      <c r="CP25" s="17">
        <f t="shared" si="91"/>
        <v>386.04729648390003</v>
      </c>
      <c r="CQ25" s="17">
        <f t="shared" si="92"/>
        <v>397.7339365441</v>
      </c>
      <c r="CR25" s="17">
        <f t="shared" si="93"/>
        <v>409.77436112020001</v>
      </c>
      <c r="CS25" s="17">
        <f t="shared" si="94"/>
        <v>422.17928017529999</v>
      </c>
      <c r="CT25" s="17">
        <f t="shared" si="95"/>
        <v>434.95972789050001</v>
      </c>
      <c r="CU25" s="17">
        <f t="shared" si="96"/>
        <v>448.12707247970002</v>
      </c>
      <c r="CV25" s="17">
        <f t="shared" si="97"/>
        <v>461.69302630200002</v>
      </c>
      <c r="CW25" s="17">
        <f t="shared" si="98"/>
        <v>475.6696562793</v>
      </c>
      <c r="CX25" s="17">
        <f t="shared" si="99"/>
        <v>490.06939463039998</v>
      </c>
      <c r="CY25" s="17">
        <f t="shared" si="100"/>
        <v>504.90504992899997</v>
      </c>
      <c r="CZ25" s="17">
        <f t="shared" si="101"/>
        <v>520.18981849709996</v>
      </c>
      <c r="DA25" s="17">
        <f t="shared" si="102"/>
        <v>535.93729614330005</v>
      </c>
      <c r="DB25" s="17">
        <f t="shared" si="103"/>
        <v>552.16149025610002</v>
      </c>
    </row>
    <row r="26" spans="1:106" x14ac:dyDescent="0.2">
      <c r="A26">
        <f t="shared" si="7"/>
        <v>9.3739082962397928E+21</v>
      </c>
      <c r="B26" s="71">
        <f t="shared" si="8"/>
        <v>3.6973548920152377E-9</v>
      </c>
      <c r="C26" s="71">
        <f t="shared" si="9"/>
        <v>4.2988198309386987E-9</v>
      </c>
      <c r="D26" s="177">
        <f t="shared" si="104"/>
        <v>22</v>
      </c>
      <c r="AA26" s="18">
        <f>IF(AA$3="","",ROUND(Z25*DownMove,RoundDigits))</f>
        <v>49.311201492199999</v>
      </c>
      <c r="AB26" s="17">
        <f t="shared" si="117"/>
        <v>50.803977812699998</v>
      </c>
      <c r="AC26" s="17">
        <f t="shared" si="118"/>
        <v>52.341944294400001</v>
      </c>
      <c r="AD26" s="17">
        <f t="shared" si="119"/>
        <v>53.926468959099999</v>
      </c>
      <c r="AE26" s="17">
        <f t="shared" si="120"/>
        <v>55.558961242300001</v>
      </c>
      <c r="AF26" s="17">
        <f t="shared" si="121"/>
        <v>57.240873246500001</v>
      </c>
      <c r="AG26" s="17">
        <f t="shared" si="122"/>
        <v>58.973701033300003</v>
      </c>
      <c r="AH26" s="17">
        <f t="shared" si="123"/>
        <v>60.7589859538</v>
      </c>
      <c r="AI26" s="17">
        <f t="shared" si="32"/>
        <v>62.5983160197</v>
      </c>
      <c r="AJ26" s="17">
        <f t="shared" si="33"/>
        <v>64.493327315900004</v>
      </c>
      <c r="AK26" s="17">
        <f t="shared" si="34"/>
        <v>66.445705455799995</v>
      </c>
      <c r="AL26" s="17">
        <f t="shared" si="35"/>
        <v>68.457187080699995</v>
      </c>
      <c r="AM26" s="17">
        <f t="shared" si="36"/>
        <v>70.529561404299997</v>
      </c>
      <c r="AN26" s="17">
        <f t="shared" si="37"/>
        <v>72.664671804600005</v>
      </c>
      <c r="AO26" s="17">
        <f t="shared" si="38"/>
        <v>74.864417463300001</v>
      </c>
      <c r="AP26" s="17">
        <f t="shared" si="39"/>
        <v>77.130755054999995</v>
      </c>
      <c r="AQ26" s="17">
        <f t="shared" si="40"/>
        <v>79.465700488099998</v>
      </c>
      <c r="AR26" s="17">
        <f t="shared" si="41"/>
        <v>81.871330697700003</v>
      </c>
      <c r="AS26" s="17">
        <f t="shared" si="42"/>
        <v>84.349785492799995</v>
      </c>
      <c r="AT26" s="17">
        <f t="shared" si="43"/>
        <v>86.903269460199994</v>
      </c>
      <c r="AU26" s="17">
        <f t="shared" si="44"/>
        <v>89.534053924899993</v>
      </c>
      <c r="AV26" s="17">
        <f t="shared" si="45"/>
        <v>92.244478971000007</v>
      </c>
      <c r="AW26" s="17">
        <f t="shared" si="46"/>
        <v>95.036955522699998</v>
      </c>
      <c r="AX26" s="17">
        <f t="shared" si="47"/>
        <v>97.913967489200004</v>
      </c>
      <c r="AY26" s="17">
        <f t="shared" si="48"/>
        <v>100.8780739739</v>
      </c>
      <c r="AZ26" s="17">
        <f t="shared" si="49"/>
        <v>103.9319115509</v>
      </c>
      <c r="BA26" s="17">
        <f t="shared" si="50"/>
        <v>107.07819661009999</v>
      </c>
      <c r="BB26" s="17">
        <f t="shared" si="51"/>
        <v>110.31972777350001</v>
      </c>
      <c r="BC26" s="17">
        <f t="shared" si="52"/>
        <v>113.6593883844</v>
      </c>
      <c r="BD26" s="17">
        <f t="shared" si="53"/>
        <v>117.1001490726</v>
      </c>
      <c r="BE26" s="17">
        <f t="shared" si="54"/>
        <v>120.6450703962</v>
      </c>
      <c r="BF26" s="17">
        <f t="shared" si="55"/>
        <v>124.2973055643</v>
      </c>
      <c r="BG26" s="17">
        <f t="shared" si="56"/>
        <v>128.06010324170001</v>
      </c>
      <c r="BH26" s="17">
        <f t="shared" si="57"/>
        <v>131.93681043870001</v>
      </c>
      <c r="BI26" s="17">
        <f t="shared" si="58"/>
        <v>135.93087548810001</v>
      </c>
      <c r="BJ26" s="17">
        <f t="shared" si="59"/>
        <v>140.0458511125</v>
      </c>
      <c r="BK26" s="17">
        <f t="shared" si="60"/>
        <v>144.28539758459999</v>
      </c>
      <c r="BL26" s="17">
        <f t="shared" si="61"/>
        <v>148.6532859829</v>
      </c>
      <c r="BM26" s="17">
        <f t="shared" si="62"/>
        <v>153.15340154610001</v>
      </c>
      <c r="BN26" s="17">
        <f t="shared" si="63"/>
        <v>157.78974712909999</v>
      </c>
      <c r="BO26" s="17">
        <f t="shared" si="64"/>
        <v>162.56644676330001</v>
      </c>
      <c r="BP26" s="17">
        <f t="shared" si="65"/>
        <v>167.48774932520001</v>
      </c>
      <c r="BQ26" s="17">
        <f t="shared" si="66"/>
        <v>172.5580323156</v>
      </c>
      <c r="BR26" s="17">
        <f t="shared" si="67"/>
        <v>177.7818057536</v>
      </c>
      <c r="BS26" s="17">
        <f t="shared" si="68"/>
        <v>183.16371618790001</v>
      </c>
      <c r="BT26" s="17">
        <f t="shared" si="69"/>
        <v>188.70855083039999</v>
      </c>
      <c r="BU26" s="17">
        <f t="shared" si="70"/>
        <v>194.4212418139</v>
      </c>
      <c r="BV26" s="17">
        <f t="shared" si="71"/>
        <v>200.30687057969999</v>
      </c>
      <c r="BW26" s="17">
        <f t="shared" si="72"/>
        <v>206.3706723972</v>
      </c>
      <c r="BX26" s="17">
        <f t="shared" si="73"/>
        <v>212.61804102080001</v>
      </c>
      <c r="BY26" s="17">
        <f t="shared" si="74"/>
        <v>219.0545334878</v>
      </c>
      <c r="BZ26" s="17">
        <f t="shared" si="75"/>
        <v>225.68587506110001</v>
      </c>
      <c r="CA26" s="17">
        <f t="shared" si="76"/>
        <v>232.51796432200001</v>
      </c>
      <c r="CB26" s="17">
        <f t="shared" si="77"/>
        <v>239.55687841700001</v>
      </c>
      <c r="CC26" s="17">
        <f t="shared" si="78"/>
        <v>246.80887846339999</v>
      </c>
      <c r="CD26" s="17">
        <f t="shared" si="79"/>
        <v>254.2804151185</v>
      </c>
      <c r="CE26" s="17">
        <f t="shared" si="80"/>
        <v>261.97813431750001</v>
      </c>
      <c r="CF26" s="17">
        <f t="shared" si="81"/>
        <v>269.90888318510002</v>
      </c>
      <c r="CG26" s="17">
        <f t="shared" si="82"/>
        <v>278.07971612599999</v>
      </c>
      <c r="CH26" s="17">
        <f t="shared" si="83"/>
        <v>286.49790109970002</v>
      </c>
      <c r="CI26" s="17">
        <f t="shared" si="84"/>
        <v>295.1709260856</v>
      </c>
      <c r="CJ26" s="17">
        <f t="shared" si="85"/>
        <v>304.10650574340002</v>
      </c>
      <c r="CK26" s="17">
        <f t="shared" si="86"/>
        <v>313.31258827520003</v>
      </c>
      <c r="CL26" s="17">
        <f t="shared" si="87"/>
        <v>322.79736249550001</v>
      </c>
      <c r="CM26" s="17">
        <f t="shared" si="88"/>
        <v>332.56926511530003</v>
      </c>
      <c r="CN26" s="17">
        <f t="shared" si="89"/>
        <v>342.63698824639999</v>
      </c>
      <c r="CO26" s="17">
        <f t="shared" si="90"/>
        <v>353.00948713299999</v>
      </c>
      <c r="CP26" s="17">
        <f t="shared" si="91"/>
        <v>363.6959881176</v>
      </c>
      <c r="CQ26" s="17">
        <f t="shared" si="92"/>
        <v>374.70599684759998</v>
      </c>
      <c r="CR26" s="17">
        <f t="shared" si="93"/>
        <v>386.04930673069998</v>
      </c>
      <c r="CS26" s="17">
        <f t="shared" si="94"/>
        <v>397.73600764619999</v>
      </c>
      <c r="CT26" s="17">
        <f t="shared" si="95"/>
        <v>409.77649491990002</v>
      </c>
      <c r="CU26" s="17">
        <f t="shared" si="96"/>
        <v>422.18147857060001</v>
      </c>
      <c r="CV26" s="17">
        <f t="shared" si="97"/>
        <v>434.96199283679999</v>
      </c>
      <c r="CW26" s="17">
        <f t="shared" si="98"/>
        <v>448.12940599180001</v>
      </c>
      <c r="CX26" s="17">
        <f t="shared" si="99"/>
        <v>461.69543045540001</v>
      </c>
      <c r="CY26" s="17">
        <f t="shared" si="100"/>
        <v>475.67213321259999</v>
      </c>
      <c r="CZ26" s="17">
        <f t="shared" si="101"/>
        <v>490.07194654680001</v>
      </c>
      <c r="DA26" s="17">
        <f t="shared" si="102"/>
        <v>504.90767909840002</v>
      </c>
      <c r="DB26" s="17">
        <f t="shared" si="103"/>
        <v>520.19252725820002</v>
      </c>
    </row>
    <row r="27" spans="1:106" x14ac:dyDescent="0.2">
      <c r="A27">
        <f t="shared" si="7"/>
        <v>3.2197337191432325E+22</v>
      </c>
      <c r="B27" s="71">
        <f t="shared" si="8"/>
        <v>1.2699610281269727E-8</v>
      </c>
      <c r="C27" s="71">
        <f t="shared" si="9"/>
        <v>1.4687447162153431E-8</v>
      </c>
      <c r="D27" s="177">
        <f t="shared" si="104"/>
        <v>23</v>
      </c>
      <c r="AB27" s="18">
        <f>IF(AB$3="","",ROUND(AA26*DownMove,RoundDigits))</f>
        <v>47.862536738499998</v>
      </c>
      <c r="AC27" s="17">
        <f t="shared" si="118"/>
        <v>49.311458267900001</v>
      </c>
      <c r="AD27" s="17">
        <f t="shared" si="119"/>
        <v>50.804242361599997</v>
      </c>
      <c r="AE27" s="17">
        <f t="shared" si="120"/>
        <v>52.342216851800003</v>
      </c>
      <c r="AF27" s="17">
        <f t="shared" si="121"/>
        <v>53.926749767499999</v>
      </c>
      <c r="AG27" s="17">
        <f t="shared" si="122"/>
        <v>55.559250551399998</v>
      </c>
      <c r="AH27" s="17">
        <f t="shared" si="123"/>
        <v>57.241171313800002</v>
      </c>
      <c r="AI27" s="17">
        <f t="shared" si="32"/>
        <v>58.974008123899999</v>
      </c>
      <c r="AJ27" s="17">
        <f t="shared" si="33"/>
        <v>60.759302340799998</v>
      </c>
      <c r="AK27" s="17">
        <f t="shared" si="34"/>
        <v>62.598641984499999</v>
      </c>
      <c r="AL27" s="17">
        <f t="shared" si="35"/>
        <v>64.493663148500005</v>
      </c>
      <c r="AM27" s="17">
        <f t="shared" si="36"/>
        <v>66.446051454900001</v>
      </c>
      <c r="AN27" s="17">
        <f t="shared" si="37"/>
        <v>68.457543554099999</v>
      </c>
      <c r="AO27" s="17">
        <f t="shared" si="38"/>
        <v>70.529928669100002</v>
      </c>
      <c r="AP27" s="17">
        <f t="shared" si="39"/>
        <v>72.6650501875</v>
      </c>
      <c r="AQ27" s="17">
        <f t="shared" si="40"/>
        <v>74.864807300799995</v>
      </c>
      <c r="AR27" s="17">
        <f t="shared" si="41"/>
        <v>77.131156693899996</v>
      </c>
      <c r="AS27" s="17">
        <f t="shared" si="42"/>
        <v>79.466114285700002</v>
      </c>
      <c r="AT27" s="17">
        <f t="shared" si="43"/>
        <v>81.871757021999997</v>
      </c>
      <c r="AU27" s="17">
        <f t="shared" si="44"/>
        <v>84.350224723099998</v>
      </c>
      <c r="AV27" s="17">
        <f t="shared" si="45"/>
        <v>86.903721987099999</v>
      </c>
      <c r="AW27" s="17">
        <f t="shared" si="46"/>
        <v>89.534520150999995</v>
      </c>
      <c r="AX27" s="17">
        <f t="shared" si="47"/>
        <v>92.244959310900001</v>
      </c>
      <c r="AY27" s="17">
        <f t="shared" si="48"/>
        <v>95.037450403700007</v>
      </c>
      <c r="AZ27" s="17">
        <f t="shared" si="49"/>
        <v>97.914477351499997</v>
      </c>
      <c r="BA27" s="17">
        <f t="shared" si="50"/>
        <v>100.8785992711</v>
      </c>
      <c r="BB27" s="17">
        <f t="shared" si="51"/>
        <v>103.9324527502</v>
      </c>
      <c r="BC27" s="17">
        <f t="shared" si="52"/>
        <v>107.07875419290001</v>
      </c>
      <c r="BD27" s="17">
        <f t="shared" si="53"/>
        <v>110.3203022357</v>
      </c>
      <c r="BE27" s="17">
        <f t="shared" si="54"/>
        <v>113.6599802371</v>
      </c>
      <c r="BF27" s="17">
        <f t="shared" si="55"/>
        <v>117.10075884219999</v>
      </c>
      <c r="BG27" s="17">
        <f t="shared" si="56"/>
        <v>120.6456986251</v>
      </c>
      <c r="BH27" s="17">
        <f t="shared" si="57"/>
        <v>124.29795281129999</v>
      </c>
      <c r="BI27" s="17">
        <f t="shared" si="58"/>
        <v>128.0607700825</v>
      </c>
      <c r="BJ27" s="17">
        <f t="shared" si="59"/>
        <v>131.93749746649999</v>
      </c>
      <c r="BK27" s="17">
        <f t="shared" si="60"/>
        <v>135.93158331399999</v>
      </c>
      <c r="BL27" s="17">
        <f t="shared" si="61"/>
        <v>140.04658036609999</v>
      </c>
      <c r="BM27" s="17">
        <f t="shared" si="62"/>
        <v>144.28614891460001</v>
      </c>
      <c r="BN27" s="17">
        <f t="shared" si="63"/>
        <v>148.65406005759999</v>
      </c>
      <c r="BO27" s="17">
        <f t="shared" si="64"/>
        <v>153.15419905409999</v>
      </c>
      <c r="BP27" s="17">
        <f t="shared" si="65"/>
        <v>157.79056877970001</v>
      </c>
      <c r="BQ27" s="17">
        <f t="shared" si="66"/>
        <v>162.5672932873</v>
      </c>
      <c r="BR27" s="17">
        <f t="shared" si="67"/>
        <v>167.48862147560001</v>
      </c>
      <c r="BS27" s="17">
        <f t="shared" si="68"/>
        <v>172.55893086820001</v>
      </c>
      <c r="BT27" s="17">
        <f t="shared" si="69"/>
        <v>177.78273150769999</v>
      </c>
      <c r="BU27" s="17">
        <f t="shared" si="70"/>
        <v>183.16466996700001</v>
      </c>
      <c r="BV27" s="17">
        <f t="shared" si="71"/>
        <v>188.7095334828</v>
      </c>
      <c r="BW27" s="17">
        <f t="shared" si="72"/>
        <v>194.4222542137</v>
      </c>
      <c r="BX27" s="17">
        <f t="shared" si="73"/>
        <v>200.30791362740001</v>
      </c>
      <c r="BY27" s="17">
        <f t="shared" si="74"/>
        <v>206.3717470206</v>
      </c>
      <c r="BZ27" s="17">
        <f t="shared" si="75"/>
        <v>212.61914817580001</v>
      </c>
      <c r="CA27" s="17">
        <f t="shared" si="76"/>
        <v>219.05567415920001</v>
      </c>
      <c r="CB27" s="17">
        <f t="shared" si="77"/>
        <v>225.6870502635</v>
      </c>
      <c r="CC27" s="17">
        <f t="shared" si="78"/>
        <v>232.5191751008</v>
      </c>
      <c r="CD27" s="17">
        <f t="shared" si="79"/>
        <v>239.5581258492</v>
      </c>
      <c r="CE27" s="17">
        <f t="shared" si="80"/>
        <v>246.8101636586</v>
      </c>
      <c r="CF27" s="17">
        <f t="shared" si="81"/>
        <v>254.28173921979999</v>
      </c>
      <c r="CG27" s="17">
        <f t="shared" si="82"/>
        <v>261.97949850269998</v>
      </c>
      <c r="CH27" s="17">
        <f t="shared" si="83"/>
        <v>269.91028866760001</v>
      </c>
      <c r="CI27" s="17">
        <f t="shared" si="84"/>
        <v>278.081164156</v>
      </c>
      <c r="CJ27" s="17">
        <f t="shared" si="85"/>
        <v>286.49939296529999</v>
      </c>
      <c r="CK27" s="17">
        <f t="shared" si="86"/>
        <v>295.17246311380001</v>
      </c>
      <c r="CL27" s="17">
        <f t="shared" si="87"/>
        <v>304.10808930140001</v>
      </c>
      <c r="CM27" s="17">
        <f t="shared" si="88"/>
        <v>313.31421977150001</v>
      </c>
      <c r="CN27" s="17">
        <f t="shared" si="89"/>
        <v>322.7990433814</v>
      </c>
      <c r="CO27" s="17">
        <f t="shared" si="90"/>
        <v>332.5709968859</v>
      </c>
      <c r="CP27" s="17">
        <f t="shared" si="91"/>
        <v>342.63877244209999</v>
      </c>
      <c r="CQ27" s="17">
        <f t="shared" si="92"/>
        <v>353.01132534089999</v>
      </c>
      <c r="CR27" s="17">
        <f t="shared" si="93"/>
        <v>363.69788197269997</v>
      </c>
      <c r="CS27" s="17">
        <f t="shared" si="94"/>
        <v>374.70794803450002</v>
      </c>
      <c r="CT27" s="17">
        <f t="shared" si="95"/>
        <v>386.05131698510002</v>
      </c>
      <c r="CU27" s="17">
        <f t="shared" si="96"/>
        <v>397.73807875620003</v>
      </c>
      <c r="CV27" s="17">
        <f t="shared" si="97"/>
        <v>409.77862872769998</v>
      </c>
      <c r="CW27" s="17">
        <f t="shared" si="98"/>
        <v>422.18367697420001</v>
      </c>
      <c r="CX27" s="17">
        <f t="shared" si="99"/>
        <v>434.96425779169999</v>
      </c>
      <c r="CY27" s="17">
        <f t="shared" si="100"/>
        <v>448.13173951260001</v>
      </c>
      <c r="CZ27" s="17">
        <f t="shared" si="101"/>
        <v>461.69783461790001</v>
      </c>
      <c r="DA27" s="17">
        <f t="shared" si="102"/>
        <v>475.6746101553</v>
      </c>
      <c r="DB27" s="17">
        <f t="shared" si="103"/>
        <v>490.07449847290002</v>
      </c>
    </row>
    <row r="28" spans="1:106" x14ac:dyDescent="0.2">
      <c r="A28">
        <f t="shared" si="7"/>
        <v>1.0464134587215499E+23</v>
      </c>
      <c r="B28" s="71">
        <f t="shared" si="8"/>
        <v>4.1273733414126584E-8</v>
      </c>
      <c r="C28" s="71">
        <f t="shared" si="9"/>
        <v>4.7481835223381936E-8</v>
      </c>
      <c r="D28" s="177">
        <f t="shared" si="104"/>
        <v>24</v>
      </c>
      <c r="AC28" s="18">
        <f>IF(AC$3="","",ROUND(AB27*DownMove,RoundDigits))</f>
        <v>46.4564308661</v>
      </c>
      <c r="AD28" s="17">
        <f t="shared" si="119"/>
        <v>47.862785970700003</v>
      </c>
      <c r="AE28" s="17">
        <f t="shared" si="120"/>
        <v>49.311715045</v>
      </c>
      <c r="AF28" s="17">
        <f t="shared" si="121"/>
        <v>50.804506912000001</v>
      </c>
      <c r="AG28" s="17">
        <f t="shared" si="122"/>
        <v>52.342489410799999</v>
      </c>
      <c r="AH28" s="17">
        <f t="shared" si="123"/>
        <v>53.9270305776</v>
      </c>
      <c r="AI28" s="17">
        <f t="shared" si="32"/>
        <v>55.559539862400001</v>
      </c>
      <c r="AJ28" s="17">
        <f t="shared" si="33"/>
        <v>57.2414693829</v>
      </c>
      <c r="AK28" s="17">
        <f t="shared" si="34"/>
        <v>58.974315216299999</v>
      </c>
      <c r="AL28" s="17">
        <f t="shared" si="35"/>
        <v>60.7596187296</v>
      </c>
      <c r="AM28" s="17">
        <f t="shared" si="36"/>
        <v>62.598967951200002</v>
      </c>
      <c r="AN28" s="17">
        <f t="shared" si="37"/>
        <v>64.493998982999997</v>
      </c>
      <c r="AO28" s="17">
        <f t="shared" si="38"/>
        <v>66.446397456</v>
      </c>
      <c r="AP28" s="17">
        <f t="shared" si="39"/>
        <v>68.457900029499996</v>
      </c>
      <c r="AQ28" s="17">
        <f t="shared" si="40"/>
        <v>70.5302959359</v>
      </c>
      <c r="AR28" s="17">
        <f t="shared" si="41"/>
        <v>72.665428572400003</v>
      </c>
      <c r="AS28" s="17">
        <f t="shared" si="42"/>
        <v>74.865197140299998</v>
      </c>
      <c r="AT28" s="17">
        <f t="shared" si="43"/>
        <v>77.131558334900006</v>
      </c>
      <c r="AU28" s="17">
        <f t="shared" si="44"/>
        <v>79.4665280854</v>
      </c>
      <c r="AV28" s="17">
        <f t="shared" si="45"/>
        <v>81.8721833484</v>
      </c>
      <c r="AW28" s="17">
        <f t="shared" si="46"/>
        <v>84.350663955399995</v>
      </c>
      <c r="AX28" s="17">
        <f t="shared" si="47"/>
        <v>86.904174516099999</v>
      </c>
      <c r="AY28" s="17">
        <f t="shared" si="48"/>
        <v>89.534986379200006</v>
      </c>
      <c r="AZ28" s="17">
        <f t="shared" si="49"/>
        <v>92.245439653000005</v>
      </c>
      <c r="BA28" s="17">
        <f t="shared" si="50"/>
        <v>95.037945286999999</v>
      </c>
      <c r="BB28" s="17">
        <f t="shared" si="51"/>
        <v>97.914987216200004</v>
      </c>
      <c r="BC28" s="17">
        <f t="shared" si="52"/>
        <v>100.8791245707</v>
      </c>
      <c r="BD28" s="17">
        <f t="shared" si="53"/>
        <v>103.932993952</v>
      </c>
      <c r="BE28" s="17">
        <f t="shared" si="54"/>
        <v>107.07931177819999</v>
      </c>
      <c r="BF28" s="17">
        <f t="shared" si="55"/>
        <v>110.32087670049999</v>
      </c>
      <c r="BG28" s="17">
        <f t="shared" si="56"/>
        <v>113.6605720924</v>
      </c>
      <c r="BH28" s="17">
        <f t="shared" si="57"/>
        <v>117.1013686144</v>
      </c>
      <c r="BI28" s="17">
        <f t="shared" si="58"/>
        <v>120.6463268566</v>
      </c>
      <c r="BJ28" s="17">
        <f t="shared" si="59"/>
        <v>124.298600061</v>
      </c>
      <c r="BK28" s="17">
        <f t="shared" si="60"/>
        <v>128.0614369262</v>
      </c>
      <c r="BL28" s="17">
        <f t="shared" si="61"/>
        <v>131.93818449720001</v>
      </c>
      <c r="BM28" s="17">
        <f t="shared" si="62"/>
        <v>135.93229114280001</v>
      </c>
      <c r="BN28" s="17">
        <f t="shared" si="63"/>
        <v>140.0473096227</v>
      </c>
      <c r="BO28" s="17">
        <f t="shared" si="64"/>
        <v>144.2869002477</v>
      </c>
      <c r="BP28" s="17">
        <f t="shared" si="65"/>
        <v>148.65483413550001</v>
      </c>
      <c r="BQ28" s="17">
        <f t="shared" si="66"/>
        <v>153.1549965653</v>
      </c>
      <c r="BR28" s="17">
        <f t="shared" si="67"/>
        <v>157.79139043359999</v>
      </c>
      <c r="BS28" s="17">
        <f t="shared" si="68"/>
        <v>162.56813981479999</v>
      </c>
      <c r="BT28" s="17">
        <f t="shared" si="69"/>
        <v>167.48949362970001</v>
      </c>
      <c r="BU28" s="17">
        <f t="shared" si="70"/>
        <v>172.55982942470001</v>
      </c>
      <c r="BV28" s="17">
        <f t="shared" si="71"/>
        <v>177.7836572658</v>
      </c>
      <c r="BW28" s="17">
        <f t="shared" si="72"/>
        <v>183.16562375020001</v>
      </c>
      <c r="BX28" s="17">
        <f t="shared" si="73"/>
        <v>188.71051613949999</v>
      </c>
      <c r="BY28" s="17">
        <f t="shared" si="74"/>
        <v>194.42326661800001</v>
      </c>
      <c r="BZ28" s="17">
        <f t="shared" si="75"/>
        <v>200.30895667979999</v>
      </c>
      <c r="CA28" s="17">
        <f t="shared" si="76"/>
        <v>206.37282164889999</v>
      </c>
      <c r="CB28" s="17">
        <f t="shared" si="77"/>
        <v>212.6202553359</v>
      </c>
      <c r="CC28" s="17">
        <f t="shared" si="78"/>
        <v>219.05681483590001</v>
      </c>
      <c r="CD28" s="17">
        <f t="shared" si="79"/>
        <v>225.68822547139999</v>
      </c>
      <c r="CE28" s="17">
        <f t="shared" si="80"/>
        <v>232.52038588529999</v>
      </c>
      <c r="CF28" s="17">
        <f t="shared" si="81"/>
        <v>239.5593732872</v>
      </c>
      <c r="CG28" s="17">
        <f t="shared" si="82"/>
        <v>246.81144885969999</v>
      </c>
      <c r="CH28" s="17">
        <f t="shared" si="83"/>
        <v>254.28306332720001</v>
      </c>
      <c r="CI28" s="17">
        <f t="shared" si="84"/>
        <v>261.98086269420003</v>
      </c>
      <c r="CJ28" s="17">
        <f t="shared" si="85"/>
        <v>269.91169415669998</v>
      </c>
      <c r="CK28" s="17">
        <f t="shared" si="86"/>
        <v>278.0826121929</v>
      </c>
      <c r="CL28" s="17">
        <f t="shared" si="87"/>
        <v>286.50088483799999</v>
      </c>
      <c r="CM28" s="17">
        <f t="shared" si="88"/>
        <v>295.17400014930001</v>
      </c>
      <c r="CN28" s="17">
        <f t="shared" si="89"/>
        <v>304.10967286689998</v>
      </c>
      <c r="CO28" s="17">
        <f t="shared" si="90"/>
        <v>313.31585127559998</v>
      </c>
      <c r="CP28" s="17">
        <f t="shared" si="91"/>
        <v>322.80072427530001</v>
      </c>
      <c r="CQ28" s="17">
        <f t="shared" si="92"/>
        <v>332.57272866480002</v>
      </c>
      <c r="CR28" s="17">
        <f t="shared" si="93"/>
        <v>342.6405566464</v>
      </c>
      <c r="CS28" s="17">
        <f t="shared" si="94"/>
        <v>353.01316355760002</v>
      </c>
      <c r="CT28" s="17">
        <f t="shared" si="95"/>
        <v>363.699775837</v>
      </c>
      <c r="CU28" s="17">
        <f t="shared" si="96"/>
        <v>374.70989923100001</v>
      </c>
      <c r="CV28" s="17">
        <f t="shared" si="97"/>
        <v>386.05332724930003</v>
      </c>
      <c r="CW28" s="17">
        <f t="shared" si="98"/>
        <v>397.74014987620001</v>
      </c>
      <c r="CX28" s="17">
        <f t="shared" si="99"/>
        <v>409.78076254579997</v>
      </c>
      <c r="CY28" s="17">
        <f t="shared" si="100"/>
        <v>422.18587538840001</v>
      </c>
      <c r="CZ28" s="17">
        <f t="shared" si="101"/>
        <v>434.9665227575</v>
      </c>
      <c r="DA28" s="17">
        <f t="shared" si="102"/>
        <v>448.1340730448</v>
      </c>
      <c r="DB28" s="17">
        <f t="shared" si="103"/>
        <v>461.70023879209998</v>
      </c>
    </row>
    <row r="29" spans="1:106" x14ac:dyDescent="0.2">
      <c r="A29">
        <f t="shared" si="7"/>
        <v>3.2229534528623754E+23</v>
      </c>
      <c r="B29" s="71">
        <f t="shared" si="8"/>
        <v>1.2712309891550995E-7</v>
      </c>
      <c r="C29" s="71">
        <f t="shared" si="9"/>
        <v>1.4547086839054137E-7</v>
      </c>
      <c r="D29" s="177">
        <f t="shared" si="104"/>
        <v>25</v>
      </c>
      <c r="AD29" s="18">
        <f>IF(AD$3="","",ROUND(AC28*DownMove,RoundDigits))</f>
        <v>45.091633579899998</v>
      </c>
      <c r="AE29" s="17">
        <f t="shared" si="120"/>
        <v>46.456672776300003</v>
      </c>
      <c r="AF29" s="17">
        <f t="shared" si="121"/>
        <v>47.863035204100001</v>
      </c>
      <c r="AG29" s="17">
        <f t="shared" si="122"/>
        <v>49.311971823299999</v>
      </c>
      <c r="AH29" s="17">
        <f t="shared" si="123"/>
        <v>50.8047714637</v>
      </c>
      <c r="AI29" s="17">
        <f t="shared" si="32"/>
        <v>52.342761971199998</v>
      </c>
      <c r="AJ29" s="17">
        <f t="shared" si="33"/>
        <v>53.927311389099998</v>
      </c>
      <c r="AK29" s="17">
        <f t="shared" si="34"/>
        <v>55.559829174800001</v>
      </c>
      <c r="AL29" s="17">
        <f t="shared" si="35"/>
        <v>57.241767453599998</v>
      </c>
      <c r="AM29" s="17">
        <f t="shared" si="36"/>
        <v>58.974622310299999</v>
      </c>
      <c r="AN29" s="17">
        <f t="shared" si="37"/>
        <v>60.759935120199998</v>
      </c>
      <c r="AO29" s="17">
        <f t="shared" si="38"/>
        <v>62.599293919799997</v>
      </c>
      <c r="AP29" s="17">
        <f t="shared" si="39"/>
        <v>64.494334819499997</v>
      </c>
      <c r="AQ29" s="17">
        <f t="shared" si="40"/>
        <v>66.446743459100006</v>
      </c>
      <c r="AR29" s="17">
        <f t="shared" si="41"/>
        <v>68.458256507000002</v>
      </c>
      <c r="AS29" s="17">
        <f t="shared" si="42"/>
        <v>70.530663204899994</v>
      </c>
      <c r="AT29" s="17">
        <f t="shared" si="43"/>
        <v>72.665806959500003</v>
      </c>
      <c r="AU29" s="17">
        <f t="shared" si="44"/>
        <v>74.8655869822</v>
      </c>
      <c r="AV29" s="17">
        <f t="shared" si="45"/>
        <v>77.131959978300003</v>
      </c>
      <c r="AW29" s="17">
        <f t="shared" si="46"/>
        <v>79.466941887600001</v>
      </c>
      <c r="AX29" s="17">
        <f t="shared" si="47"/>
        <v>81.872609677499995</v>
      </c>
      <c r="AY29" s="17">
        <f t="shared" si="48"/>
        <v>84.3511031906</v>
      </c>
      <c r="AZ29" s="17">
        <f t="shared" si="49"/>
        <v>86.904627047999995</v>
      </c>
      <c r="BA29" s="17">
        <f t="shared" si="50"/>
        <v>89.5354526104</v>
      </c>
      <c r="BB29" s="17">
        <f t="shared" si="51"/>
        <v>92.245919998199994</v>
      </c>
      <c r="BC29" s="17">
        <f t="shared" si="52"/>
        <v>95.038440173500007</v>
      </c>
      <c r="BD29" s="17">
        <f t="shared" si="53"/>
        <v>97.915497084199998</v>
      </c>
      <c r="BE29" s="17">
        <f t="shared" si="54"/>
        <v>100.8796498737</v>
      </c>
      <c r="BF29" s="17">
        <f t="shared" si="55"/>
        <v>103.9335351572</v>
      </c>
      <c r="BG29" s="17">
        <f t="shared" si="56"/>
        <v>107.0798693671</v>
      </c>
      <c r="BH29" s="17">
        <f t="shared" si="57"/>
        <v>110.3214511691</v>
      </c>
      <c r="BI29" s="17">
        <f t="shared" si="58"/>
        <v>113.6611639516</v>
      </c>
      <c r="BJ29" s="17">
        <f t="shared" si="59"/>
        <v>117.1019783907</v>
      </c>
      <c r="BK29" s="17">
        <f t="shared" si="60"/>
        <v>120.64695509240001</v>
      </c>
      <c r="BL29" s="17">
        <f t="shared" si="61"/>
        <v>124.2992473151</v>
      </c>
      <c r="BM29" s="17">
        <f t="shared" si="62"/>
        <v>128.0621037743</v>
      </c>
      <c r="BN29" s="17">
        <f t="shared" si="63"/>
        <v>131.9388715325</v>
      </c>
      <c r="BO29" s="17">
        <f t="shared" si="64"/>
        <v>135.93299897649999</v>
      </c>
      <c r="BP29" s="17">
        <f t="shared" si="65"/>
        <v>140.04803888430001</v>
      </c>
      <c r="BQ29" s="17">
        <f t="shared" si="66"/>
        <v>144.28765158589999</v>
      </c>
      <c r="BR29" s="17">
        <f t="shared" si="67"/>
        <v>148.65560821860001</v>
      </c>
      <c r="BS29" s="17">
        <f t="shared" si="68"/>
        <v>153.15579408190001</v>
      </c>
      <c r="BT29" s="17">
        <f t="shared" si="69"/>
        <v>157.79221209299999</v>
      </c>
      <c r="BU29" s="17">
        <f t="shared" si="70"/>
        <v>162.56898634789999</v>
      </c>
      <c r="BV29" s="17">
        <f t="shared" si="71"/>
        <v>167.4903657895</v>
      </c>
      <c r="BW29" s="17">
        <f t="shared" si="72"/>
        <v>172.56072798700001</v>
      </c>
      <c r="BX29" s="17">
        <f t="shared" si="73"/>
        <v>177.78458302979999</v>
      </c>
      <c r="BY29" s="17">
        <f t="shared" si="74"/>
        <v>183.16657753940001</v>
      </c>
      <c r="BZ29" s="17">
        <f t="shared" si="75"/>
        <v>188.71149880230001</v>
      </c>
      <c r="CA29" s="17">
        <f t="shared" si="76"/>
        <v>194.4242790285</v>
      </c>
      <c r="CB29" s="17">
        <f t="shared" si="77"/>
        <v>200.30999973850001</v>
      </c>
      <c r="CC29" s="17">
        <f t="shared" si="78"/>
        <v>206.3738962836</v>
      </c>
      <c r="CD29" s="17">
        <f t="shared" si="79"/>
        <v>212.62136250250001</v>
      </c>
      <c r="CE29" s="17">
        <f t="shared" si="80"/>
        <v>219.05795551919999</v>
      </c>
      <c r="CF29" s="17">
        <f t="shared" si="81"/>
        <v>225.68940068609999</v>
      </c>
      <c r="CG29" s="17">
        <f t="shared" si="82"/>
        <v>232.5215966767</v>
      </c>
      <c r="CH29" s="17">
        <f t="shared" si="83"/>
        <v>239.5606207324</v>
      </c>
      <c r="CI29" s="17">
        <f t="shared" si="84"/>
        <v>246.81273406829999</v>
      </c>
      <c r="CJ29" s="17">
        <f t="shared" si="85"/>
        <v>254.2843874424</v>
      </c>
      <c r="CK29" s="17">
        <f t="shared" si="86"/>
        <v>261.98222689379998</v>
      </c>
      <c r="CL29" s="17">
        <f t="shared" si="87"/>
        <v>269.91309965409999</v>
      </c>
      <c r="CM29" s="17">
        <f t="shared" si="88"/>
        <v>278.08406023830003</v>
      </c>
      <c r="CN29" s="17">
        <f t="shared" si="89"/>
        <v>286.50237671939999</v>
      </c>
      <c r="CO29" s="17">
        <f t="shared" si="90"/>
        <v>295.17553719379998</v>
      </c>
      <c r="CP29" s="17">
        <f t="shared" si="91"/>
        <v>304.11125644160001</v>
      </c>
      <c r="CQ29" s="17">
        <f t="shared" si="92"/>
        <v>313.31748278920003</v>
      </c>
      <c r="CR29" s="17">
        <f t="shared" si="93"/>
        <v>322.802405179</v>
      </c>
      <c r="CS29" s="17">
        <f t="shared" si="94"/>
        <v>332.5744604537</v>
      </c>
      <c r="CT29" s="17">
        <f t="shared" si="95"/>
        <v>342.64234086099998</v>
      </c>
      <c r="CU29" s="17">
        <f t="shared" si="96"/>
        <v>353.01500178489999</v>
      </c>
      <c r="CV29" s="17">
        <f t="shared" si="97"/>
        <v>363.7016697121</v>
      </c>
      <c r="CW29" s="17">
        <f t="shared" si="98"/>
        <v>374.71185043849999</v>
      </c>
      <c r="CX29" s="17">
        <f t="shared" si="99"/>
        <v>386.0553375248</v>
      </c>
      <c r="CY29" s="17">
        <f t="shared" si="100"/>
        <v>397.74222100790001</v>
      </c>
      <c r="CZ29" s="17">
        <f t="shared" si="101"/>
        <v>409.78289637590001</v>
      </c>
      <c r="DA29" s="17">
        <f t="shared" si="102"/>
        <v>422.188073815</v>
      </c>
      <c r="DB29" s="17">
        <f t="shared" si="103"/>
        <v>434.96878773610001</v>
      </c>
    </row>
    <row r="30" spans="1:106" x14ac:dyDescent="0.2">
      <c r="A30">
        <f t="shared" si="7"/>
        <v>9.4209408622130929E+23</v>
      </c>
      <c r="B30" s="71">
        <f t="shared" si="8"/>
        <v>3.71590596829952E-7</v>
      </c>
      <c r="C30" s="71">
        <f t="shared" si="9"/>
        <v>4.2297441067782927E-7</v>
      </c>
      <c r="D30" s="177">
        <f t="shared" si="104"/>
        <v>26</v>
      </c>
      <c r="AE30" s="18">
        <f>IF(AE$3="","",ROUND(AD29*DownMove,RoundDigits))</f>
        <v>43.766931315999997</v>
      </c>
      <c r="AF30" s="17">
        <f t="shared" si="121"/>
        <v>45.091868383300003</v>
      </c>
      <c r="AG30" s="17">
        <f t="shared" si="122"/>
        <v>46.456914687800001</v>
      </c>
      <c r="AH30" s="17">
        <f t="shared" si="123"/>
        <v>47.863284438900003</v>
      </c>
      <c r="AI30" s="17">
        <f t="shared" si="32"/>
        <v>49.312228603100003</v>
      </c>
      <c r="AJ30" s="17">
        <f t="shared" si="33"/>
        <v>50.805036016899997</v>
      </c>
      <c r="AK30" s="17">
        <f t="shared" si="34"/>
        <v>52.343034533100003</v>
      </c>
      <c r="AL30" s="17">
        <f t="shared" si="35"/>
        <v>53.927592202100001</v>
      </c>
      <c r="AM30" s="17">
        <f t="shared" si="36"/>
        <v>55.560118488699999</v>
      </c>
      <c r="AN30" s="17">
        <f t="shared" si="37"/>
        <v>57.242065525699999</v>
      </c>
      <c r="AO30" s="17">
        <f t="shared" si="38"/>
        <v>58.974929405799998</v>
      </c>
      <c r="AP30" s="17">
        <f t="shared" si="39"/>
        <v>60.7602515122</v>
      </c>
      <c r="AQ30" s="17">
        <f t="shared" si="40"/>
        <v>62.599619889800003</v>
      </c>
      <c r="AR30" s="17">
        <f t="shared" si="41"/>
        <v>64.494670657499995</v>
      </c>
      <c r="AS30" s="17">
        <f t="shared" si="42"/>
        <v>66.447089463799998</v>
      </c>
      <c r="AT30" s="17">
        <f t="shared" si="43"/>
        <v>68.458612986099993</v>
      </c>
      <c r="AU30" s="17">
        <f t="shared" si="44"/>
        <v>70.531030475600005</v>
      </c>
      <c r="AV30" s="17">
        <f t="shared" si="45"/>
        <v>72.666185348499994</v>
      </c>
      <c r="AW30" s="17">
        <f t="shared" si="46"/>
        <v>74.865976825999994</v>
      </c>
      <c r="AX30" s="17">
        <f t="shared" si="47"/>
        <v>77.132361623600005</v>
      </c>
      <c r="AY30" s="17">
        <f t="shared" si="48"/>
        <v>79.467355691700007</v>
      </c>
      <c r="AZ30" s="17">
        <f t="shared" si="49"/>
        <v>81.873036008499994</v>
      </c>
      <c r="BA30" s="17">
        <f t="shared" si="50"/>
        <v>84.351542427699997</v>
      </c>
      <c r="BB30" s="17">
        <f t="shared" si="51"/>
        <v>86.905079581999999</v>
      </c>
      <c r="BC30" s="17">
        <f t="shared" si="52"/>
        <v>89.535918843700003</v>
      </c>
      <c r="BD30" s="17">
        <f t="shared" si="53"/>
        <v>92.246400345599994</v>
      </c>
      <c r="BE30" s="17">
        <f t="shared" si="54"/>
        <v>95.038935062199997</v>
      </c>
      <c r="BF30" s="17">
        <f t="shared" si="55"/>
        <v>97.916006954400004</v>
      </c>
      <c r="BG30" s="17">
        <f t="shared" si="56"/>
        <v>100.8801751789</v>
      </c>
      <c r="BH30" s="17">
        <f t="shared" si="57"/>
        <v>103.93407636480001</v>
      </c>
      <c r="BI30" s="17">
        <f t="shared" si="58"/>
        <v>107.0804269584</v>
      </c>
      <c r="BJ30" s="17">
        <f t="shared" si="59"/>
        <v>110.32202564009999</v>
      </c>
      <c r="BK30" s="17">
        <f t="shared" si="60"/>
        <v>113.66175581340001</v>
      </c>
      <c r="BL30" s="17">
        <f t="shared" si="61"/>
        <v>117.1025881697</v>
      </c>
      <c r="BM30" s="17">
        <f t="shared" si="62"/>
        <v>120.64758333100001</v>
      </c>
      <c r="BN30" s="17">
        <f t="shared" si="63"/>
        <v>124.299894572</v>
      </c>
      <c r="BO30" s="17">
        <f t="shared" si="64"/>
        <v>128.0627706253</v>
      </c>
      <c r="BP30" s="17">
        <f t="shared" si="65"/>
        <v>131.93955857079999</v>
      </c>
      <c r="BQ30" s="17">
        <f t="shared" si="66"/>
        <v>135.93370681319999</v>
      </c>
      <c r="BR30" s="17">
        <f t="shared" si="67"/>
        <v>140.0487681491</v>
      </c>
      <c r="BS30" s="17">
        <f t="shared" si="68"/>
        <v>144.2884029274</v>
      </c>
      <c r="BT30" s="17">
        <f t="shared" si="69"/>
        <v>148.65638230510001</v>
      </c>
      <c r="BU30" s="17">
        <f t="shared" si="70"/>
        <v>153.1565916019</v>
      </c>
      <c r="BV30" s="17">
        <f t="shared" si="71"/>
        <v>157.793033756</v>
      </c>
      <c r="BW30" s="17">
        <f t="shared" si="72"/>
        <v>162.56983288480001</v>
      </c>
      <c r="BX30" s="17">
        <f t="shared" si="73"/>
        <v>167.4912379532</v>
      </c>
      <c r="BY30" s="17">
        <f t="shared" si="74"/>
        <v>172.56162655329999</v>
      </c>
      <c r="BZ30" s="17">
        <f t="shared" si="75"/>
        <v>177.785508798</v>
      </c>
      <c r="CA30" s="17">
        <f t="shared" si="76"/>
        <v>183.167531333</v>
      </c>
      <c r="CB30" s="17">
        <f t="shared" si="77"/>
        <v>188.71248146970001</v>
      </c>
      <c r="CC30" s="17">
        <f t="shared" si="78"/>
        <v>194.42529144369999</v>
      </c>
      <c r="CD30" s="17">
        <f t="shared" si="79"/>
        <v>200.31104280209999</v>
      </c>
      <c r="CE30" s="17">
        <f t="shared" si="80"/>
        <v>206.37497092340001</v>
      </c>
      <c r="CF30" s="17">
        <f t="shared" si="81"/>
        <v>212.62246967440001</v>
      </c>
      <c r="CG30" s="17">
        <f t="shared" si="82"/>
        <v>219.05909620809999</v>
      </c>
      <c r="CH30" s="17">
        <f t="shared" si="83"/>
        <v>225.6905759066</v>
      </c>
      <c r="CI30" s="17">
        <f t="shared" si="84"/>
        <v>232.52280747410001</v>
      </c>
      <c r="CJ30" s="17">
        <f t="shared" si="85"/>
        <v>239.5618681837</v>
      </c>
      <c r="CK30" s="17">
        <f t="shared" si="86"/>
        <v>246.81401928310001</v>
      </c>
      <c r="CL30" s="17">
        <f t="shared" si="87"/>
        <v>254.28571156390001</v>
      </c>
      <c r="CM30" s="17">
        <f t="shared" si="88"/>
        <v>261.98359109979998</v>
      </c>
      <c r="CN30" s="17">
        <f t="shared" si="89"/>
        <v>269.91450515809998</v>
      </c>
      <c r="CO30" s="17">
        <f t="shared" si="90"/>
        <v>278.0855082905</v>
      </c>
      <c r="CP30" s="17">
        <f t="shared" si="91"/>
        <v>286.50386860790002</v>
      </c>
      <c r="CQ30" s="17">
        <f t="shared" si="92"/>
        <v>295.17707424560001</v>
      </c>
      <c r="CR30" s="17">
        <f t="shared" si="93"/>
        <v>304.11284002389999</v>
      </c>
      <c r="CS30" s="17">
        <f t="shared" si="94"/>
        <v>313.31911431060001</v>
      </c>
      <c r="CT30" s="17">
        <f t="shared" si="95"/>
        <v>322.80408609070003</v>
      </c>
      <c r="CU30" s="17">
        <f t="shared" si="96"/>
        <v>332.57619225090002</v>
      </c>
      <c r="CV30" s="17">
        <f t="shared" si="97"/>
        <v>342.64412508409998</v>
      </c>
      <c r="CW30" s="17">
        <f t="shared" si="98"/>
        <v>353.01684002100001</v>
      </c>
      <c r="CX30" s="17">
        <f t="shared" si="99"/>
        <v>363.7035635963</v>
      </c>
      <c r="CY30" s="17">
        <f t="shared" si="100"/>
        <v>374.7138016554</v>
      </c>
      <c r="CZ30" s="17">
        <f t="shared" si="101"/>
        <v>386.0573478101</v>
      </c>
      <c r="DA30" s="17">
        <f t="shared" si="102"/>
        <v>397.74429214970002</v>
      </c>
      <c r="DB30" s="17">
        <f t="shared" si="103"/>
        <v>409.78503021649999</v>
      </c>
    </row>
    <row r="31" spans="1:106" x14ac:dyDescent="0.2">
      <c r="A31">
        <f t="shared" si="7"/>
        <v>2.6169280172814157E+24</v>
      </c>
      <c r="B31" s="71">
        <f t="shared" si="8"/>
        <v>1.0321961023054226E-6</v>
      </c>
      <c r="C31" s="71">
        <f t="shared" si="9"/>
        <v>1.1687171353006962E-6</v>
      </c>
      <c r="D31" s="177">
        <f t="shared" si="104"/>
        <v>27</v>
      </c>
      <c r="AF31" s="18">
        <f>IF(AF$3="","",ROUND(AE30*DownMove,RoundDigits))</f>
        <v>42.481146162599998</v>
      </c>
      <c r="AG31" s="17">
        <f t="shared" si="122"/>
        <v>43.767159221299998</v>
      </c>
      <c r="AH31" s="17">
        <f t="shared" si="123"/>
        <v>45.092103187799999</v>
      </c>
      <c r="AI31" s="17">
        <f t="shared" si="32"/>
        <v>46.457156600499999</v>
      </c>
      <c r="AJ31" s="17">
        <f t="shared" si="33"/>
        <v>47.863533674899998</v>
      </c>
      <c r="AK31" s="17">
        <f t="shared" si="34"/>
        <v>49.3124853841</v>
      </c>
      <c r="AL31" s="17">
        <f t="shared" si="35"/>
        <v>50.805300571300002</v>
      </c>
      <c r="AM31" s="17">
        <f t="shared" si="36"/>
        <v>52.3433070962</v>
      </c>
      <c r="AN31" s="17">
        <f t="shared" si="37"/>
        <v>53.9278730164</v>
      </c>
      <c r="AO31" s="17">
        <f t="shared" si="38"/>
        <v>55.560407804</v>
      </c>
      <c r="AP31" s="17">
        <f t="shared" si="39"/>
        <v>57.242363599400001</v>
      </c>
      <c r="AQ31" s="17">
        <f t="shared" si="40"/>
        <v>58.975236502999998</v>
      </c>
      <c r="AR31" s="17">
        <f t="shared" si="41"/>
        <v>60.7605679061</v>
      </c>
      <c r="AS31" s="17">
        <f t="shared" si="42"/>
        <v>62.5999458617</v>
      </c>
      <c r="AT31" s="17">
        <f t="shared" si="43"/>
        <v>64.495006497399999</v>
      </c>
      <c r="AU31" s="17">
        <f t="shared" si="44"/>
        <v>66.447435470399995</v>
      </c>
      <c r="AV31" s="17">
        <f t="shared" si="45"/>
        <v>68.458969467200006</v>
      </c>
      <c r="AW31" s="17">
        <f t="shared" si="46"/>
        <v>70.531397748299995</v>
      </c>
      <c r="AX31" s="17">
        <f t="shared" si="47"/>
        <v>72.666563739500006</v>
      </c>
      <c r="AY31" s="17">
        <f t="shared" si="48"/>
        <v>74.866366671899996</v>
      </c>
      <c r="AZ31" s="17">
        <f t="shared" si="49"/>
        <v>77.132763271200005</v>
      </c>
      <c r="BA31" s="17">
        <f t="shared" si="50"/>
        <v>79.467769498199999</v>
      </c>
      <c r="BB31" s="17">
        <f t="shared" si="51"/>
        <v>81.873462341999996</v>
      </c>
      <c r="BC31" s="17">
        <f t="shared" si="52"/>
        <v>84.351981667499999</v>
      </c>
      <c r="BD31" s="17">
        <f t="shared" si="53"/>
        <v>86.905532118699995</v>
      </c>
      <c r="BE31" s="17">
        <f t="shared" si="54"/>
        <v>89.536385079900001</v>
      </c>
      <c r="BF31" s="17">
        <f t="shared" si="55"/>
        <v>92.246880696000005</v>
      </c>
      <c r="BG31" s="17">
        <f t="shared" si="56"/>
        <v>95.039429954100001</v>
      </c>
      <c r="BH31" s="17">
        <f t="shared" si="57"/>
        <v>97.916516827999999</v>
      </c>
      <c r="BI31" s="17">
        <f t="shared" si="58"/>
        <v>100.8807004877</v>
      </c>
      <c r="BJ31" s="17">
        <f t="shared" si="59"/>
        <v>103.93461757599999</v>
      </c>
      <c r="BK31" s="17">
        <f t="shared" si="60"/>
        <v>107.0809845535</v>
      </c>
      <c r="BL31" s="17">
        <f t="shared" si="61"/>
        <v>110.322600115</v>
      </c>
      <c r="BM31" s="17">
        <f t="shared" si="62"/>
        <v>113.66234767909999</v>
      </c>
      <c r="BN31" s="17">
        <f t="shared" si="63"/>
        <v>117.1031979527</v>
      </c>
      <c r="BO31" s="17">
        <f t="shared" si="64"/>
        <v>120.6482115737</v>
      </c>
      <c r="BP31" s="17">
        <f t="shared" si="65"/>
        <v>124.3005418333</v>
      </c>
      <c r="BQ31" s="17">
        <f t="shared" si="66"/>
        <v>128.06343748090001</v>
      </c>
      <c r="BR31" s="17">
        <f t="shared" si="67"/>
        <v>131.9402456139</v>
      </c>
      <c r="BS31" s="17">
        <f t="shared" si="68"/>
        <v>135.93441465480001</v>
      </c>
      <c r="BT31" s="17">
        <f t="shared" si="69"/>
        <v>140.0494974188</v>
      </c>
      <c r="BU31" s="17">
        <f t="shared" si="70"/>
        <v>144.28915427390001</v>
      </c>
      <c r="BV31" s="17">
        <f t="shared" si="71"/>
        <v>148.65715639679999</v>
      </c>
      <c r="BW31" s="17">
        <f t="shared" si="72"/>
        <v>153.15738912739999</v>
      </c>
      <c r="BX31" s="17">
        <f t="shared" si="73"/>
        <v>157.79385542470001</v>
      </c>
      <c r="BY31" s="17">
        <f t="shared" si="74"/>
        <v>162.57067942750001</v>
      </c>
      <c r="BZ31" s="17">
        <f t="shared" si="75"/>
        <v>167.492110123</v>
      </c>
      <c r="CA31" s="17">
        <f t="shared" si="76"/>
        <v>172.56252512590001</v>
      </c>
      <c r="CB31" s="17">
        <f t="shared" si="77"/>
        <v>177.78643457269999</v>
      </c>
      <c r="CC31" s="17">
        <f t="shared" si="78"/>
        <v>183.16848513330001</v>
      </c>
      <c r="CD31" s="17">
        <f t="shared" si="79"/>
        <v>188.713464144</v>
      </c>
      <c r="CE31" s="17">
        <f t="shared" si="80"/>
        <v>194.4263038661</v>
      </c>
      <c r="CF31" s="17">
        <f t="shared" si="81"/>
        <v>200.3120858732</v>
      </c>
      <c r="CG31" s="17">
        <f t="shared" si="82"/>
        <v>206.37604557099999</v>
      </c>
      <c r="CH31" s="17">
        <f t="shared" si="83"/>
        <v>212.6235768544</v>
      </c>
      <c r="CI31" s="17">
        <f t="shared" si="84"/>
        <v>219.06023690519999</v>
      </c>
      <c r="CJ31" s="17">
        <f t="shared" si="85"/>
        <v>225.6917511355</v>
      </c>
      <c r="CK31" s="17">
        <f t="shared" si="86"/>
        <v>232.52401828020001</v>
      </c>
      <c r="CL31" s="17">
        <f t="shared" si="87"/>
        <v>239.56311564399999</v>
      </c>
      <c r="CM31" s="17">
        <f t="shared" si="88"/>
        <v>246.81530450720001</v>
      </c>
      <c r="CN31" s="17">
        <f t="shared" si="89"/>
        <v>254.2870356951</v>
      </c>
      <c r="CO31" s="17">
        <f t="shared" si="90"/>
        <v>261.98495531589998</v>
      </c>
      <c r="CP31" s="17">
        <f t="shared" si="91"/>
        <v>269.91591067259998</v>
      </c>
      <c r="CQ31" s="17">
        <f t="shared" si="92"/>
        <v>278.0869563535</v>
      </c>
      <c r="CR31" s="17">
        <f t="shared" si="93"/>
        <v>286.50536050749997</v>
      </c>
      <c r="CS31" s="17">
        <f t="shared" si="94"/>
        <v>295.17861130879999</v>
      </c>
      <c r="CT31" s="17">
        <f t="shared" si="95"/>
        <v>304.11442361799999</v>
      </c>
      <c r="CU31" s="17">
        <f t="shared" si="96"/>
        <v>313.32074584409997</v>
      </c>
      <c r="CV31" s="17">
        <f t="shared" si="97"/>
        <v>322.80576701490003</v>
      </c>
      <c r="CW31" s="17">
        <f t="shared" si="98"/>
        <v>332.57792406099998</v>
      </c>
      <c r="CX31" s="17">
        <f t="shared" si="99"/>
        <v>342.64590932049998</v>
      </c>
      <c r="CY31" s="17">
        <f t="shared" si="100"/>
        <v>353.01867827090001</v>
      </c>
      <c r="CZ31" s="17">
        <f t="shared" si="101"/>
        <v>363.7054574947</v>
      </c>
      <c r="DA31" s="17">
        <f t="shared" si="102"/>
        <v>374.71575288700001</v>
      </c>
      <c r="DB31" s="17">
        <f t="shared" si="103"/>
        <v>386.05935811040001</v>
      </c>
    </row>
    <row r="32" spans="1:106" x14ac:dyDescent="0.2">
      <c r="A32">
        <f t="shared" si="7"/>
        <v>6.9161669028151688E+24</v>
      </c>
      <c r="B32" s="71">
        <f t="shared" si="8"/>
        <v>2.7279468418071878E-6</v>
      </c>
      <c r="C32" s="71">
        <f t="shared" si="9"/>
        <v>3.0724223682747663E-6</v>
      </c>
      <c r="D32" s="177">
        <f t="shared" si="104"/>
        <v>28</v>
      </c>
      <c r="AG32" s="18">
        <f>IF(AG$3="","",ROUND(AF31*DownMove,RoundDigits))</f>
        <v>41.233134812599999</v>
      </c>
      <c r="AH32" s="17">
        <f t="shared" si="123"/>
        <v>42.481367372400001</v>
      </c>
      <c r="AI32" s="17">
        <f t="shared" si="32"/>
        <v>43.767387127699998</v>
      </c>
      <c r="AJ32" s="17">
        <f t="shared" si="33"/>
        <v>45.092337993599998</v>
      </c>
      <c r="AK32" s="17">
        <f t="shared" si="34"/>
        <v>46.457398514399998</v>
      </c>
      <c r="AL32" s="17">
        <f t="shared" si="35"/>
        <v>47.863782912200001</v>
      </c>
      <c r="AM32" s="17">
        <f t="shared" si="36"/>
        <v>49.3127421664</v>
      </c>
      <c r="AN32" s="17">
        <f t="shared" si="37"/>
        <v>50.805565127000001</v>
      </c>
      <c r="AO32" s="17">
        <f t="shared" si="38"/>
        <v>52.343579660700001</v>
      </c>
      <c r="AP32" s="17">
        <f t="shared" si="39"/>
        <v>53.928153832100001</v>
      </c>
      <c r="AQ32" s="17">
        <f t="shared" si="40"/>
        <v>55.560697120699999</v>
      </c>
      <c r="AR32" s="17">
        <f t="shared" si="41"/>
        <v>57.242661674399997</v>
      </c>
      <c r="AS32" s="17">
        <f t="shared" si="42"/>
        <v>58.9755436015</v>
      </c>
      <c r="AT32" s="17">
        <f t="shared" si="43"/>
        <v>60.760884301200001</v>
      </c>
      <c r="AU32" s="17">
        <f t="shared" si="44"/>
        <v>62.600271834899999</v>
      </c>
      <c r="AV32" s="17">
        <f t="shared" si="45"/>
        <v>64.495342338599997</v>
      </c>
      <c r="AW32" s="17">
        <f t="shared" si="46"/>
        <v>66.447781478400003</v>
      </c>
      <c r="AX32" s="17">
        <f t="shared" si="47"/>
        <v>68.459325949800004</v>
      </c>
      <c r="AY32" s="17">
        <f t="shared" si="48"/>
        <v>70.531765022499997</v>
      </c>
      <c r="AZ32" s="17">
        <f t="shared" si="49"/>
        <v>72.666942132000003</v>
      </c>
      <c r="BA32" s="17">
        <f t="shared" si="50"/>
        <v>74.866756519299997</v>
      </c>
      <c r="BB32" s="17">
        <f t="shared" si="51"/>
        <v>77.133164920300004</v>
      </c>
      <c r="BC32" s="17">
        <f t="shared" si="52"/>
        <v>79.468183306200004</v>
      </c>
      <c r="BD32" s="17">
        <f t="shared" si="53"/>
        <v>81.873888676999997</v>
      </c>
      <c r="BE32" s="17">
        <f t="shared" si="54"/>
        <v>84.352420908699997</v>
      </c>
      <c r="BF32" s="17">
        <f t="shared" si="55"/>
        <v>86.905984656800001</v>
      </c>
      <c r="BG32" s="17">
        <f t="shared" si="56"/>
        <v>89.536851317499995</v>
      </c>
      <c r="BH32" s="17">
        <f t="shared" si="57"/>
        <v>92.247361047799998</v>
      </c>
      <c r="BI32" s="17">
        <f t="shared" si="58"/>
        <v>95.0399248473</v>
      </c>
      <c r="BJ32" s="17">
        <f t="shared" si="59"/>
        <v>97.917026702800001</v>
      </c>
      <c r="BK32" s="17">
        <f t="shared" si="60"/>
        <v>100.8812257977</v>
      </c>
      <c r="BL32" s="17">
        <f t="shared" si="61"/>
        <v>103.9351587885</v>
      </c>
      <c r="BM32" s="17">
        <f t="shared" si="62"/>
        <v>107.0815421499</v>
      </c>
      <c r="BN32" s="17">
        <f t="shared" si="63"/>
        <v>110.3231745913</v>
      </c>
      <c r="BO32" s="17">
        <f t="shared" si="64"/>
        <v>113.66293954619999</v>
      </c>
      <c r="BP32" s="17">
        <f t="shared" si="65"/>
        <v>117.1038077371</v>
      </c>
      <c r="BQ32" s="17">
        <f t="shared" si="66"/>
        <v>120.6488398178</v>
      </c>
      <c r="BR32" s="17">
        <f t="shared" si="67"/>
        <v>124.3011890959</v>
      </c>
      <c r="BS32" s="17">
        <f t="shared" si="68"/>
        <v>128.06410433779999</v>
      </c>
      <c r="BT32" s="17">
        <f t="shared" si="69"/>
        <v>131.94093265820001</v>
      </c>
      <c r="BU32" s="17">
        <f t="shared" si="70"/>
        <v>135.93512249770001</v>
      </c>
      <c r="BV32" s="17">
        <f t="shared" si="71"/>
        <v>140.05022668999999</v>
      </c>
      <c r="BW32" s="17">
        <f t="shared" si="72"/>
        <v>144.28990562210001</v>
      </c>
      <c r="BX32" s="17">
        <f t="shared" si="73"/>
        <v>148.6579304903</v>
      </c>
      <c r="BY32" s="17">
        <f t="shared" si="74"/>
        <v>153.15818665469999</v>
      </c>
      <c r="BZ32" s="17">
        <f t="shared" si="75"/>
        <v>157.7946770952</v>
      </c>
      <c r="CA32" s="17">
        <f t="shared" si="76"/>
        <v>162.57152597210001</v>
      </c>
      <c r="CB32" s="17">
        <f t="shared" si="77"/>
        <v>167.49298229460001</v>
      </c>
      <c r="CC32" s="17">
        <f t="shared" si="78"/>
        <v>172.56342370039999</v>
      </c>
      <c r="CD32" s="17">
        <f t="shared" si="79"/>
        <v>177.78736034939999</v>
      </c>
      <c r="CE32" s="17">
        <f t="shared" si="80"/>
        <v>183.1694389356</v>
      </c>
      <c r="CF32" s="17">
        <f t="shared" si="81"/>
        <v>188.7144468203</v>
      </c>
      <c r="CG32" s="17">
        <f t="shared" si="82"/>
        <v>194.42731629049999</v>
      </c>
      <c r="CH32" s="17">
        <f t="shared" si="83"/>
        <v>200.31312894620001</v>
      </c>
      <c r="CI32" s="17">
        <f t="shared" si="84"/>
        <v>206.37712022049999</v>
      </c>
      <c r="CJ32" s="17">
        <f t="shared" si="85"/>
        <v>212.62468403630001</v>
      </c>
      <c r="CK32" s="17">
        <f t="shared" si="86"/>
        <v>219.06137760440001</v>
      </c>
      <c r="CL32" s="17">
        <f t="shared" si="87"/>
        <v>225.69292636660001</v>
      </c>
      <c r="CM32" s="17">
        <f t="shared" si="88"/>
        <v>232.52522908860001</v>
      </c>
      <c r="CN32" s="17">
        <f t="shared" si="89"/>
        <v>239.5643631067</v>
      </c>
      <c r="CO32" s="17">
        <f t="shared" si="90"/>
        <v>246.81658973379999</v>
      </c>
      <c r="CP32" s="17">
        <f t="shared" si="91"/>
        <v>254.2883598288</v>
      </c>
      <c r="CQ32" s="17">
        <f t="shared" si="92"/>
        <v>261.98631953450001</v>
      </c>
      <c r="CR32" s="17">
        <f t="shared" si="93"/>
        <v>269.91731618950001</v>
      </c>
      <c r="CS32" s="17">
        <f t="shared" si="94"/>
        <v>278.08840441900003</v>
      </c>
      <c r="CT32" s="17">
        <f t="shared" si="95"/>
        <v>286.50685240960001</v>
      </c>
      <c r="CU32" s="17">
        <f t="shared" si="96"/>
        <v>295.18014837459998</v>
      </c>
      <c r="CV32" s="17">
        <f t="shared" si="97"/>
        <v>304.11600721470001</v>
      </c>
      <c r="CW32" s="17">
        <f t="shared" si="98"/>
        <v>313.3223773803</v>
      </c>
      <c r="CX32" s="17">
        <f t="shared" si="99"/>
        <v>322.80744794190002</v>
      </c>
      <c r="CY32" s="17">
        <f t="shared" si="100"/>
        <v>332.57965587400003</v>
      </c>
      <c r="CZ32" s="17">
        <f t="shared" si="101"/>
        <v>342.64769355990001</v>
      </c>
      <c r="DA32" s="17">
        <f t="shared" si="102"/>
        <v>353.0205165237</v>
      </c>
      <c r="DB32" s="17">
        <f t="shared" si="103"/>
        <v>363.70735139620001</v>
      </c>
    </row>
    <row r="33" spans="1:106" x14ac:dyDescent="0.2">
      <c r="A33">
        <f t="shared" si="7"/>
        <v>1.7409661513983014E+25</v>
      </c>
      <c r="B33" s="71">
        <f t="shared" si="8"/>
        <v>6.8669006707560256E-6</v>
      </c>
      <c r="C33" s="71">
        <f t="shared" si="9"/>
        <v>7.6931393443732312E-6</v>
      </c>
      <c r="D33" s="177">
        <f t="shared" si="104"/>
        <v>29</v>
      </c>
      <c r="AH33" s="18">
        <f>IF(AH$3="","",ROUND(AG32*DownMove,RoundDigits))</f>
        <v>40.021787547099997</v>
      </c>
      <c r="AI33" s="17">
        <f t="shared" ref="AI33" si="124">IF(AI$3="","",ROUND(AH33*UpMove,RoundDigits))</f>
        <v>41.233349523800001</v>
      </c>
      <c r="AJ33" s="17">
        <f t="shared" ref="AJ33:AJ34" si="125">IF(AJ$3="","",ROUND(AI33*UpMove,RoundDigits))</f>
        <v>42.481588583499999</v>
      </c>
      <c r="AK33" s="17">
        <f t="shared" ref="AK33:AK35" si="126">IF(AK$3="","",ROUND(AJ33*UpMove,RoundDigits))</f>
        <v>43.767615035399999</v>
      </c>
      <c r="AL33" s="17">
        <f t="shared" ref="AL33:AL36" si="127">IF(AL$3="","",ROUND(AK33*UpMove,RoundDigits))</f>
        <v>45.092572800600003</v>
      </c>
      <c r="AM33" s="17">
        <f t="shared" ref="AM33:AP40" si="128">IF(AM$3="","",ROUND(AL33*UpMove,RoundDigits))</f>
        <v>46.457640429599998</v>
      </c>
      <c r="AN33" s="17">
        <f t="shared" si="128"/>
        <v>47.8640321508</v>
      </c>
      <c r="AO33" s="17">
        <f t="shared" si="128"/>
        <v>49.312998950100003</v>
      </c>
      <c r="AP33" s="17">
        <f t="shared" si="128"/>
        <v>50.805829684199999</v>
      </c>
      <c r="AQ33" s="17">
        <f t="shared" ref="AQ33:AQ41" si="129">IF(AQ$3="","",ROUND(AP33*UpMove,RoundDigits))</f>
        <v>52.343852226700001</v>
      </c>
      <c r="AR33" s="17">
        <f t="shared" ref="AR33:AR42" si="130">IF(AR$3="","",ROUND(AQ33*UpMove,RoundDigits))</f>
        <v>53.928434649400003</v>
      </c>
      <c r="AS33" s="17">
        <f t="shared" ref="AS33:AS43" si="131">IF(AS$3="","",ROUND(AR33*UpMove,RoundDigits))</f>
        <v>55.560986438999997</v>
      </c>
      <c r="AT33" s="17">
        <f t="shared" ref="AT33:AT44" si="132">IF(AT$3="","",ROUND(AS33*UpMove,RoundDigits))</f>
        <v>57.242959751100003</v>
      </c>
      <c r="AU33" s="17">
        <f t="shared" ref="AU33:AU45" si="133">IF(AU$3="","",ROUND(AT33*UpMove,RoundDigits))</f>
        <v>58.975850701699997</v>
      </c>
      <c r="AV33" s="17">
        <f t="shared" ref="AV33:AV46" si="134">IF(AV$3="","",ROUND(AU33*UpMove,RoundDigits))</f>
        <v>60.761200698099998</v>
      </c>
      <c r="AW33" s="17">
        <f t="shared" ref="AW33:AW47" si="135">IF(AW$3="","",ROUND(AV33*UpMove,RoundDigits))</f>
        <v>62.600597809900002</v>
      </c>
      <c r="AX33" s="17">
        <f t="shared" ref="AX33:AX48" si="136">IF(AX$3="","",ROUND(AW33*UpMove,RoundDigits))</f>
        <v>64.495678181700001</v>
      </c>
      <c r="AY33" s="17">
        <f t="shared" ref="AY33:AY49" si="137">IF(AY$3="","",ROUND(AX33*UpMove,RoundDigits))</f>
        <v>66.448127488300003</v>
      </c>
      <c r="AZ33" s="17">
        <f t="shared" ref="AZ33:AZ50" si="138">IF(AZ$3="","",ROUND(AY33*UpMove,RoundDigits))</f>
        <v>68.459682434300007</v>
      </c>
      <c r="BA33" s="17">
        <f t="shared" ref="BA33:BA51" si="139">IF(BA$3="","",ROUND(AZ33*UpMove,RoundDigits))</f>
        <v>70.532132298700006</v>
      </c>
      <c r="BB33" s="17">
        <f t="shared" ref="BB33:BB52" si="140">IF(BB$3="","",ROUND(BA33*UpMove,RoundDigits))</f>
        <v>72.667320526599994</v>
      </c>
      <c r="BC33" s="17">
        <f t="shared" ref="BC33:BC53" si="141">IF(BC$3="","",ROUND(BB33*UpMove,RoundDigits))</f>
        <v>74.867146368799993</v>
      </c>
      <c r="BD33" s="17">
        <f t="shared" ref="BD33:BD54" si="142">IF(BD$3="","",ROUND(BC33*UpMove,RoundDigits))</f>
        <v>77.133566571499998</v>
      </c>
      <c r="BE33" s="17">
        <f t="shared" ref="BE33:BE55" si="143">IF(BE$3="","",ROUND(BD33*UpMove,RoundDigits))</f>
        <v>79.468597116400005</v>
      </c>
      <c r="BF33" s="17">
        <f t="shared" ref="BF33:BF56" si="144">IF(BF$3="","",ROUND(BE33*UpMove,RoundDigits))</f>
        <v>81.874315014299995</v>
      </c>
      <c r="BG33" s="17">
        <f t="shared" ref="BG33:BG57" si="145">IF(BG$3="","",ROUND(BF33*UpMove,RoundDigits))</f>
        <v>84.352860152299996</v>
      </c>
      <c r="BH33" s="17">
        <f t="shared" ref="BH33:BH58" si="146">IF(BH$3="","",ROUND(BG33*UpMove,RoundDigits))</f>
        <v>86.906437197499997</v>
      </c>
      <c r="BI33" s="17">
        <f t="shared" ref="BI33:BI59" si="147">IF(BI$3="","",ROUND(BH33*UpMove,RoundDigits))</f>
        <v>89.537317557700007</v>
      </c>
      <c r="BJ33" s="17">
        <f t="shared" ref="BJ33:BJ60" si="148">IF(BJ$3="","",ROUND(BI33*UpMove,RoundDigits))</f>
        <v>92.247841402299997</v>
      </c>
      <c r="BK33" s="17">
        <f t="shared" si="60"/>
        <v>95.040419743399994</v>
      </c>
      <c r="BL33" s="17">
        <f t="shared" si="61"/>
        <v>97.917536580700002</v>
      </c>
      <c r="BM33" s="17">
        <f t="shared" si="62"/>
        <v>100.881751111</v>
      </c>
      <c r="BN33" s="17">
        <f t="shared" si="63"/>
        <v>103.9357000044</v>
      </c>
      <c r="BO33" s="17">
        <f t="shared" si="64"/>
        <v>107.08209974979999</v>
      </c>
      <c r="BP33" s="17">
        <f t="shared" si="65"/>
        <v>110.3237490712</v>
      </c>
      <c r="BQ33" s="17">
        <f t="shared" si="66"/>
        <v>113.6635314171</v>
      </c>
      <c r="BR33" s="17">
        <f t="shared" si="67"/>
        <v>117.1044175255</v>
      </c>
      <c r="BS33" s="17">
        <f t="shared" si="68"/>
        <v>120.6494680661</v>
      </c>
      <c r="BT33" s="17">
        <f t="shared" si="69"/>
        <v>124.3018363629</v>
      </c>
      <c r="BU33" s="17">
        <f t="shared" si="70"/>
        <v>128.06477119920001</v>
      </c>
      <c r="BV33" s="17">
        <f t="shared" si="71"/>
        <v>131.9416197072</v>
      </c>
      <c r="BW33" s="17">
        <f t="shared" si="72"/>
        <v>135.93583034540001</v>
      </c>
      <c r="BX33" s="17">
        <f t="shared" si="73"/>
        <v>140.050955966</v>
      </c>
      <c r="BY33" s="17">
        <f t="shared" si="74"/>
        <v>144.29065697510001</v>
      </c>
      <c r="BZ33" s="17">
        <f t="shared" si="75"/>
        <v>148.65870458859999</v>
      </c>
      <c r="CA33" s="17">
        <f t="shared" si="76"/>
        <v>153.1589841869</v>
      </c>
      <c r="CB33" s="17">
        <f t="shared" si="77"/>
        <v>157.79549877069999</v>
      </c>
      <c r="CC33" s="17">
        <f t="shared" si="78"/>
        <v>162.57237252179999</v>
      </c>
      <c r="CD33" s="17">
        <f t="shared" si="79"/>
        <v>167.4938544716</v>
      </c>
      <c r="CE33" s="17">
        <f t="shared" si="80"/>
        <v>172.56432228040001</v>
      </c>
      <c r="CF33" s="17">
        <f t="shared" si="81"/>
        <v>177.7882861317</v>
      </c>
      <c r="CG33" s="17">
        <f t="shared" si="82"/>
        <v>183.17039274370001</v>
      </c>
      <c r="CH33" s="17">
        <f t="shared" si="83"/>
        <v>188.71542950259999</v>
      </c>
      <c r="CI33" s="17">
        <f t="shared" si="84"/>
        <v>194.42832872119999</v>
      </c>
      <c r="CJ33" s="17">
        <f t="shared" si="85"/>
        <v>200.31417202579999</v>
      </c>
      <c r="CK33" s="17">
        <f t="shared" si="86"/>
        <v>206.37819487679999</v>
      </c>
      <c r="CL33" s="17">
        <f t="shared" si="87"/>
        <v>212.6257912252</v>
      </c>
      <c r="CM33" s="17">
        <f t="shared" si="88"/>
        <v>219.0625183107</v>
      </c>
      <c r="CN33" s="17">
        <f t="shared" si="89"/>
        <v>225.69410160499999</v>
      </c>
      <c r="CO33" s="17">
        <f t="shared" si="90"/>
        <v>232.52643990449999</v>
      </c>
      <c r="CP33" s="17">
        <f t="shared" si="91"/>
        <v>239.56561057709999</v>
      </c>
      <c r="CQ33" s="17">
        <f t="shared" si="92"/>
        <v>246.8178749683</v>
      </c>
      <c r="CR33" s="17">
        <f t="shared" si="93"/>
        <v>254.28968397060001</v>
      </c>
      <c r="CS33" s="17">
        <f t="shared" si="94"/>
        <v>261.98768376150002</v>
      </c>
      <c r="CT33" s="17">
        <f t="shared" si="95"/>
        <v>269.91872171519998</v>
      </c>
      <c r="CU33" s="17">
        <f t="shared" si="96"/>
        <v>278.08985249360001</v>
      </c>
      <c r="CV33" s="17">
        <f t="shared" si="97"/>
        <v>286.50834432110003</v>
      </c>
      <c r="CW33" s="17">
        <f t="shared" si="98"/>
        <v>295.18168545010002</v>
      </c>
      <c r="CX33" s="17">
        <f t="shared" si="99"/>
        <v>304.11759082139997</v>
      </c>
      <c r="CY33" s="17">
        <f t="shared" si="100"/>
        <v>313.32400892689998</v>
      </c>
      <c r="CZ33" s="17">
        <f t="shared" si="101"/>
        <v>322.8091288796</v>
      </c>
      <c r="DA33" s="17">
        <f t="shared" si="102"/>
        <v>332.58138769800001</v>
      </c>
      <c r="DB33" s="17">
        <f t="shared" si="103"/>
        <v>342.64947781069998</v>
      </c>
    </row>
    <row r="34" spans="1:106" x14ac:dyDescent="0.2">
      <c r="A34">
        <f t="shared" si="7"/>
        <v>4.1783187633559242E+25</v>
      </c>
      <c r="B34" s="71">
        <f t="shared" si="8"/>
        <v>1.6480561609814465E-5</v>
      </c>
      <c r="C34" s="71">
        <f t="shared" si="9"/>
        <v>1.8365918756259048E-5</v>
      </c>
      <c r="D34" s="177">
        <f t="shared" si="104"/>
        <v>30</v>
      </c>
      <c r="AI34" s="18">
        <f>IF(AI$3="","",ROUND(AH33*DownMove,RoundDigits))</f>
        <v>38.846027248299997</v>
      </c>
      <c r="AJ34" s="17">
        <f t="shared" si="125"/>
        <v>40.021995950499999</v>
      </c>
      <c r="AK34" s="17">
        <f t="shared" si="126"/>
        <v>41.233564236100001</v>
      </c>
      <c r="AL34" s="17">
        <f t="shared" si="127"/>
        <v>42.481809795700002</v>
      </c>
      <c r="AM34" s="17">
        <f t="shared" si="128"/>
        <v>43.7678429443</v>
      </c>
      <c r="AN34" s="17">
        <f t="shared" si="128"/>
        <v>45.092807608900003</v>
      </c>
      <c r="AO34" s="17">
        <f t="shared" si="128"/>
        <v>46.457882346200002</v>
      </c>
      <c r="AP34" s="17">
        <f t="shared" si="128"/>
        <v>47.864281390800002</v>
      </c>
      <c r="AQ34" s="17">
        <f t="shared" si="129"/>
        <v>49.313255735299997</v>
      </c>
      <c r="AR34" s="17">
        <f t="shared" si="130"/>
        <v>50.806094242999997</v>
      </c>
      <c r="AS34" s="17">
        <f t="shared" si="131"/>
        <v>52.344124794400003</v>
      </c>
      <c r="AT34" s="17">
        <f t="shared" si="132"/>
        <v>53.9287154684</v>
      </c>
      <c r="AU34" s="17">
        <f t="shared" si="133"/>
        <v>55.561275759099999</v>
      </c>
      <c r="AV34" s="17">
        <f t="shared" si="134"/>
        <v>57.243257829699999</v>
      </c>
      <c r="AW34" s="17">
        <f t="shared" si="135"/>
        <v>58.976157803900001</v>
      </c>
      <c r="AX34" s="17">
        <f t="shared" si="136"/>
        <v>60.761517097099997</v>
      </c>
      <c r="AY34" s="17">
        <f t="shared" si="137"/>
        <v>62.600923787100001</v>
      </c>
      <c r="AZ34" s="17">
        <f t="shared" si="138"/>
        <v>64.496014027100003</v>
      </c>
      <c r="BA34" s="17">
        <f t="shared" si="139"/>
        <v>66.448473500600002</v>
      </c>
      <c r="BB34" s="17">
        <f t="shared" si="140"/>
        <v>68.460038921299997</v>
      </c>
      <c r="BC34" s="17">
        <f t="shared" si="141"/>
        <v>70.532499577500005</v>
      </c>
      <c r="BD34" s="17">
        <f t="shared" si="142"/>
        <v>72.667698923800003</v>
      </c>
      <c r="BE34" s="17">
        <f t="shared" si="143"/>
        <v>74.867536221099996</v>
      </c>
      <c r="BF34" s="17">
        <f t="shared" si="144"/>
        <v>77.1339682256</v>
      </c>
      <c r="BG34" s="17">
        <f t="shared" si="145"/>
        <v>79.469010929600003</v>
      </c>
      <c r="BH34" s="17">
        <f t="shared" si="146"/>
        <v>81.874741354700006</v>
      </c>
      <c r="BI34" s="17">
        <f t="shared" si="147"/>
        <v>84.353299399099996</v>
      </c>
      <c r="BJ34" s="17">
        <f t="shared" si="148"/>
        <v>86.906889741399993</v>
      </c>
      <c r="BK34" s="17">
        <f t="shared" si="60"/>
        <v>89.537783801299994</v>
      </c>
      <c r="BL34" s="17">
        <f t="shared" si="61"/>
        <v>92.248321760300001</v>
      </c>
      <c r="BM34" s="17">
        <f t="shared" si="62"/>
        <v>95.040914643099995</v>
      </c>
      <c r="BN34" s="17">
        <f t="shared" si="63"/>
        <v>97.918046462299998</v>
      </c>
      <c r="BO34" s="17">
        <f t="shared" si="64"/>
        <v>100.882276428</v>
      </c>
      <c r="BP34" s="17">
        <f t="shared" si="65"/>
        <v>103.936241224</v>
      </c>
      <c r="BQ34" s="17">
        <f t="shared" si="66"/>
        <v>107.0826573535</v>
      </c>
      <c r="BR34" s="17">
        <f t="shared" si="67"/>
        <v>110.32432355500001</v>
      </c>
      <c r="BS34" s="17">
        <f t="shared" si="68"/>
        <v>113.664123292</v>
      </c>
      <c r="BT34" s="17">
        <f t="shared" si="69"/>
        <v>117.1050273179</v>
      </c>
      <c r="BU34" s="17">
        <f t="shared" si="70"/>
        <v>120.6500963184</v>
      </c>
      <c r="BV34" s="17">
        <f t="shared" si="71"/>
        <v>124.302483634</v>
      </c>
      <c r="BW34" s="17">
        <f t="shared" si="72"/>
        <v>128.06543806490001</v>
      </c>
      <c r="BX34" s="17">
        <f t="shared" si="73"/>
        <v>131.94230676070001</v>
      </c>
      <c r="BY34" s="17">
        <f t="shared" si="74"/>
        <v>135.93653819779999</v>
      </c>
      <c r="BZ34" s="17">
        <f t="shared" si="75"/>
        <v>140.05168524690001</v>
      </c>
      <c r="CA34" s="17">
        <f t="shared" si="76"/>
        <v>144.2914083332</v>
      </c>
      <c r="CB34" s="17">
        <f t="shared" si="77"/>
        <v>148.65947869230001</v>
      </c>
      <c r="CC34" s="17">
        <f t="shared" si="78"/>
        <v>153.1597817247</v>
      </c>
      <c r="CD34" s="17">
        <f t="shared" si="79"/>
        <v>157.796320452</v>
      </c>
      <c r="CE34" s="17">
        <f t="shared" si="80"/>
        <v>162.5732190775</v>
      </c>
      <c r="CF34" s="17">
        <f t="shared" si="81"/>
        <v>167.4947266547</v>
      </c>
      <c r="CG34" s="17">
        <f t="shared" si="82"/>
        <v>172.5652208667</v>
      </c>
      <c r="CH34" s="17">
        <f t="shared" si="83"/>
        <v>177.78921192050001</v>
      </c>
      <c r="CI34" s="17">
        <f t="shared" si="84"/>
        <v>183.17134655850001</v>
      </c>
      <c r="CJ34" s="17">
        <f t="shared" si="85"/>
        <v>188.7164121918</v>
      </c>
      <c r="CK34" s="17">
        <f t="shared" si="86"/>
        <v>194.4293411589</v>
      </c>
      <c r="CL34" s="17">
        <f t="shared" si="87"/>
        <v>200.31521511259999</v>
      </c>
      <c r="CM34" s="17">
        <f t="shared" si="88"/>
        <v>206.37926954049999</v>
      </c>
      <c r="CN34" s="17">
        <f t="shared" si="89"/>
        <v>212.62689842169999</v>
      </c>
      <c r="CO34" s="17">
        <f t="shared" si="90"/>
        <v>219.06365902490001</v>
      </c>
      <c r="CP34" s="17">
        <f t="shared" si="91"/>
        <v>225.6952768516</v>
      </c>
      <c r="CQ34" s="17">
        <f t="shared" si="92"/>
        <v>232.52765072880001</v>
      </c>
      <c r="CR34" s="17">
        <f t="shared" si="93"/>
        <v>239.5668580562</v>
      </c>
      <c r="CS34" s="17">
        <f t="shared" si="94"/>
        <v>246.81916021180001</v>
      </c>
      <c r="CT34" s="17">
        <f t="shared" si="95"/>
        <v>254.2910081217</v>
      </c>
      <c r="CU34" s="17">
        <f t="shared" si="96"/>
        <v>261.98904799799999</v>
      </c>
      <c r="CV34" s="17">
        <f t="shared" si="97"/>
        <v>269.92012725059999</v>
      </c>
      <c r="CW34" s="17">
        <f t="shared" si="98"/>
        <v>278.0913005781</v>
      </c>
      <c r="CX34" s="17">
        <f t="shared" si="99"/>
        <v>286.50983624290001</v>
      </c>
      <c r="CY34" s="17">
        <f t="shared" si="100"/>
        <v>295.18322253619999</v>
      </c>
      <c r="CZ34" s="17">
        <f t="shared" si="101"/>
        <v>304.11917443900001</v>
      </c>
      <c r="DA34" s="17">
        <f t="shared" si="102"/>
        <v>313.3256404846</v>
      </c>
      <c r="DB34" s="17">
        <f t="shared" si="103"/>
        <v>322.81080982869997</v>
      </c>
    </row>
    <row r="35" spans="1:106" x14ac:dyDescent="0.2">
      <c r="A35">
        <f t="shared" si="7"/>
        <v>9.5696978128474354E+25</v>
      </c>
      <c r="B35" s="71">
        <f t="shared" si="8"/>
        <v>3.7745802396671823E-5</v>
      </c>
      <c r="C35" s="71">
        <f t="shared" si="9"/>
        <v>4.1841489077291681E-5</v>
      </c>
      <c r="D35" s="177">
        <f t="shared" si="104"/>
        <v>31</v>
      </c>
      <c r="AJ35" s="18">
        <f>IF(AJ$3="","",ROUND(AI34*DownMove,RoundDigits))</f>
        <v>37.704808442199997</v>
      </c>
      <c r="AK35" s="17">
        <f t="shared" si="126"/>
        <v>38.846229529200002</v>
      </c>
      <c r="AL35" s="17">
        <f t="shared" si="127"/>
        <v>40.022204354899998</v>
      </c>
      <c r="AM35" s="17">
        <f t="shared" si="128"/>
        <v>41.233778949399998</v>
      </c>
      <c r="AN35" s="17">
        <f t="shared" si="128"/>
        <v>42.482031008900002</v>
      </c>
      <c r="AO35" s="17">
        <f t="shared" si="128"/>
        <v>43.768070854100003</v>
      </c>
      <c r="AP35" s="17">
        <f t="shared" si="128"/>
        <v>45.093042418099998</v>
      </c>
      <c r="AQ35" s="17">
        <f t="shared" si="129"/>
        <v>46.4581242637</v>
      </c>
      <c r="AR35" s="17">
        <f t="shared" si="130"/>
        <v>47.864530631699999</v>
      </c>
      <c r="AS35" s="17">
        <f t="shared" si="131"/>
        <v>49.313512521299998</v>
      </c>
      <c r="AT35" s="17">
        <f t="shared" si="132"/>
        <v>50.8063588025</v>
      </c>
      <c r="AU35" s="17">
        <f t="shared" si="133"/>
        <v>52.344397362800002</v>
      </c>
      <c r="AV35" s="17">
        <f t="shared" si="134"/>
        <v>53.928996288199997</v>
      </c>
      <c r="AW35" s="17">
        <f t="shared" si="135"/>
        <v>55.561565080100003</v>
      </c>
      <c r="AX35" s="17">
        <f t="shared" si="136"/>
        <v>57.243555909199998</v>
      </c>
      <c r="AY35" s="17">
        <f t="shared" si="137"/>
        <v>58.976464907100002</v>
      </c>
      <c r="AZ35" s="17">
        <f t="shared" si="138"/>
        <v>60.7618334971</v>
      </c>
      <c r="BA35" s="17">
        <f t="shared" si="139"/>
        <v>62.601249765399999</v>
      </c>
      <c r="BB35" s="17">
        <f t="shared" si="140"/>
        <v>64.496349873599996</v>
      </c>
      <c r="BC35" s="17">
        <f t="shared" si="141"/>
        <v>66.448819514099995</v>
      </c>
      <c r="BD35" s="17">
        <f t="shared" si="142"/>
        <v>68.460395409499995</v>
      </c>
      <c r="BE35" s="17">
        <f t="shared" si="143"/>
        <v>70.532866857499997</v>
      </c>
      <c r="BF35" s="17">
        <f t="shared" si="144"/>
        <v>72.668077322299993</v>
      </c>
      <c r="BG35" s="17">
        <f t="shared" si="145"/>
        <v>74.867926074699994</v>
      </c>
      <c r="BH35" s="17">
        <f t="shared" si="146"/>
        <v>77.1343698811</v>
      </c>
      <c r="BI35" s="17">
        <f t="shared" si="147"/>
        <v>79.469424744299999</v>
      </c>
      <c r="BJ35" s="17">
        <f t="shared" si="148"/>
        <v>81.875167696600002</v>
      </c>
      <c r="BK35" s="17">
        <f t="shared" si="60"/>
        <v>84.353738647499995</v>
      </c>
      <c r="BL35" s="17">
        <f t="shared" si="61"/>
        <v>86.907342287000006</v>
      </c>
      <c r="BM35" s="17">
        <f t="shared" si="62"/>
        <v>89.538250046599998</v>
      </c>
      <c r="BN35" s="17">
        <f t="shared" si="63"/>
        <v>92.248802119999993</v>
      </c>
      <c r="BO35" s="17">
        <f t="shared" si="64"/>
        <v>95.041409544499999</v>
      </c>
      <c r="BP35" s="17">
        <f t="shared" si="65"/>
        <v>97.918556345599995</v>
      </c>
      <c r="BQ35" s="17">
        <f t="shared" si="66"/>
        <v>100.8828017467</v>
      </c>
      <c r="BR35" s="17">
        <f t="shared" si="67"/>
        <v>103.9367824455</v>
      </c>
      <c r="BS35" s="17">
        <f t="shared" si="68"/>
        <v>107.0832149591</v>
      </c>
      <c r="BT35" s="17">
        <f t="shared" si="69"/>
        <v>110.32489804070001</v>
      </c>
      <c r="BU35" s="17">
        <f t="shared" si="70"/>
        <v>113.6647151689</v>
      </c>
      <c r="BV35" s="17">
        <f t="shared" si="71"/>
        <v>117.10563711250001</v>
      </c>
      <c r="BW35" s="17">
        <f t="shared" si="72"/>
        <v>120.65072457310001</v>
      </c>
      <c r="BX35" s="17">
        <f t="shared" si="73"/>
        <v>124.30313090760001</v>
      </c>
      <c r="BY35" s="17">
        <f t="shared" si="74"/>
        <v>128.06610493310001</v>
      </c>
      <c r="BZ35" s="17">
        <f t="shared" si="75"/>
        <v>131.94299381670001</v>
      </c>
      <c r="CA35" s="17">
        <f t="shared" si="76"/>
        <v>135.93724605279999</v>
      </c>
      <c r="CB35" s="17">
        <f t="shared" si="77"/>
        <v>140.05241453049999</v>
      </c>
      <c r="CC35" s="17">
        <f t="shared" si="78"/>
        <v>144.29215969410001</v>
      </c>
      <c r="CD35" s="17">
        <f t="shared" si="79"/>
        <v>148.6602527988</v>
      </c>
      <c r="CE35" s="17">
        <f t="shared" si="80"/>
        <v>153.1605792654</v>
      </c>
      <c r="CF35" s="17">
        <f t="shared" si="81"/>
        <v>157.79714213630001</v>
      </c>
      <c r="CG35" s="17">
        <f t="shared" si="82"/>
        <v>162.57406563629999</v>
      </c>
      <c r="CH35" s="17">
        <f t="shared" si="83"/>
        <v>167.495598841</v>
      </c>
      <c r="CI35" s="17">
        <f t="shared" si="84"/>
        <v>172.5661194564</v>
      </c>
      <c r="CJ35" s="17">
        <f t="shared" si="85"/>
        <v>177.7901377128</v>
      </c>
      <c r="CK35" s="17">
        <f t="shared" si="86"/>
        <v>183.17230037690001</v>
      </c>
      <c r="CL35" s="17">
        <f t="shared" si="87"/>
        <v>188.7173948848</v>
      </c>
      <c r="CM35" s="17">
        <f t="shared" si="88"/>
        <v>194.43035360050001</v>
      </c>
      <c r="CN35" s="17">
        <f t="shared" si="89"/>
        <v>200.3162582034</v>
      </c>
      <c r="CO35" s="17">
        <f t="shared" si="90"/>
        <v>206.38034420829999</v>
      </c>
      <c r="CP35" s="17">
        <f t="shared" si="91"/>
        <v>212.6280056224</v>
      </c>
      <c r="CQ35" s="17">
        <f t="shared" si="92"/>
        <v>219.06479974339999</v>
      </c>
      <c r="CR35" s="17">
        <f t="shared" si="93"/>
        <v>225.69645210249999</v>
      </c>
      <c r="CS35" s="17">
        <f t="shared" si="94"/>
        <v>232.52886155749999</v>
      </c>
      <c r="CT35" s="17">
        <f t="shared" si="95"/>
        <v>239.56810553970001</v>
      </c>
      <c r="CU35" s="17">
        <f t="shared" si="96"/>
        <v>246.8204454598</v>
      </c>
      <c r="CV35" s="17">
        <f t="shared" si="97"/>
        <v>254.29233227750001</v>
      </c>
      <c r="CW35" s="17">
        <f t="shared" si="98"/>
        <v>261.99041223939997</v>
      </c>
      <c r="CX35" s="17">
        <f t="shared" si="99"/>
        <v>269.92153279109999</v>
      </c>
      <c r="CY35" s="17">
        <f t="shared" si="100"/>
        <v>278.09274866790003</v>
      </c>
      <c r="CZ35" s="17">
        <f t="shared" si="101"/>
        <v>286.51132817000001</v>
      </c>
      <c r="DA35" s="17">
        <f t="shared" si="102"/>
        <v>295.18475962769998</v>
      </c>
      <c r="DB35" s="17">
        <f t="shared" si="103"/>
        <v>304.12075806220003</v>
      </c>
    </row>
    <row r="36" spans="1:106" x14ac:dyDescent="0.2">
      <c r="A36">
        <f t="shared" si="7"/>
        <v>2.093371396560375E+26</v>
      </c>
      <c r="B36" s="71">
        <f t="shared" ref="B36:B67" si="149">IF(D36="","",A36/Paths)</f>
        <v>8.2568942742719555E-5</v>
      </c>
      <c r="C36" s="71">
        <f t="shared" ref="C36:C67" si="150">IF(D36="","",A36*UpProb^(Steps-D36)*DownProb^D36)</f>
        <v>9.104435259700581E-5</v>
      </c>
      <c r="D36" s="177">
        <f t="shared" si="104"/>
        <v>32</v>
      </c>
      <c r="AK36" s="18">
        <f>IF(AK$3="","",ROUND(AJ35*DownMove,RoundDigits))</f>
        <v>36.597116368599998</v>
      </c>
      <c r="AL36" s="17">
        <f t="shared" si="127"/>
        <v>37.705004780599999</v>
      </c>
      <c r="AM36" s="17">
        <f t="shared" si="128"/>
        <v>38.8464318113</v>
      </c>
      <c r="AN36" s="17">
        <f t="shared" si="128"/>
        <v>40.022412760599998</v>
      </c>
      <c r="AO36" s="17">
        <f t="shared" si="128"/>
        <v>41.233993664099998</v>
      </c>
      <c r="AP36" s="17">
        <f t="shared" si="128"/>
        <v>42.4822522236</v>
      </c>
      <c r="AQ36" s="17">
        <f t="shared" si="129"/>
        <v>43.768298765600001</v>
      </c>
      <c r="AR36" s="17">
        <f t="shared" si="130"/>
        <v>45.093277229100003</v>
      </c>
      <c r="AS36" s="17">
        <f t="shared" si="131"/>
        <v>46.458366183000003</v>
      </c>
      <c r="AT36" s="17">
        <f t="shared" si="132"/>
        <v>47.864779874600003</v>
      </c>
      <c r="AU36" s="17">
        <f t="shared" si="133"/>
        <v>49.313769309400001</v>
      </c>
      <c r="AV36" s="17">
        <f t="shared" si="134"/>
        <v>50.806623364300002</v>
      </c>
      <c r="AW36" s="17">
        <f t="shared" si="135"/>
        <v>52.344669933600002</v>
      </c>
      <c r="AX36" s="17">
        <f t="shared" si="136"/>
        <v>53.929277110400001</v>
      </c>
      <c r="AY36" s="17">
        <f t="shared" si="137"/>
        <v>55.5618544035</v>
      </c>
      <c r="AZ36" s="17">
        <f t="shared" si="138"/>
        <v>57.243853991100003</v>
      </c>
      <c r="BA36" s="17">
        <f t="shared" si="139"/>
        <v>58.976772012700003</v>
      </c>
      <c r="BB36" s="17">
        <f t="shared" si="140"/>
        <v>60.762149899599997</v>
      </c>
      <c r="BC36" s="17">
        <f t="shared" si="141"/>
        <v>62.601575746199998</v>
      </c>
      <c r="BD36" s="17">
        <f t="shared" si="142"/>
        <v>64.496685722699993</v>
      </c>
      <c r="BE36" s="17">
        <f t="shared" si="143"/>
        <v>66.449165530200005</v>
      </c>
      <c r="BF36" s="17">
        <f t="shared" si="144"/>
        <v>68.460751900399998</v>
      </c>
      <c r="BG36" s="17">
        <f t="shared" si="145"/>
        <v>70.533234140299996</v>
      </c>
      <c r="BH36" s="17">
        <f t="shared" si="146"/>
        <v>72.668455723700006</v>
      </c>
      <c r="BI36" s="17">
        <f t="shared" si="147"/>
        <v>74.868315931300003</v>
      </c>
      <c r="BJ36" s="17">
        <f t="shared" si="148"/>
        <v>77.134771539599996</v>
      </c>
      <c r="BK36" s="17">
        <f t="shared" si="60"/>
        <v>79.469838562000007</v>
      </c>
      <c r="BL36" s="17">
        <f t="shared" si="61"/>
        <v>81.875594041599996</v>
      </c>
      <c r="BM36" s="17">
        <f t="shared" si="62"/>
        <v>84.354177899099994</v>
      </c>
      <c r="BN36" s="17">
        <f t="shared" si="63"/>
        <v>86.907794835800004</v>
      </c>
      <c r="BO36" s="17">
        <f t="shared" si="64"/>
        <v>89.538716295200004</v>
      </c>
      <c r="BP36" s="17">
        <f t="shared" si="65"/>
        <v>92.249282483100004</v>
      </c>
      <c r="BQ36" s="17">
        <f t="shared" si="66"/>
        <v>95.041904449399993</v>
      </c>
      <c r="BR36" s="17">
        <f t="shared" si="67"/>
        <v>97.919066232600002</v>
      </c>
      <c r="BS36" s="17">
        <f t="shared" si="68"/>
        <v>100.88332706929999</v>
      </c>
      <c r="BT36" s="17">
        <f t="shared" si="69"/>
        <v>103.9373236709</v>
      </c>
      <c r="BU36" s="17">
        <f t="shared" si="70"/>
        <v>107.0837725688</v>
      </c>
      <c r="BV36" s="17">
        <f t="shared" si="71"/>
        <v>110.3254725307</v>
      </c>
      <c r="BW36" s="17">
        <f t="shared" si="72"/>
        <v>113.6653070502</v>
      </c>
      <c r="BX36" s="17">
        <f t="shared" si="73"/>
        <v>117.10624691149999</v>
      </c>
      <c r="BY36" s="17">
        <f t="shared" si="74"/>
        <v>120.65135283230001</v>
      </c>
      <c r="BZ36" s="17">
        <f t="shared" si="75"/>
        <v>124.3037781858</v>
      </c>
      <c r="CA36" s="17">
        <f t="shared" si="76"/>
        <v>128.06677180599999</v>
      </c>
      <c r="CB36" s="17">
        <f t="shared" si="77"/>
        <v>131.94368087749999</v>
      </c>
      <c r="CC36" s="17">
        <f t="shared" si="78"/>
        <v>135.93795391259999</v>
      </c>
      <c r="CD36" s="17">
        <f t="shared" si="79"/>
        <v>140.05314381900001</v>
      </c>
      <c r="CE36" s="17">
        <f t="shared" si="80"/>
        <v>144.29291105999999</v>
      </c>
      <c r="CF36" s="17">
        <f t="shared" si="81"/>
        <v>148.6610269105</v>
      </c>
      <c r="CG36" s="17">
        <f t="shared" si="82"/>
        <v>153.1613768114</v>
      </c>
      <c r="CH36" s="17">
        <f t="shared" si="83"/>
        <v>157.79796382609999</v>
      </c>
      <c r="CI36" s="17">
        <f t="shared" si="84"/>
        <v>162.5749122007</v>
      </c>
      <c r="CJ36" s="17">
        <f t="shared" si="85"/>
        <v>167.49647103300001</v>
      </c>
      <c r="CK36" s="17">
        <f t="shared" si="86"/>
        <v>172.56701805180001</v>
      </c>
      <c r="CL36" s="17">
        <f t="shared" si="87"/>
        <v>177.791063511</v>
      </c>
      <c r="CM36" s="17">
        <f t="shared" si="88"/>
        <v>183.1732542014</v>
      </c>
      <c r="CN36" s="17">
        <f t="shared" si="89"/>
        <v>188.718377584</v>
      </c>
      <c r="CO36" s="17">
        <f t="shared" si="90"/>
        <v>194.4313660485</v>
      </c>
      <c r="CP36" s="17">
        <f t="shared" si="91"/>
        <v>200.31730130080001</v>
      </c>
      <c r="CQ36" s="17">
        <f t="shared" si="92"/>
        <v>206.38141888289999</v>
      </c>
      <c r="CR36" s="17">
        <f t="shared" si="93"/>
        <v>212.6291128302</v>
      </c>
      <c r="CS36" s="17">
        <f t="shared" si="94"/>
        <v>219.0659404692</v>
      </c>
      <c r="CT36" s="17">
        <f t="shared" si="95"/>
        <v>225.697627361</v>
      </c>
      <c r="CU36" s="17">
        <f t="shared" si="96"/>
        <v>232.53007239409999</v>
      </c>
      <c r="CV36" s="17">
        <f t="shared" si="97"/>
        <v>239.56935303149999</v>
      </c>
      <c r="CW36" s="17">
        <f t="shared" si="98"/>
        <v>246.8217307164</v>
      </c>
      <c r="CX36" s="17">
        <f t="shared" si="99"/>
        <v>254.2936564421</v>
      </c>
      <c r="CY36" s="17">
        <f t="shared" si="100"/>
        <v>261.99177648979997</v>
      </c>
      <c r="CZ36" s="17">
        <f t="shared" si="101"/>
        <v>269.92293834079999</v>
      </c>
      <c r="DA36" s="17">
        <f t="shared" si="102"/>
        <v>278.0941967672</v>
      </c>
      <c r="DB36" s="17">
        <f t="shared" si="103"/>
        <v>286.51282010699998</v>
      </c>
    </row>
    <row r="37" spans="1:106" x14ac:dyDescent="0.2">
      <c r="A37">
        <f t="shared" si="7"/>
        <v>4.377049283717151E+26</v>
      </c>
      <c r="B37" s="71">
        <f t="shared" si="149"/>
        <v>1.7264415300750465E-4</v>
      </c>
      <c r="C37" s="71">
        <f t="shared" si="150"/>
        <v>1.893590129944577E-4</v>
      </c>
      <c r="D37" s="177">
        <f t="shared" ref="D37:D68" si="151">IF(AND(StatusOK,D36&lt;Steps),D36+1,"")</f>
        <v>33</v>
      </c>
      <c r="AL37" s="18">
        <f>IF(AL$3="","",ROUND(AK36*DownMove,RoundDigits))</f>
        <v>35.5219660789</v>
      </c>
      <c r="AM37" s="17">
        <f t="shared" si="128"/>
        <v>36.597306938899997</v>
      </c>
      <c r="AN37" s="17">
        <f t="shared" si="128"/>
        <v>37.705201119900003</v>
      </c>
      <c r="AO37" s="17">
        <f t="shared" si="128"/>
        <v>38.846634094300001</v>
      </c>
      <c r="AP37" s="17">
        <f t="shared" si="128"/>
        <v>40.022621167200001</v>
      </c>
      <c r="AQ37" s="17">
        <f t="shared" si="129"/>
        <v>41.2342083797</v>
      </c>
      <c r="AR37" s="17">
        <f t="shared" si="130"/>
        <v>42.4824734392</v>
      </c>
      <c r="AS37" s="17">
        <f t="shared" si="131"/>
        <v>43.768526677899999</v>
      </c>
      <c r="AT37" s="17">
        <f t="shared" si="132"/>
        <v>45.093512040900002</v>
      </c>
      <c r="AU37" s="17">
        <f t="shared" si="133"/>
        <v>46.4586081032</v>
      </c>
      <c r="AV37" s="17">
        <f t="shared" si="134"/>
        <v>47.865029118300001</v>
      </c>
      <c r="AW37" s="17">
        <f t="shared" si="135"/>
        <v>49.314026098399999</v>
      </c>
      <c r="AX37" s="17">
        <f t="shared" si="136"/>
        <v>50.806887926900004</v>
      </c>
      <c r="AY37" s="17">
        <f t="shared" si="137"/>
        <v>52.344942505200002</v>
      </c>
      <c r="AZ37" s="17">
        <f t="shared" si="138"/>
        <v>53.929557933399998</v>
      </c>
      <c r="BA37" s="17">
        <f t="shared" si="139"/>
        <v>55.562143727699997</v>
      </c>
      <c r="BB37" s="17">
        <f t="shared" si="140"/>
        <v>57.244152073899997</v>
      </c>
      <c r="BC37" s="17">
        <f t="shared" si="141"/>
        <v>58.977079119199999</v>
      </c>
      <c r="BD37" s="17">
        <f t="shared" si="142"/>
        <v>60.762466302999997</v>
      </c>
      <c r="BE37" s="17">
        <f t="shared" si="143"/>
        <v>62.6019017279</v>
      </c>
      <c r="BF37" s="17">
        <f t="shared" si="144"/>
        <v>64.497021572700007</v>
      </c>
      <c r="BG37" s="17">
        <f t="shared" si="145"/>
        <v>66.449511547200004</v>
      </c>
      <c r="BH37" s="17">
        <f t="shared" si="146"/>
        <v>68.461108392200003</v>
      </c>
      <c r="BI37" s="17">
        <f t="shared" si="147"/>
        <v>70.533601423999997</v>
      </c>
      <c r="BJ37" s="17">
        <f t="shared" si="148"/>
        <v>72.668834126099995</v>
      </c>
      <c r="BK37" s="17">
        <f t="shared" si="60"/>
        <v>74.868705788900002</v>
      </c>
      <c r="BL37" s="17">
        <f t="shared" si="61"/>
        <v>77.135173199199997</v>
      </c>
      <c r="BM37" s="17">
        <f t="shared" si="62"/>
        <v>79.470252380900007</v>
      </c>
      <c r="BN37" s="17">
        <f t="shared" si="63"/>
        <v>81.876020387899999</v>
      </c>
      <c r="BO37" s="17">
        <f t="shared" si="64"/>
        <v>84.354617152000003</v>
      </c>
      <c r="BP37" s="17">
        <f t="shared" si="65"/>
        <v>86.908247385999999</v>
      </c>
      <c r="BQ37" s="17">
        <f t="shared" si="66"/>
        <v>89.539182545299994</v>
      </c>
      <c r="BR37" s="17">
        <f t="shared" si="67"/>
        <v>92.2497628478</v>
      </c>
      <c r="BS37" s="17">
        <f t="shared" si="68"/>
        <v>95.042399356000004</v>
      </c>
      <c r="BT37" s="17">
        <f t="shared" si="69"/>
        <v>97.919576121299997</v>
      </c>
      <c r="BU37" s="17">
        <f t="shared" si="70"/>
        <v>100.8838523937</v>
      </c>
      <c r="BV37" s="17">
        <f t="shared" si="71"/>
        <v>103.93786489830001</v>
      </c>
      <c r="BW37" s="17">
        <f t="shared" si="72"/>
        <v>107.08433018060001</v>
      </c>
      <c r="BX37" s="17">
        <f t="shared" si="73"/>
        <v>110.3260470228</v>
      </c>
      <c r="BY37" s="17">
        <f t="shared" si="74"/>
        <v>113.6658989336</v>
      </c>
      <c r="BZ37" s="17">
        <f t="shared" si="75"/>
        <v>117.1068567128</v>
      </c>
      <c r="CA37" s="17">
        <f t="shared" si="76"/>
        <v>120.6519810938</v>
      </c>
      <c r="CB37" s="17">
        <f t="shared" si="77"/>
        <v>124.30442546640001</v>
      </c>
      <c r="CC37" s="17">
        <f t="shared" si="78"/>
        <v>128.06743868149999</v>
      </c>
      <c r="CD37" s="17">
        <f t="shared" si="79"/>
        <v>131.944367941</v>
      </c>
      <c r="CE37" s="17">
        <f t="shared" si="80"/>
        <v>135.93866177530001</v>
      </c>
      <c r="CF37" s="17">
        <f t="shared" si="81"/>
        <v>140.05387311059999</v>
      </c>
      <c r="CG37" s="17">
        <f t="shared" si="82"/>
        <v>144.29366242910001</v>
      </c>
      <c r="CH37" s="17">
        <f t="shared" si="83"/>
        <v>148.6618010254</v>
      </c>
      <c r="CI37" s="17">
        <f t="shared" si="84"/>
        <v>153.16217436080001</v>
      </c>
      <c r="CJ37" s="17">
        <f t="shared" si="85"/>
        <v>157.7987855193</v>
      </c>
      <c r="CK37" s="17">
        <f t="shared" si="86"/>
        <v>162.57575876870001</v>
      </c>
      <c r="CL37" s="17">
        <f t="shared" si="87"/>
        <v>167.49734322879999</v>
      </c>
      <c r="CM37" s="17">
        <f t="shared" si="88"/>
        <v>172.56791665119999</v>
      </c>
      <c r="CN37" s="17">
        <f t="shared" si="89"/>
        <v>177.79198931330001</v>
      </c>
      <c r="CO37" s="17">
        <f t="shared" si="90"/>
        <v>183.1742080301</v>
      </c>
      <c r="CP37" s="17">
        <f t="shared" si="91"/>
        <v>188.7193602875</v>
      </c>
      <c r="CQ37" s="17">
        <f t="shared" si="92"/>
        <v>194.43237850099999</v>
      </c>
      <c r="CR37" s="17">
        <f t="shared" si="93"/>
        <v>200.31834440279999</v>
      </c>
      <c r="CS37" s="17">
        <f t="shared" si="94"/>
        <v>206.3824935623</v>
      </c>
      <c r="CT37" s="17">
        <f t="shared" si="95"/>
        <v>212.63022004289999</v>
      </c>
      <c r="CU37" s="17">
        <f t="shared" si="96"/>
        <v>219.06708120010001</v>
      </c>
      <c r="CV37" s="17">
        <f t="shared" si="97"/>
        <v>225.69880262480001</v>
      </c>
      <c r="CW37" s="17">
        <f t="shared" si="98"/>
        <v>232.53128323620001</v>
      </c>
      <c r="CX37" s="17">
        <f t="shared" si="99"/>
        <v>239.5706005289</v>
      </c>
      <c r="CY37" s="17">
        <f t="shared" si="100"/>
        <v>246.8230159787</v>
      </c>
      <c r="CZ37" s="17">
        <f t="shared" si="101"/>
        <v>254.29498061250001</v>
      </c>
      <c r="DA37" s="17">
        <f t="shared" si="102"/>
        <v>261.99314074630001</v>
      </c>
      <c r="DB37" s="17">
        <f t="shared" si="103"/>
        <v>269.92434389689998</v>
      </c>
    </row>
    <row r="38" spans="1:106" x14ac:dyDescent="0.2">
      <c r="A38">
        <f t="shared" si="7"/>
        <v>8.7540985674343115E+26</v>
      </c>
      <c r="B38" s="71">
        <f t="shared" si="149"/>
        <v>3.4528830601500968E-4</v>
      </c>
      <c r="C38" s="71">
        <f t="shared" si="150"/>
        <v>3.7671576504127308E-4</v>
      </c>
      <c r="D38" s="177">
        <f t="shared" si="151"/>
        <v>34</v>
      </c>
      <c r="AM38" s="18">
        <f>IF(AM$3="","",ROUND(AL37*DownMove,RoundDigits))</f>
        <v>34.478401560400002</v>
      </c>
      <c r="AN38" s="17">
        <f t="shared" si="128"/>
        <v>35.522151050600002</v>
      </c>
      <c r="AO38" s="17">
        <f t="shared" si="128"/>
        <v>36.5974975102</v>
      </c>
      <c r="AP38" s="17">
        <f t="shared" si="128"/>
        <v>37.705397460299999</v>
      </c>
      <c r="AQ38" s="17">
        <f t="shared" si="129"/>
        <v>38.846836378399999</v>
      </c>
      <c r="AR38" s="17">
        <f t="shared" si="130"/>
        <v>40.022829575000003</v>
      </c>
      <c r="AS38" s="17">
        <f t="shared" si="131"/>
        <v>41.234423096599997</v>
      </c>
      <c r="AT38" s="17">
        <f t="shared" si="132"/>
        <v>42.482694656100001</v>
      </c>
      <c r="AU38" s="17">
        <f t="shared" si="133"/>
        <v>43.7687545916</v>
      </c>
      <c r="AV38" s="17">
        <f t="shared" si="134"/>
        <v>45.093746854099997</v>
      </c>
      <c r="AW38" s="17">
        <f t="shared" si="135"/>
        <v>46.458850024699998</v>
      </c>
      <c r="AX38" s="17">
        <f t="shared" si="136"/>
        <v>47.865278363400002</v>
      </c>
      <c r="AY38" s="17">
        <f t="shared" si="137"/>
        <v>49.314282888800001</v>
      </c>
      <c r="AZ38" s="17">
        <f t="shared" si="138"/>
        <v>50.807152490999997</v>
      </c>
      <c r="BA38" s="17">
        <f t="shared" si="139"/>
        <v>52.345215078300001</v>
      </c>
      <c r="BB38" s="17">
        <f t="shared" si="140"/>
        <v>53.929838758000002</v>
      </c>
      <c r="BC38" s="17">
        <f t="shared" si="141"/>
        <v>55.562433053600003</v>
      </c>
      <c r="BD38" s="17">
        <f t="shared" si="142"/>
        <v>57.244450158500001</v>
      </c>
      <c r="BE38" s="17">
        <f t="shared" si="143"/>
        <v>58.9773862276</v>
      </c>
      <c r="BF38" s="17">
        <f t="shared" si="144"/>
        <v>60.762782708300001</v>
      </c>
      <c r="BG38" s="17">
        <f t="shared" si="145"/>
        <v>62.602227711600001</v>
      </c>
      <c r="BH38" s="17">
        <f t="shared" si="146"/>
        <v>64.497357424699999</v>
      </c>
      <c r="BI38" s="17">
        <f t="shared" si="147"/>
        <v>66.449857566299997</v>
      </c>
      <c r="BJ38" s="17">
        <f t="shared" si="148"/>
        <v>68.461464886200005</v>
      </c>
      <c r="BK38" s="17">
        <f t="shared" si="60"/>
        <v>70.533968709999996</v>
      </c>
      <c r="BL38" s="17">
        <f t="shared" si="61"/>
        <v>72.669212530699994</v>
      </c>
      <c r="BM38" s="17">
        <f t="shared" si="62"/>
        <v>74.869095648799998</v>
      </c>
      <c r="BN38" s="17">
        <f t="shared" si="63"/>
        <v>77.135574861199999</v>
      </c>
      <c r="BO38" s="17">
        <f t="shared" si="64"/>
        <v>79.470666202199993</v>
      </c>
      <c r="BP38" s="17">
        <f t="shared" si="65"/>
        <v>81.876446736600002</v>
      </c>
      <c r="BQ38" s="17">
        <f t="shared" si="66"/>
        <v>84.355056407299998</v>
      </c>
      <c r="BR38" s="17">
        <f t="shared" si="67"/>
        <v>86.908699938699996</v>
      </c>
      <c r="BS38" s="17">
        <f t="shared" si="68"/>
        <v>89.5396487979</v>
      </c>
      <c r="BT38" s="17">
        <f t="shared" si="69"/>
        <v>92.250243215099999</v>
      </c>
      <c r="BU38" s="17">
        <f t="shared" si="70"/>
        <v>95.042894265200005</v>
      </c>
      <c r="BV38" s="17">
        <f t="shared" si="71"/>
        <v>97.920086012599995</v>
      </c>
      <c r="BW38" s="17">
        <f t="shared" si="72"/>
        <v>100.8843777207</v>
      </c>
      <c r="BX38" s="17">
        <f t="shared" si="73"/>
        <v>103.9384061283</v>
      </c>
      <c r="BY38" s="17">
        <f t="shared" si="74"/>
        <v>107.084887795</v>
      </c>
      <c r="BZ38" s="17">
        <f t="shared" si="75"/>
        <v>110.3266215176</v>
      </c>
      <c r="CA38" s="17">
        <f t="shared" si="76"/>
        <v>113.6664908198</v>
      </c>
      <c r="CB38" s="17">
        <f t="shared" si="77"/>
        <v>117.1074665169</v>
      </c>
      <c r="CC38" s="17">
        <f t="shared" si="78"/>
        <v>120.6526093582</v>
      </c>
      <c r="CD38" s="17">
        <f t="shared" si="79"/>
        <v>124.30507274999999</v>
      </c>
      <c r="CE38" s="17">
        <f t="shared" si="80"/>
        <v>128.06810555999999</v>
      </c>
      <c r="CF38" s="17">
        <f t="shared" si="81"/>
        <v>131.94505500770001</v>
      </c>
      <c r="CG38" s="17">
        <f t="shared" si="82"/>
        <v>135.9393696413</v>
      </c>
      <c r="CH38" s="17">
        <f t="shared" si="83"/>
        <v>140.05460240549999</v>
      </c>
      <c r="CI38" s="17">
        <f t="shared" si="84"/>
        <v>144.29441380169999</v>
      </c>
      <c r="CJ38" s="17">
        <f t="shared" si="85"/>
        <v>148.66257514399999</v>
      </c>
      <c r="CK38" s="17">
        <f t="shared" si="86"/>
        <v>153.16297191390001</v>
      </c>
      <c r="CL38" s="17">
        <f t="shared" si="87"/>
        <v>157.79960721640001</v>
      </c>
      <c r="CM38" s="17">
        <f t="shared" si="88"/>
        <v>162.57660534070001</v>
      </c>
      <c r="CN38" s="17">
        <f t="shared" si="89"/>
        <v>167.49821542870001</v>
      </c>
      <c r="CO38" s="17">
        <f t="shared" si="90"/>
        <v>172.56881525489999</v>
      </c>
      <c r="CP38" s="17">
        <f t="shared" si="91"/>
        <v>177.79291512</v>
      </c>
      <c r="CQ38" s="17">
        <f t="shared" si="92"/>
        <v>183.17516186329999</v>
      </c>
      <c r="CR38" s="17">
        <f t="shared" si="93"/>
        <v>188.72034299570001</v>
      </c>
      <c r="CS38" s="17">
        <f t="shared" si="94"/>
        <v>194.43339095830001</v>
      </c>
      <c r="CT38" s="17">
        <f t="shared" si="95"/>
        <v>200.31938750980001</v>
      </c>
      <c r="CU38" s="17">
        <f t="shared" si="96"/>
        <v>206.3835682468</v>
      </c>
      <c r="CV38" s="17">
        <f t="shared" si="97"/>
        <v>212.63132726079999</v>
      </c>
      <c r="CW38" s="17">
        <f t="shared" si="98"/>
        <v>219.06822193630001</v>
      </c>
      <c r="CX38" s="17">
        <f t="shared" si="99"/>
        <v>225.699977894</v>
      </c>
      <c r="CY38" s="17">
        <f t="shared" si="100"/>
        <v>232.5324940838</v>
      </c>
      <c r="CZ38" s="17">
        <f t="shared" si="101"/>
        <v>239.5718480319</v>
      </c>
      <c r="DA38" s="17">
        <f t="shared" si="102"/>
        <v>246.82430124690001</v>
      </c>
      <c r="DB38" s="17">
        <f t="shared" si="103"/>
        <v>254.29630478909999</v>
      </c>
    </row>
    <row r="39" spans="1:106" x14ac:dyDescent="0.2">
      <c r="A39">
        <f t="shared" si="7"/>
        <v>1.6757845829088522E+27</v>
      </c>
      <c r="B39" s="71">
        <f t="shared" si="149"/>
        <v>6.6098047151444644E-4</v>
      </c>
      <c r="C39" s="71">
        <f t="shared" si="150"/>
        <v>7.1732897216105992E-4</v>
      </c>
      <c r="D39" s="177">
        <f t="shared" si="151"/>
        <v>35</v>
      </c>
      <c r="AN39" s="18">
        <f>IF(AN$3="","",ROUND(AM38*DownMove,RoundDigits))</f>
        <v>33.465494886199998</v>
      </c>
      <c r="AO39" s="17">
        <f t="shared" si="128"/>
        <v>34.478581097999999</v>
      </c>
      <c r="AP39" s="17">
        <f t="shared" si="128"/>
        <v>35.522336023199998</v>
      </c>
      <c r="AQ39" s="17">
        <f t="shared" si="129"/>
        <v>36.597688082300003</v>
      </c>
      <c r="AR39" s="17">
        <f t="shared" si="130"/>
        <v>37.705593801500001</v>
      </c>
      <c r="AS39" s="17">
        <f t="shared" si="131"/>
        <v>38.847038663399999</v>
      </c>
      <c r="AT39" s="17">
        <f t="shared" si="132"/>
        <v>40.0230379837</v>
      </c>
      <c r="AU39" s="17">
        <f t="shared" si="133"/>
        <v>41.234637814300001</v>
      </c>
      <c r="AV39" s="17">
        <f t="shared" si="134"/>
        <v>42.482915873800003</v>
      </c>
      <c r="AW39" s="17">
        <f t="shared" si="135"/>
        <v>43.768982506199997</v>
      </c>
      <c r="AX39" s="17">
        <f t="shared" si="136"/>
        <v>45.093981668200001</v>
      </c>
      <c r="AY39" s="17">
        <f t="shared" si="137"/>
        <v>46.459091947300003</v>
      </c>
      <c r="AZ39" s="17">
        <f t="shared" si="138"/>
        <v>47.865527609600001</v>
      </c>
      <c r="BA39" s="17">
        <f t="shared" si="139"/>
        <v>49.314539680300001</v>
      </c>
      <c r="BB39" s="17">
        <f t="shared" si="140"/>
        <v>50.807417056299997</v>
      </c>
      <c r="BC39" s="17">
        <f t="shared" si="141"/>
        <v>52.345487652700001</v>
      </c>
      <c r="BD39" s="17">
        <f t="shared" si="142"/>
        <v>53.930119583900002</v>
      </c>
      <c r="BE39" s="17">
        <f t="shared" si="143"/>
        <v>55.562722380799997</v>
      </c>
      <c r="BF39" s="17">
        <f t="shared" si="144"/>
        <v>57.244748244299998</v>
      </c>
      <c r="BG39" s="17">
        <f t="shared" si="145"/>
        <v>58.977693337200002</v>
      </c>
      <c r="BH39" s="17">
        <f t="shared" si="146"/>
        <v>60.763099114900001</v>
      </c>
      <c r="BI39" s="17">
        <f t="shared" si="147"/>
        <v>62.602553696699999</v>
      </c>
      <c r="BJ39" s="17">
        <f t="shared" si="148"/>
        <v>64.497693278200003</v>
      </c>
      <c r="BK39" s="17">
        <f t="shared" si="60"/>
        <v>66.450203587000004</v>
      </c>
      <c r="BL39" s="17">
        <f t="shared" si="61"/>
        <v>68.461821381799993</v>
      </c>
      <c r="BM39" s="17">
        <f t="shared" si="62"/>
        <v>70.534335997599996</v>
      </c>
      <c r="BN39" s="17">
        <f t="shared" si="63"/>
        <v>72.669590937099997</v>
      </c>
      <c r="BO39" s="17">
        <f t="shared" si="64"/>
        <v>74.869485510499999</v>
      </c>
      <c r="BP39" s="17">
        <f t="shared" si="65"/>
        <v>77.135976525000004</v>
      </c>
      <c r="BQ39" s="17">
        <f t="shared" si="66"/>
        <v>79.471080025399999</v>
      </c>
      <c r="BR39" s="17">
        <f t="shared" si="67"/>
        <v>81.876873087299998</v>
      </c>
      <c r="BS39" s="17">
        <f t="shared" si="68"/>
        <v>84.355495664700001</v>
      </c>
      <c r="BT39" s="17">
        <f t="shared" si="69"/>
        <v>86.909152493600004</v>
      </c>
      <c r="BU39" s="17">
        <f t="shared" si="70"/>
        <v>89.540115052800004</v>
      </c>
      <c r="BV39" s="17">
        <f t="shared" si="71"/>
        <v>92.250723584699998</v>
      </c>
      <c r="BW39" s="17">
        <f t="shared" si="72"/>
        <v>95.043389176800005</v>
      </c>
      <c r="BX39" s="17">
        <f t="shared" si="73"/>
        <v>97.920595906499997</v>
      </c>
      <c r="BY39" s="17">
        <f t="shared" si="74"/>
        <v>100.8849030504</v>
      </c>
      <c r="BZ39" s="17">
        <f t="shared" si="75"/>
        <v>103.938947361</v>
      </c>
      <c r="CA39" s="17">
        <f t="shared" si="76"/>
        <v>107.0854454122</v>
      </c>
      <c r="CB39" s="17">
        <f t="shared" si="77"/>
        <v>110.3271960153</v>
      </c>
      <c r="CC39" s="17">
        <f t="shared" si="78"/>
        <v>113.667082709</v>
      </c>
      <c r="CD39" s="17">
        <f t="shared" si="79"/>
        <v>117.1080763241</v>
      </c>
      <c r="CE39" s="17">
        <f t="shared" si="80"/>
        <v>120.6532376259</v>
      </c>
      <c r="CF39" s="17">
        <f t="shared" si="81"/>
        <v>124.3057200369</v>
      </c>
      <c r="CG39" s="17">
        <f t="shared" si="82"/>
        <v>128.06877244200001</v>
      </c>
      <c r="CH39" s="17">
        <f t="shared" si="83"/>
        <v>131.94574207790001</v>
      </c>
      <c r="CI39" s="17">
        <f t="shared" si="84"/>
        <v>135.94007751090001</v>
      </c>
      <c r="CJ39" s="17">
        <f t="shared" si="85"/>
        <v>140.05533170410001</v>
      </c>
      <c r="CK39" s="17">
        <f t="shared" si="86"/>
        <v>144.29516517799999</v>
      </c>
      <c r="CL39" s="17">
        <f t="shared" si="87"/>
        <v>148.66334926639999</v>
      </c>
      <c r="CM39" s="17">
        <f t="shared" si="88"/>
        <v>153.16376947099999</v>
      </c>
      <c r="CN39" s="17">
        <f t="shared" si="89"/>
        <v>157.80042891759999</v>
      </c>
      <c r="CO39" s="17">
        <f t="shared" si="90"/>
        <v>162.5774519169</v>
      </c>
      <c r="CP39" s="17">
        <f t="shared" si="91"/>
        <v>167.49908763299999</v>
      </c>
      <c r="CQ39" s="17">
        <f t="shared" si="92"/>
        <v>172.569713863</v>
      </c>
      <c r="CR39" s="17">
        <f t="shared" si="93"/>
        <v>177.7938409313</v>
      </c>
      <c r="CS39" s="17">
        <f t="shared" si="94"/>
        <v>183.17611570130001</v>
      </c>
      <c r="CT39" s="17">
        <f t="shared" si="95"/>
        <v>188.72132570880001</v>
      </c>
      <c r="CU39" s="17">
        <f t="shared" si="96"/>
        <v>194.43440342060001</v>
      </c>
      <c r="CV39" s="17">
        <f t="shared" si="97"/>
        <v>200.32043062189999</v>
      </c>
      <c r="CW39" s="17">
        <f t="shared" si="98"/>
        <v>206.38464293659999</v>
      </c>
      <c r="CX39" s="17">
        <f t="shared" si="99"/>
        <v>212.63243448419999</v>
      </c>
      <c r="CY39" s="17">
        <f t="shared" si="100"/>
        <v>219.06936267820001</v>
      </c>
      <c r="CZ39" s="17">
        <f t="shared" si="101"/>
        <v>225.7011531691</v>
      </c>
      <c r="DA39" s="17">
        <f t="shared" si="102"/>
        <v>232.5337049375</v>
      </c>
      <c r="DB39" s="17">
        <f t="shared" si="103"/>
        <v>239.57309554130001</v>
      </c>
    </row>
    <row r="40" spans="1:106" x14ac:dyDescent="0.2">
      <c r="A40">
        <f t="shared" si="7"/>
        <v>3.0722717353328938E+27</v>
      </c>
      <c r="B40" s="71">
        <f t="shared" si="149"/>
        <v>1.2117975311098177E-3</v>
      </c>
      <c r="C40" s="71">
        <f t="shared" si="150"/>
        <v>1.3081502392671774E-3</v>
      </c>
      <c r="D40" s="177">
        <f t="shared" si="151"/>
        <v>36</v>
      </c>
      <c r="AO40" s="18">
        <f>IF(AO$3="","",ROUND(AN39*DownMove,RoundDigits))</f>
        <v>32.482345389999999</v>
      </c>
      <c r="AP40" s="17">
        <f t="shared" si="128"/>
        <v>33.4656691494</v>
      </c>
      <c r="AQ40" s="17">
        <f t="shared" si="129"/>
        <v>34.478760636600001</v>
      </c>
      <c r="AR40" s="17">
        <f t="shared" si="130"/>
        <v>35.522520996899999</v>
      </c>
      <c r="AS40" s="17">
        <f t="shared" si="131"/>
        <v>36.597878655700001</v>
      </c>
      <c r="AT40" s="17">
        <f t="shared" si="132"/>
        <v>37.705790143999998</v>
      </c>
      <c r="AU40" s="17">
        <f t="shared" si="133"/>
        <v>38.847240949700002</v>
      </c>
      <c r="AV40" s="17">
        <f t="shared" si="134"/>
        <v>40.023246393699999</v>
      </c>
      <c r="AW40" s="17">
        <f t="shared" si="135"/>
        <v>41.234852533400002</v>
      </c>
      <c r="AX40" s="17">
        <f t="shared" si="136"/>
        <v>42.483137093000003</v>
      </c>
      <c r="AY40" s="17">
        <f t="shared" si="137"/>
        <v>43.769210422199997</v>
      </c>
      <c r="AZ40" s="17">
        <f t="shared" si="138"/>
        <v>45.094216483799997</v>
      </c>
      <c r="BA40" s="17">
        <f t="shared" si="139"/>
        <v>46.459333871299997</v>
      </c>
      <c r="BB40" s="17">
        <f t="shared" si="140"/>
        <v>47.865776857299998</v>
      </c>
      <c r="BC40" s="17">
        <f t="shared" si="141"/>
        <v>49.314796473400001</v>
      </c>
      <c r="BD40" s="17">
        <f t="shared" si="142"/>
        <v>50.807681623199997</v>
      </c>
      <c r="BE40" s="17">
        <f t="shared" si="143"/>
        <v>52.345760228700001</v>
      </c>
      <c r="BF40" s="17">
        <f t="shared" si="144"/>
        <v>53.930400411500003</v>
      </c>
      <c r="BG40" s="17">
        <f t="shared" si="145"/>
        <v>55.563011709800001</v>
      </c>
      <c r="BH40" s="17">
        <f t="shared" si="146"/>
        <v>57.245046332100003</v>
      </c>
      <c r="BI40" s="17">
        <f t="shared" si="147"/>
        <v>58.978000448899998</v>
      </c>
      <c r="BJ40" s="17">
        <f t="shared" si="148"/>
        <v>60.763415523699997</v>
      </c>
      <c r="BK40" s="17">
        <f t="shared" si="60"/>
        <v>62.602879684000001</v>
      </c>
      <c r="BL40" s="17">
        <f t="shared" si="61"/>
        <v>64.498029134000006</v>
      </c>
      <c r="BM40" s="17">
        <f t="shared" si="62"/>
        <v>66.450549609999996</v>
      </c>
      <c r="BN40" s="17">
        <f t="shared" si="63"/>
        <v>68.462177879799995</v>
      </c>
      <c r="BO40" s="17">
        <f t="shared" si="64"/>
        <v>70.534703287699998</v>
      </c>
      <c r="BP40" s="17">
        <f t="shared" si="65"/>
        <v>72.669969346000002</v>
      </c>
      <c r="BQ40" s="17">
        <f t="shared" si="66"/>
        <v>74.869875374800003</v>
      </c>
      <c r="BR40" s="17">
        <f t="shared" si="67"/>
        <v>77.1363781915</v>
      </c>
      <c r="BS40" s="17">
        <f t="shared" si="68"/>
        <v>79.471493851399998</v>
      </c>
      <c r="BT40" s="17">
        <f t="shared" si="69"/>
        <v>81.877299440900003</v>
      </c>
      <c r="BU40" s="17">
        <f t="shared" si="70"/>
        <v>84.355934925200003</v>
      </c>
      <c r="BV40" s="17">
        <f t="shared" si="71"/>
        <v>86.909605051599996</v>
      </c>
      <c r="BW40" s="17">
        <f t="shared" si="72"/>
        <v>89.540581310899995</v>
      </c>
      <c r="BX40" s="17">
        <f t="shared" si="73"/>
        <v>92.251203957599998</v>
      </c>
      <c r="BY40" s="17">
        <f t="shared" si="74"/>
        <v>95.043884091899997</v>
      </c>
      <c r="BZ40" s="17">
        <f t="shared" si="75"/>
        <v>97.921105803900005</v>
      </c>
      <c r="CA40" s="17">
        <f t="shared" si="76"/>
        <v>100.8854283837</v>
      </c>
      <c r="CB40" s="17">
        <f t="shared" si="77"/>
        <v>103.9394885975</v>
      </c>
      <c r="CC40" s="17">
        <f t="shared" si="78"/>
        <v>107.0860030333</v>
      </c>
      <c r="CD40" s="17">
        <f t="shared" si="79"/>
        <v>110.32777051710001</v>
      </c>
      <c r="CE40" s="17">
        <f t="shared" si="80"/>
        <v>113.6676746025</v>
      </c>
      <c r="CF40" s="17">
        <f t="shared" si="81"/>
        <v>117.1086861357</v>
      </c>
      <c r="CG40" s="17">
        <f t="shared" si="82"/>
        <v>120.65386589800001</v>
      </c>
      <c r="CH40" s="17">
        <f t="shared" si="83"/>
        <v>124.3063673284</v>
      </c>
      <c r="CI40" s="17">
        <f t="shared" si="84"/>
        <v>128.0694393286</v>
      </c>
      <c r="CJ40" s="17">
        <f t="shared" si="85"/>
        <v>131.94642915290001</v>
      </c>
      <c r="CK40" s="17">
        <f t="shared" si="86"/>
        <v>135.94078538540001</v>
      </c>
      <c r="CL40" s="17">
        <f t="shared" si="87"/>
        <v>140.0560610078</v>
      </c>
      <c r="CM40" s="17">
        <f t="shared" si="88"/>
        <v>144.29591655959999</v>
      </c>
      <c r="CN40" s="17">
        <f t="shared" si="89"/>
        <v>148.6641233942</v>
      </c>
      <c r="CO40" s="17">
        <f t="shared" si="90"/>
        <v>153.16456703360001</v>
      </c>
      <c r="CP40" s="17">
        <f t="shared" si="91"/>
        <v>157.8012506245</v>
      </c>
      <c r="CQ40" s="17">
        <f t="shared" si="92"/>
        <v>162.57829849890001</v>
      </c>
      <c r="CR40" s="17">
        <f t="shared" si="93"/>
        <v>167.4999598432</v>
      </c>
      <c r="CS40" s="17">
        <f t="shared" si="94"/>
        <v>172.57061247729999</v>
      </c>
      <c r="CT40" s="17">
        <f t="shared" si="95"/>
        <v>177.79476674899999</v>
      </c>
      <c r="CU40" s="17">
        <f t="shared" si="96"/>
        <v>183.1770695459</v>
      </c>
      <c r="CV40" s="17">
        <f t="shared" si="97"/>
        <v>188.72230842869999</v>
      </c>
      <c r="CW40" s="17">
        <f t="shared" si="98"/>
        <v>194.43541589</v>
      </c>
      <c r="CX40" s="17">
        <f t="shared" si="99"/>
        <v>200.32147374140001</v>
      </c>
      <c r="CY40" s="17">
        <f t="shared" si="100"/>
        <v>206.385717634</v>
      </c>
      <c r="CZ40" s="17">
        <f t="shared" si="101"/>
        <v>212.6335417155</v>
      </c>
      <c r="DA40" s="17">
        <f t="shared" si="102"/>
        <v>219.0705034282</v>
      </c>
      <c r="DB40" s="17">
        <f t="shared" si="103"/>
        <v>225.70232845250001</v>
      </c>
    </row>
    <row r="41" spans="1:106" x14ac:dyDescent="0.2">
      <c r="A41">
        <f t="shared" si="7"/>
        <v>5.3972341296388722E+27</v>
      </c>
      <c r="B41" s="71">
        <f t="shared" si="149"/>
        <v>2.1288335005983303E-3</v>
      </c>
      <c r="C41" s="71">
        <f t="shared" si="150"/>
        <v>2.2859518366009266E-3</v>
      </c>
      <c r="D41" s="177">
        <f t="shared" si="151"/>
        <v>37</v>
      </c>
      <c r="AP41" s="18">
        <f>IF(AP$3="","",ROUND(AO40*DownMove,RoundDigits))</f>
        <v>31.528078865200001</v>
      </c>
      <c r="AQ41" s="17">
        <f t="shared" si="129"/>
        <v>32.482514533699998</v>
      </c>
      <c r="AR41" s="17">
        <f t="shared" si="130"/>
        <v>33.465843413499996</v>
      </c>
      <c r="AS41" s="17">
        <f t="shared" si="131"/>
        <v>34.478940176099997</v>
      </c>
      <c r="AT41" s="17">
        <f t="shared" si="132"/>
        <v>35.522705971599997</v>
      </c>
      <c r="AU41" s="17">
        <f t="shared" si="133"/>
        <v>36.59806923</v>
      </c>
      <c r="AV41" s="17">
        <f t="shared" si="134"/>
        <v>37.705986487499999</v>
      </c>
      <c r="AW41" s="17">
        <f t="shared" si="135"/>
        <v>38.847443237</v>
      </c>
      <c r="AX41" s="17">
        <f t="shared" si="136"/>
        <v>40.023454804799997</v>
      </c>
      <c r="AY41" s="17">
        <f t="shared" si="137"/>
        <v>41.235067253700002</v>
      </c>
      <c r="AZ41" s="17">
        <f t="shared" si="138"/>
        <v>42.483358313499998</v>
      </c>
      <c r="BA41" s="17">
        <f t="shared" si="139"/>
        <v>43.769438339700002</v>
      </c>
      <c r="BB41" s="17">
        <f t="shared" si="140"/>
        <v>45.094451300999999</v>
      </c>
      <c r="BC41" s="17">
        <f t="shared" si="141"/>
        <v>46.459575797100001</v>
      </c>
      <c r="BD41" s="17">
        <f t="shared" si="142"/>
        <v>47.8660261068</v>
      </c>
      <c r="BE41" s="17">
        <f t="shared" si="143"/>
        <v>49.315053268299998</v>
      </c>
      <c r="BF41" s="17">
        <f t="shared" si="144"/>
        <v>50.807946191900001</v>
      </c>
      <c r="BG41" s="17">
        <f t="shared" si="145"/>
        <v>52.3460328066</v>
      </c>
      <c r="BH41" s="17">
        <f t="shared" si="146"/>
        <v>53.930681241000002</v>
      </c>
      <c r="BI41" s="17">
        <f t="shared" si="147"/>
        <v>55.563301040699997</v>
      </c>
      <c r="BJ41" s="17">
        <f t="shared" si="148"/>
        <v>57.245344421699997</v>
      </c>
      <c r="BK41" s="17">
        <f t="shared" si="60"/>
        <v>58.978307562399998</v>
      </c>
      <c r="BL41" s="17">
        <f t="shared" si="61"/>
        <v>60.763731934299997</v>
      </c>
      <c r="BM41" s="17">
        <f t="shared" si="62"/>
        <v>62.6032056731</v>
      </c>
      <c r="BN41" s="17">
        <f t="shared" si="63"/>
        <v>64.498364991599999</v>
      </c>
      <c r="BO41" s="17">
        <f t="shared" si="64"/>
        <v>66.450895634899993</v>
      </c>
      <c r="BP41" s="17">
        <f t="shared" si="65"/>
        <v>68.462534379800005</v>
      </c>
      <c r="BQ41" s="17">
        <f t="shared" si="66"/>
        <v>70.535070579899994</v>
      </c>
      <c r="BR41" s="17">
        <f t="shared" si="67"/>
        <v>72.670347757100004</v>
      </c>
      <c r="BS41" s="17">
        <f t="shared" si="68"/>
        <v>74.870265241400006</v>
      </c>
      <c r="BT41" s="17">
        <f t="shared" si="69"/>
        <v>77.136779860399997</v>
      </c>
      <c r="BU41" s="17">
        <f t="shared" si="70"/>
        <v>79.471907679799997</v>
      </c>
      <c r="BV41" s="17">
        <f t="shared" si="71"/>
        <v>81.877725796899995</v>
      </c>
      <c r="BW41" s="17">
        <f t="shared" si="72"/>
        <v>84.356374188100006</v>
      </c>
      <c r="BX41" s="17">
        <f t="shared" si="73"/>
        <v>86.910057612100005</v>
      </c>
      <c r="BY41" s="17">
        <f t="shared" si="74"/>
        <v>89.541047571600004</v>
      </c>
      <c r="BZ41" s="17">
        <f t="shared" si="75"/>
        <v>92.251684333200004</v>
      </c>
      <c r="CA41" s="17">
        <f t="shared" si="76"/>
        <v>95.044379009699995</v>
      </c>
      <c r="CB41" s="17">
        <f t="shared" si="77"/>
        <v>97.921615704100006</v>
      </c>
      <c r="CC41" s="17">
        <f t="shared" si="78"/>
        <v>100.8859537199</v>
      </c>
      <c r="CD41" s="17">
        <f t="shared" si="79"/>
        <v>103.940029837</v>
      </c>
      <c r="CE41" s="17">
        <f t="shared" si="80"/>
        <v>107.0865606575</v>
      </c>
      <c r="CF41" s="17">
        <f t="shared" si="81"/>
        <v>110.32834502199999</v>
      </c>
      <c r="CG41" s="17">
        <f t="shared" si="82"/>
        <v>113.6682664991</v>
      </c>
      <c r="CH41" s="17">
        <f t="shared" si="83"/>
        <v>117.1092959505</v>
      </c>
      <c r="CI41" s="17">
        <f t="shared" si="84"/>
        <v>120.6544941735</v>
      </c>
      <c r="CJ41" s="17">
        <f t="shared" si="85"/>
        <v>124.30701462339999</v>
      </c>
      <c r="CK41" s="17">
        <f t="shared" si="86"/>
        <v>128.07010621890001</v>
      </c>
      <c r="CL41" s="17">
        <f t="shared" si="87"/>
        <v>131.94711623160001</v>
      </c>
      <c r="CM41" s="17">
        <f t="shared" si="88"/>
        <v>135.94149326370001</v>
      </c>
      <c r="CN41" s="17">
        <f t="shared" si="89"/>
        <v>140.05679031540001</v>
      </c>
      <c r="CO41" s="17">
        <f t="shared" si="90"/>
        <v>144.2966679452</v>
      </c>
      <c r="CP41" s="17">
        <f t="shared" si="91"/>
        <v>148.66489752620001</v>
      </c>
      <c r="CQ41" s="17">
        <f t="shared" si="92"/>
        <v>153.16536460059999</v>
      </c>
      <c r="CR41" s="17">
        <f t="shared" si="93"/>
        <v>157.80207233589999</v>
      </c>
      <c r="CS41" s="17">
        <f t="shared" si="94"/>
        <v>162.5791450856</v>
      </c>
      <c r="CT41" s="17">
        <f t="shared" si="95"/>
        <v>167.50083205819999</v>
      </c>
      <c r="CU41" s="17">
        <f t="shared" si="96"/>
        <v>172.5715110964</v>
      </c>
      <c r="CV41" s="17">
        <f t="shared" si="97"/>
        <v>177.7956925716</v>
      </c>
      <c r="CW41" s="17">
        <f t="shared" si="98"/>
        <v>183.17802339549999</v>
      </c>
      <c r="CX41" s="17">
        <f t="shared" si="99"/>
        <v>188.72329115380001</v>
      </c>
      <c r="CY41" s="17">
        <f t="shared" si="100"/>
        <v>194.43642836469999</v>
      </c>
      <c r="CZ41" s="17">
        <f t="shared" si="101"/>
        <v>200.32251686629999</v>
      </c>
      <c r="DA41" s="17">
        <f t="shared" si="102"/>
        <v>206.38679233689999</v>
      </c>
      <c r="DB41" s="17">
        <f t="shared" si="103"/>
        <v>212.6346489524</v>
      </c>
    </row>
    <row r="42" spans="1:106" x14ac:dyDescent="0.2">
      <c r="A42">
        <f t="shared" si="7"/>
        <v>9.0900785341286344E+27</v>
      </c>
      <c r="B42" s="71">
        <f t="shared" si="149"/>
        <v>3.5854037904814013E-3</v>
      </c>
      <c r="C42" s="71">
        <f t="shared" si="150"/>
        <v>3.8296692842798184E-3</v>
      </c>
      <c r="D42" s="177">
        <f t="shared" si="151"/>
        <v>38</v>
      </c>
      <c r="AQ42" s="18">
        <f>IF(AQ$3="","",ROUND(AP41*DownMove,RoundDigits))</f>
        <v>30.601846787700001</v>
      </c>
      <c r="AR42" s="17">
        <f t="shared" si="130"/>
        <v>31.5282430398</v>
      </c>
      <c r="AS42" s="17">
        <f t="shared" si="131"/>
        <v>32.482683678299999</v>
      </c>
      <c r="AT42" s="17">
        <f t="shared" si="132"/>
        <v>33.466017678599997</v>
      </c>
      <c r="AU42" s="17">
        <f t="shared" si="133"/>
        <v>34.479119716699998</v>
      </c>
      <c r="AV42" s="17">
        <f t="shared" si="134"/>
        <v>35.522890947299999</v>
      </c>
      <c r="AW42" s="17">
        <f t="shared" si="135"/>
        <v>36.598259805399998</v>
      </c>
      <c r="AX42" s="17">
        <f t="shared" si="136"/>
        <v>37.706182832099998</v>
      </c>
      <c r="AY42" s="17">
        <f t="shared" si="137"/>
        <v>38.847645525399997</v>
      </c>
      <c r="AZ42" s="17">
        <f t="shared" si="138"/>
        <v>40.023663216999999</v>
      </c>
      <c r="BA42" s="17">
        <f t="shared" si="139"/>
        <v>41.235281974999999</v>
      </c>
      <c r="BB42" s="17">
        <f t="shared" si="140"/>
        <v>42.483579534900002</v>
      </c>
      <c r="BC42" s="17">
        <f t="shared" si="141"/>
        <v>43.769666258000001</v>
      </c>
      <c r="BD42" s="17">
        <f t="shared" si="142"/>
        <v>45.094686119000002</v>
      </c>
      <c r="BE42" s="17">
        <f t="shared" si="143"/>
        <v>46.459817723599997</v>
      </c>
      <c r="BF42" s="17">
        <f t="shared" si="144"/>
        <v>47.866275356999999</v>
      </c>
      <c r="BG42" s="17">
        <f t="shared" si="145"/>
        <v>49.3153100639</v>
      </c>
      <c r="BH42" s="17">
        <f t="shared" si="146"/>
        <v>50.808210761399998</v>
      </c>
      <c r="BI42" s="17">
        <f t="shared" si="147"/>
        <v>52.346305385199997</v>
      </c>
      <c r="BJ42" s="17">
        <f t="shared" si="148"/>
        <v>53.930962071300002</v>
      </c>
      <c r="BK42" s="17">
        <f t="shared" si="60"/>
        <v>55.563590372500002</v>
      </c>
      <c r="BL42" s="17">
        <f t="shared" si="61"/>
        <v>57.245642512400003</v>
      </c>
      <c r="BM42" s="17">
        <f t="shared" si="62"/>
        <v>58.978614677099998</v>
      </c>
      <c r="BN42" s="17">
        <f t="shared" si="63"/>
        <v>60.764048346099997</v>
      </c>
      <c r="BO42" s="17">
        <f t="shared" si="64"/>
        <v>62.6035316635</v>
      </c>
      <c r="BP42" s="17">
        <f t="shared" si="65"/>
        <v>64.498700850600002</v>
      </c>
      <c r="BQ42" s="17">
        <f t="shared" si="66"/>
        <v>66.451241661200001</v>
      </c>
      <c r="BR42" s="17">
        <f t="shared" si="67"/>
        <v>68.462890881199996</v>
      </c>
      <c r="BS42" s="17">
        <f t="shared" si="68"/>
        <v>70.535437873500001</v>
      </c>
      <c r="BT42" s="17">
        <f t="shared" si="69"/>
        <v>72.670726169600002</v>
      </c>
      <c r="BU42" s="17">
        <f t="shared" si="70"/>
        <v>74.870655109400005</v>
      </c>
      <c r="BV42" s="17">
        <f t="shared" si="71"/>
        <v>77.137181530700005</v>
      </c>
      <c r="BW42" s="17">
        <f t="shared" si="72"/>
        <v>79.472321509699995</v>
      </c>
      <c r="BX42" s="17">
        <f t="shared" si="73"/>
        <v>81.8781521545</v>
      </c>
      <c r="BY42" s="17">
        <f t="shared" si="74"/>
        <v>84.356813452599994</v>
      </c>
      <c r="BZ42" s="17">
        <f t="shared" si="75"/>
        <v>86.910510174300001</v>
      </c>
      <c r="CA42" s="17">
        <f t="shared" si="76"/>
        <v>89.541513834</v>
      </c>
      <c r="CB42" s="17">
        <f t="shared" si="77"/>
        <v>92.252164710599999</v>
      </c>
      <c r="CC42" s="17">
        <f t="shared" si="78"/>
        <v>95.044873929299996</v>
      </c>
      <c r="CD42" s="17">
        <f t="shared" si="79"/>
        <v>97.922125606199998</v>
      </c>
      <c r="CE42" s="17">
        <f t="shared" si="80"/>
        <v>100.88647905800001</v>
      </c>
      <c r="CF42" s="17">
        <f t="shared" si="81"/>
        <v>103.9405710784</v>
      </c>
      <c r="CG42" s="17">
        <f t="shared" si="82"/>
        <v>107.08711828369999</v>
      </c>
      <c r="CH42" s="17">
        <f t="shared" si="83"/>
        <v>110.328919529</v>
      </c>
      <c r="CI42" s="17">
        <f t="shared" si="84"/>
        <v>113.6688583979</v>
      </c>
      <c r="CJ42" s="17">
        <f t="shared" si="85"/>
        <v>117.1099057676</v>
      </c>
      <c r="CK42" s="17">
        <f t="shared" si="86"/>
        <v>120.6551224513</v>
      </c>
      <c r="CL42" s="17">
        <f t="shared" si="87"/>
        <v>124.3076619208</v>
      </c>
      <c r="CM42" s="17">
        <f t="shared" si="88"/>
        <v>128.07077311169999</v>
      </c>
      <c r="CN42" s="17">
        <f t="shared" si="89"/>
        <v>131.94780331300001</v>
      </c>
      <c r="CO42" s="17">
        <f t="shared" si="90"/>
        <v>135.94220114480001</v>
      </c>
      <c r="CP42" s="17">
        <f t="shared" si="91"/>
        <v>140.05751962580001</v>
      </c>
      <c r="CQ42" s="17">
        <f t="shared" si="92"/>
        <v>144.29741933369999</v>
      </c>
      <c r="CR42" s="17">
        <f t="shared" si="93"/>
        <v>148.66567166120001</v>
      </c>
      <c r="CS42" s="17">
        <f t="shared" si="94"/>
        <v>153.16616217059999</v>
      </c>
      <c r="CT42" s="17">
        <f t="shared" si="95"/>
        <v>157.80289405030001</v>
      </c>
      <c r="CU42" s="17">
        <f t="shared" si="96"/>
        <v>162.57999167540001</v>
      </c>
      <c r="CV42" s="17">
        <f t="shared" si="97"/>
        <v>167.50170427640001</v>
      </c>
      <c r="CW42" s="17">
        <f t="shared" si="98"/>
        <v>172.57240971889999</v>
      </c>
      <c r="CX42" s="17">
        <f t="shared" si="99"/>
        <v>177.7966183977</v>
      </c>
      <c r="CY42" s="17">
        <f t="shared" si="100"/>
        <v>183.17897724869999</v>
      </c>
      <c r="CZ42" s="17">
        <f t="shared" si="101"/>
        <v>188.72427388259999</v>
      </c>
      <c r="DA42" s="17">
        <f t="shared" si="102"/>
        <v>194.43744084319999</v>
      </c>
      <c r="DB42" s="17">
        <f t="shared" si="103"/>
        <v>200.3235599951</v>
      </c>
    </row>
    <row r="43" spans="1:106" x14ac:dyDescent="0.2">
      <c r="A43">
        <f t="shared" si="7"/>
        <v>1.4683973016669308E+28</v>
      </c>
      <c r="B43" s="71">
        <f t="shared" si="149"/>
        <v>5.791806123085331E-3</v>
      </c>
      <c r="C43" s="71">
        <f t="shared" si="150"/>
        <v>6.1536817532337829E-3</v>
      </c>
      <c r="D43" s="177">
        <f t="shared" si="151"/>
        <v>39</v>
      </c>
      <c r="AR43" s="18">
        <f>IF(AR$3="","",ROUND(AQ42*DownMove,RoundDigits))</f>
        <v>29.702825561299999</v>
      </c>
      <c r="AS43" s="17">
        <f t="shared" si="131"/>
        <v>30.602006139099998</v>
      </c>
      <c r="AT43" s="17">
        <f t="shared" si="132"/>
        <v>31.5284072151</v>
      </c>
      <c r="AU43" s="17">
        <f t="shared" si="133"/>
        <v>32.482852823599998</v>
      </c>
      <c r="AV43" s="17">
        <f t="shared" si="134"/>
        <v>33.4661919443</v>
      </c>
      <c r="AW43" s="17">
        <f t="shared" si="135"/>
        <v>34.479299257800001</v>
      </c>
      <c r="AX43" s="17">
        <f t="shared" si="136"/>
        <v>35.523075923599997</v>
      </c>
      <c r="AY43" s="17">
        <f t="shared" si="137"/>
        <v>36.598450381399999</v>
      </c>
      <c r="AZ43" s="17">
        <f t="shared" si="138"/>
        <v>37.706379177300001</v>
      </c>
      <c r="BA43" s="17">
        <f t="shared" si="139"/>
        <v>38.8478478145</v>
      </c>
      <c r="BB43" s="17">
        <f t="shared" si="140"/>
        <v>40.0238716299</v>
      </c>
      <c r="BC43" s="17">
        <f t="shared" si="141"/>
        <v>41.235496697099997</v>
      </c>
      <c r="BD43" s="17">
        <f t="shared" si="142"/>
        <v>42.483800757200001</v>
      </c>
      <c r="BE43" s="17">
        <f t="shared" si="143"/>
        <v>43.769894177300003</v>
      </c>
      <c r="BF43" s="17">
        <f t="shared" si="144"/>
        <v>45.094920938000001</v>
      </c>
      <c r="BG43" s="17">
        <f t="shared" si="145"/>
        <v>46.460059651199998</v>
      </c>
      <c r="BH43" s="17">
        <f t="shared" si="146"/>
        <v>47.866524608399999</v>
      </c>
      <c r="BI43" s="17">
        <f t="shared" si="147"/>
        <v>49.315566860799997</v>
      </c>
      <c r="BJ43" s="17">
        <f t="shared" si="148"/>
        <v>50.808475332199997</v>
      </c>
      <c r="BK43" s="17">
        <f t="shared" si="60"/>
        <v>52.3465779653</v>
      </c>
      <c r="BL43" s="17">
        <f t="shared" si="61"/>
        <v>53.931242903099999</v>
      </c>
      <c r="BM43" s="17">
        <f t="shared" si="62"/>
        <v>55.563879705799998</v>
      </c>
      <c r="BN43" s="17">
        <f t="shared" si="63"/>
        <v>57.245940604499999</v>
      </c>
      <c r="BO43" s="17">
        <f t="shared" si="64"/>
        <v>58.978921793200001</v>
      </c>
      <c r="BP43" s="17">
        <f t="shared" si="65"/>
        <v>60.764364759400003</v>
      </c>
      <c r="BQ43" s="17">
        <f t="shared" si="66"/>
        <v>62.603857655500001</v>
      </c>
      <c r="BR43" s="17">
        <f t="shared" si="67"/>
        <v>64.499036711200006</v>
      </c>
      <c r="BS43" s="17">
        <f t="shared" si="68"/>
        <v>66.451587689099995</v>
      </c>
      <c r="BT43" s="17">
        <f t="shared" si="69"/>
        <v>68.463247384200002</v>
      </c>
      <c r="BU43" s="17">
        <f t="shared" si="70"/>
        <v>70.535805168799996</v>
      </c>
      <c r="BV43" s="17">
        <f t="shared" si="71"/>
        <v>72.671104583900004</v>
      </c>
      <c r="BW43" s="17">
        <f t="shared" si="72"/>
        <v>74.871044979299995</v>
      </c>
      <c r="BX43" s="17">
        <f t="shared" si="73"/>
        <v>77.137583202900004</v>
      </c>
      <c r="BY43" s="17">
        <f t="shared" si="74"/>
        <v>79.4727353416</v>
      </c>
      <c r="BZ43" s="17">
        <f t="shared" si="75"/>
        <v>81.878578514200001</v>
      </c>
      <c r="CA43" s="17">
        <f t="shared" si="76"/>
        <v>84.357252719300007</v>
      </c>
      <c r="CB43" s="17">
        <f t="shared" si="77"/>
        <v>86.910962738699993</v>
      </c>
      <c r="CC43" s="17">
        <f t="shared" si="78"/>
        <v>89.541980098699995</v>
      </c>
      <c r="CD43" s="17">
        <f t="shared" si="79"/>
        <v>92.252645090300007</v>
      </c>
      <c r="CE43" s="17">
        <f t="shared" si="80"/>
        <v>95.045368851299997</v>
      </c>
      <c r="CF43" s="17">
        <f t="shared" si="81"/>
        <v>97.922635510800006</v>
      </c>
      <c r="CG43" s="17">
        <f t="shared" si="82"/>
        <v>100.8870043987</v>
      </c>
      <c r="CH43" s="17">
        <f t="shared" si="83"/>
        <v>103.9411123225</v>
      </c>
      <c r="CI43" s="17">
        <f t="shared" si="84"/>
        <v>107.08767591260001</v>
      </c>
      <c r="CJ43" s="17">
        <f t="shared" si="85"/>
        <v>110.32949403870001</v>
      </c>
      <c r="CK43" s="17">
        <f t="shared" si="86"/>
        <v>113.6694502995</v>
      </c>
      <c r="CL43" s="17">
        <f t="shared" si="87"/>
        <v>117.11051558760001</v>
      </c>
      <c r="CM43" s="17">
        <f t="shared" si="88"/>
        <v>120.6557507321</v>
      </c>
      <c r="CN43" s="17">
        <f t="shared" si="89"/>
        <v>124.30830922129999</v>
      </c>
      <c r="CO43" s="17">
        <f t="shared" si="90"/>
        <v>128.07144000759999</v>
      </c>
      <c r="CP43" s="17">
        <f t="shared" si="91"/>
        <v>131.9484903975</v>
      </c>
      <c r="CQ43" s="17">
        <f t="shared" si="92"/>
        <v>135.94290902910001</v>
      </c>
      <c r="CR43" s="17">
        <f t="shared" si="93"/>
        <v>140.05824893959999</v>
      </c>
      <c r="CS43" s="17">
        <f t="shared" si="94"/>
        <v>144.2981707257</v>
      </c>
      <c r="CT43" s="17">
        <f t="shared" si="95"/>
        <v>148.6664457997</v>
      </c>
      <c r="CU43" s="17">
        <f t="shared" si="96"/>
        <v>153.16695974429999</v>
      </c>
      <c r="CV43" s="17">
        <f t="shared" si="97"/>
        <v>157.8037157686</v>
      </c>
      <c r="CW43" s="17">
        <f t="shared" si="98"/>
        <v>162.58083826929999</v>
      </c>
      <c r="CX43" s="17">
        <f t="shared" si="99"/>
        <v>167.5025764989</v>
      </c>
      <c r="CY43" s="17">
        <f t="shared" si="100"/>
        <v>172.5733083458</v>
      </c>
      <c r="CZ43" s="17">
        <f t="shared" si="101"/>
        <v>177.79754422830001</v>
      </c>
      <c r="DA43" s="17">
        <f t="shared" si="102"/>
        <v>183.17993110660001</v>
      </c>
      <c r="DB43" s="17">
        <f t="shared" si="103"/>
        <v>188.7252566162</v>
      </c>
    </row>
    <row r="44" spans="1:106" x14ac:dyDescent="0.2">
      <c r="A44">
        <f t="shared" si="7"/>
        <v>2.276015817583745E+28</v>
      </c>
      <c r="B44" s="71">
        <f t="shared" si="149"/>
        <v>8.9772994907822718E-3</v>
      </c>
      <c r="C44" s="71">
        <f t="shared" si="150"/>
        <v>9.4877787539340615E-3</v>
      </c>
      <c r="D44" s="177">
        <f t="shared" si="151"/>
        <v>40</v>
      </c>
      <c r="AS44" s="18">
        <f>IF(AS$3="","",ROUND(AR43*DownMove,RoundDigits))</f>
        <v>28.8302157856</v>
      </c>
      <c r="AT44" s="17">
        <f t="shared" si="132"/>
        <v>29.7029802313</v>
      </c>
      <c r="AU44" s="17">
        <f t="shared" si="133"/>
        <v>30.602165491299999</v>
      </c>
      <c r="AV44" s="17">
        <f t="shared" si="134"/>
        <v>31.528571391300002</v>
      </c>
      <c r="AW44" s="17">
        <f t="shared" si="135"/>
        <v>32.483021969799999</v>
      </c>
      <c r="AX44" s="17">
        <f t="shared" si="136"/>
        <v>33.466366211</v>
      </c>
      <c r="AY44" s="17">
        <f t="shared" si="137"/>
        <v>34.479478800000003</v>
      </c>
      <c r="AZ44" s="17">
        <f t="shared" si="138"/>
        <v>35.523260901</v>
      </c>
      <c r="BA44" s="17">
        <f t="shared" si="139"/>
        <v>36.598640958600001</v>
      </c>
      <c r="BB44" s="17">
        <f t="shared" si="140"/>
        <v>37.706575523799998</v>
      </c>
      <c r="BC44" s="17">
        <f t="shared" si="141"/>
        <v>38.848050104899997</v>
      </c>
      <c r="BD44" s="17">
        <f t="shared" si="142"/>
        <v>40.024080044100003</v>
      </c>
      <c r="BE44" s="17">
        <f t="shared" si="143"/>
        <v>41.235711420599998</v>
      </c>
      <c r="BF44" s="17">
        <f t="shared" si="144"/>
        <v>42.484021980999998</v>
      </c>
      <c r="BG44" s="17">
        <f t="shared" si="145"/>
        <v>43.770122098100003</v>
      </c>
      <c r="BH44" s="17">
        <f t="shared" si="146"/>
        <v>45.095155758499999</v>
      </c>
      <c r="BI44" s="17">
        <f t="shared" si="147"/>
        <v>46.460301580299998</v>
      </c>
      <c r="BJ44" s="17">
        <f t="shared" si="148"/>
        <v>47.866773861299997</v>
      </c>
      <c r="BK44" s="17">
        <f t="shared" si="60"/>
        <v>49.315823659199999</v>
      </c>
      <c r="BL44" s="17">
        <f t="shared" si="61"/>
        <v>50.808739904500001</v>
      </c>
      <c r="BM44" s="17">
        <f t="shared" si="62"/>
        <v>52.346850546900001</v>
      </c>
      <c r="BN44" s="17">
        <f t="shared" si="63"/>
        <v>53.931523736400003</v>
      </c>
      <c r="BO44" s="17">
        <f t="shared" si="64"/>
        <v>55.5641690406</v>
      </c>
      <c r="BP44" s="17">
        <f t="shared" si="65"/>
        <v>57.246238698200003</v>
      </c>
      <c r="BQ44" s="17">
        <f t="shared" si="66"/>
        <v>58.979228911</v>
      </c>
      <c r="BR44" s="17">
        <f t="shared" si="67"/>
        <v>60.764681174499998</v>
      </c>
      <c r="BS44" s="17">
        <f t="shared" si="68"/>
        <v>62.604183649299998</v>
      </c>
      <c r="BT44" s="17">
        <f t="shared" si="69"/>
        <v>64.499372573700001</v>
      </c>
      <c r="BU44" s="17">
        <f t="shared" si="70"/>
        <v>66.451933718999996</v>
      </c>
      <c r="BV44" s="17">
        <f t="shared" si="71"/>
        <v>68.463603889300003</v>
      </c>
      <c r="BW44" s="17">
        <f t="shared" si="72"/>
        <v>70.5361724662</v>
      </c>
      <c r="BX44" s="17">
        <f t="shared" si="73"/>
        <v>72.6714830003</v>
      </c>
      <c r="BY44" s="17">
        <f t="shared" si="74"/>
        <v>74.871434851299995</v>
      </c>
      <c r="BZ44" s="17">
        <f t="shared" si="75"/>
        <v>77.137984877299999</v>
      </c>
      <c r="CA44" s="17">
        <f t="shared" si="76"/>
        <v>79.473149175700001</v>
      </c>
      <c r="CB44" s="17">
        <f t="shared" si="77"/>
        <v>81.879004876099998</v>
      </c>
      <c r="CC44" s="17">
        <f t="shared" si="78"/>
        <v>84.357691988300004</v>
      </c>
      <c r="CD44" s="17">
        <f t="shared" si="79"/>
        <v>86.9114153055</v>
      </c>
      <c r="CE44" s="17">
        <f t="shared" si="80"/>
        <v>89.542446365800004</v>
      </c>
      <c r="CF44" s="17">
        <f t="shared" si="81"/>
        <v>92.253125472500003</v>
      </c>
      <c r="CG44" s="17">
        <f t="shared" si="82"/>
        <v>95.045863775900003</v>
      </c>
      <c r="CH44" s="17">
        <f t="shared" si="83"/>
        <v>97.923145418000004</v>
      </c>
      <c r="CI44" s="17">
        <f t="shared" si="84"/>
        <v>100.8875297421</v>
      </c>
      <c r="CJ44" s="17">
        <f t="shared" si="85"/>
        <v>103.9416535694</v>
      </c>
      <c r="CK44" s="17">
        <f t="shared" si="86"/>
        <v>107.0882335444</v>
      </c>
      <c r="CL44" s="17">
        <f t="shared" si="87"/>
        <v>110.3300685514</v>
      </c>
      <c r="CM44" s="17">
        <f t="shared" si="88"/>
        <v>113.6700422042</v>
      </c>
      <c r="CN44" s="17">
        <f t="shared" si="89"/>
        <v>117.1111254108</v>
      </c>
      <c r="CO44" s="17">
        <f t="shared" si="90"/>
        <v>120.65637901620001</v>
      </c>
      <c r="CP44" s="17">
        <f t="shared" si="91"/>
        <v>124.3089565252</v>
      </c>
      <c r="CQ44" s="17">
        <f t="shared" si="92"/>
        <v>128.07210690700001</v>
      </c>
      <c r="CR44" s="17">
        <f t="shared" si="93"/>
        <v>131.94917748570001</v>
      </c>
      <c r="CS44" s="17">
        <f t="shared" si="94"/>
        <v>135.94361691719999</v>
      </c>
      <c r="CT44" s="17">
        <f t="shared" si="95"/>
        <v>140.0589782573</v>
      </c>
      <c r="CU44" s="17">
        <f t="shared" si="96"/>
        <v>144.2989221217</v>
      </c>
      <c r="CV44" s="17">
        <f t="shared" si="97"/>
        <v>148.66721994240001</v>
      </c>
      <c r="CW44" s="17">
        <f t="shared" si="98"/>
        <v>153.16775732229999</v>
      </c>
      <c r="CX44" s="17">
        <f t="shared" si="99"/>
        <v>157.8045374914</v>
      </c>
      <c r="CY44" s="17">
        <f t="shared" si="100"/>
        <v>162.58168486770001</v>
      </c>
      <c r="CZ44" s="17">
        <f t="shared" si="101"/>
        <v>167.50344872599999</v>
      </c>
      <c r="DA44" s="17">
        <f t="shared" si="102"/>
        <v>172.57420697750001</v>
      </c>
      <c r="DB44" s="17">
        <f t="shared" si="103"/>
        <v>177.7984700639</v>
      </c>
    </row>
    <row r="45" spans="1:106" x14ac:dyDescent="0.2">
      <c r="A45">
        <f t="shared" si="7"/>
        <v>3.3862674359172785E+28</v>
      </c>
      <c r="B45" s="71">
        <f t="shared" si="149"/>
        <v>1.3356469974090695E-2</v>
      </c>
      <c r="C45" s="71">
        <f t="shared" si="150"/>
        <v>1.4041333205129321E-2</v>
      </c>
      <c r="D45" s="177">
        <f t="shared" si="151"/>
        <v>41</v>
      </c>
      <c r="AT45" s="18">
        <f>IF(AT$3="","",ROUND(AS44*DownMove,RoundDigits))</f>
        <v>27.9832415447</v>
      </c>
      <c r="AU45" s="17">
        <f t="shared" si="133"/>
        <v>28.8303659117</v>
      </c>
      <c r="AV45" s="17">
        <f t="shared" si="134"/>
        <v>29.7031349021</v>
      </c>
      <c r="AW45" s="17">
        <f t="shared" si="135"/>
        <v>30.602324844399998</v>
      </c>
      <c r="AX45" s="17">
        <f t="shared" si="136"/>
        <v>31.5287355685</v>
      </c>
      <c r="AY45" s="17">
        <f t="shared" si="137"/>
        <v>32.483191117099999</v>
      </c>
      <c r="AZ45" s="17">
        <f t="shared" si="138"/>
        <v>33.466540478799999</v>
      </c>
      <c r="BA45" s="17">
        <f t="shared" si="139"/>
        <v>34.479658343399997</v>
      </c>
      <c r="BB45" s="17">
        <f t="shared" si="140"/>
        <v>35.523445879599997</v>
      </c>
      <c r="BC45" s="17">
        <f t="shared" si="141"/>
        <v>36.598831536900001</v>
      </c>
      <c r="BD45" s="17">
        <f t="shared" si="142"/>
        <v>37.706771871400001</v>
      </c>
      <c r="BE45" s="17">
        <f t="shared" si="143"/>
        <v>38.848252396500001</v>
      </c>
      <c r="BF45" s="17">
        <f t="shared" si="144"/>
        <v>40.024288459600001</v>
      </c>
      <c r="BG45" s="17">
        <f t="shared" si="145"/>
        <v>41.235926145299999</v>
      </c>
      <c r="BH45" s="17">
        <f t="shared" si="146"/>
        <v>42.4842432059</v>
      </c>
      <c r="BI45" s="17">
        <f t="shared" si="147"/>
        <v>43.770350020000002</v>
      </c>
      <c r="BJ45" s="17">
        <f t="shared" si="148"/>
        <v>45.095390580199997</v>
      </c>
      <c r="BK45" s="17">
        <f t="shared" si="60"/>
        <v>46.460543510599997</v>
      </c>
      <c r="BL45" s="17">
        <f t="shared" si="61"/>
        <v>47.867023115400002</v>
      </c>
      <c r="BM45" s="17">
        <f t="shared" si="62"/>
        <v>49.316080458899997</v>
      </c>
      <c r="BN45" s="17">
        <f t="shared" si="63"/>
        <v>50.809004478200002</v>
      </c>
      <c r="BO45" s="17">
        <f t="shared" si="64"/>
        <v>52.347123129899998</v>
      </c>
      <c r="BP45" s="17">
        <f t="shared" si="65"/>
        <v>53.931804571199997</v>
      </c>
      <c r="BQ45" s="17">
        <f t="shared" si="66"/>
        <v>55.564458377000001</v>
      </c>
      <c r="BR45" s="17">
        <f t="shared" si="67"/>
        <v>57.246536793600001</v>
      </c>
      <c r="BS45" s="17">
        <f t="shared" si="68"/>
        <v>58.9795360305</v>
      </c>
      <c r="BT45" s="17">
        <f t="shared" si="69"/>
        <v>60.764997591300002</v>
      </c>
      <c r="BU45" s="17">
        <f t="shared" si="70"/>
        <v>62.604509644799997</v>
      </c>
      <c r="BV45" s="17">
        <f t="shared" si="71"/>
        <v>64.499708437899997</v>
      </c>
      <c r="BW45" s="17">
        <f t="shared" si="72"/>
        <v>66.452279750700001</v>
      </c>
      <c r="BX45" s="17">
        <f t="shared" si="73"/>
        <v>68.463960396299996</v>
      </c>
      <c r="BY45" s="17">
        <f t="shared" si="74"/>
        <v>70.536539765599997</v>
      </c>
      <c r="BZ45" s="17">
        <f t="shared" si="75"/>
        <v>72.671861418800006</v>
      </c>
      <c r="CA45" s="17">
        <f t="shared" si="76"/>
        <v>74.871824725500005</v>
      </c>
      <c r="CB45" s="17">
        <f t="shared" si="77"/>
        <v>77.138386553999993</v>
      </c>
      <c r="CC45" s="17">
        <f t="shared" si="78"/>
        <v>79.473563012200003</v>
      </c>
      <c r="CD45" s="17">
        <f t="shared" si="79"/>
        <v>81.879431240499997</v>
      </c>
      <c r="CE45" s="17">
        <f t="shared" si="80"/>
        <v>84.358131259800004</v>
      </c>
      <c r="CF45" s="17">
        <f t="shared" si="81"/>
        <v>86.911867874899997</v>
      </c>
      <c r="CG45" s="17">
        <f t="shared" si="82"/>
        <v>89.542912635600004</v>
      </c>
      <c r="CH45" s="17">
        <f t="shared" si="83"/>
        <v>92.253605857500006</v>
      </c>
      <c r="CI45" s="17">
        <f t="shared" si="84"/>
        <v>95.046358703400003</v>
      </c>
      <c r="CJ45" s="17">
        <f t="shared" si="85"/>
        <v>97.923655328199999</v>
      </c>
      <c r="CK45" s="17">
        <f t="shared" si="86"/>
        <v>100.8880550886</v>
      </c>
      <c r="CL45" s="17">
        <f t="shared" si="87"/>
        <v>103.9421948195</v>
      </c>
      <c r="CM45" s="17">
        <f t="shared" si="88"/>
        <v>107.08879117959999</v>
      </c>
      <c r="CN45" s="17">
        <f t="shared" si="89"/>
        <v>110.3306430677</v>
      </c>
      <c r="CO45" s="17">
        <f t="shared" si="90"/>
        <v>113.6706341126</v>
      </c>
      <c r="CP45" s="17">
        <f t="shared" si="91"/>
        <v>117.1117352377</v>
      </c>
      <c r="CQ45" s="17">
        <f t="shared" si="92"/>
        <v>120.65700730410001</v>
      </c>
      <c r="CR45" s="17">
        <f t="shared" si="93"/>
        <v>124.3096038329</v>
      </c>
      <c r="CS45" s="17">
        <f t="shared" si="94"/>
        <v>128.07277381040001</v>
      </c>
      <c r="CT45" s="17">
        <f t="shared" si="95"/>
        <v>131.94986457799999</v>
      </c>
      <c r="CU45" s="17">
        <f t="shared" si="96"/>
        <v>135.9443248096</v>
      </c>
      <c r="CV45" s="17">
        <f t="shared" si="97"/>
        <v>140.0597075794</v>
      </c>
      <c r="CW45" s="17">
        <f t="shared" si="98"/>
        <v>144.29967352220001</v>
      </c>
      <c r="CX45" s="17">
        <f t="shared" si="99"/>
        <v>148.66799408969999</v>
      </c>
      <c r="CY45" s="17">
        <f t="shared" si="100"/>
        <v>153.16855490500001</v>
      </c>
      <c r="CZ45" s="17">
        <f t="shared" si="101"/>
        <v>157.80535921890001</v>
      </c>
      <c r="DA45" s="17">
        <f t="shared" si="102"/>
        <v>162.58253147100001</v>
      </c>
      <c r="DB45" s="17">
        <f t="shared" si="103"/>
        <v>167.5043209582</v>
      </c>
    </row>
    <row r="46" spans="1:106" x14ac:dyDescent="0.2">
      <c r="A46">
        <f t="shared" si="7"/>
        <v>4.8375249084532529E+28</v>
      </c>
      <c r="B46" s="71">
        <f t="shared" si="149"/>
        <v>1.9080671391558127E-2</v>
      </c>
      <c r="C46" s="71">
        <f t="shared" si="150"/>
        <v>1.995299637793067E-2</v>
      </c>
      <c r="D46" s="177">
        <f t="shared" si="151"/>
        <v>42</v>
      </c>
      <c r="AU46" s="18">
        <f>IF(AU$3="","",ROUND(AT45*DownMove,RoundDigits))</f>
        <v>27.161149717800001</v>
      </c>
      <c r="AV46" s="17">
        <f t="shared" si="134"/>
        <v>27.983387260400001</v>
      </c>
      <c r="AW46" s="17">
        <f t="shared" si="135"/>
        <v>28.830516038500001</v>
      </c>
      <c r="AX46" s="17">
        <f t="shared" si="136"/>
        <v>29.703289573700001</v>
      </c>
      <c r="AY46" s="17">
        <f t="shared" si="137"/>
        <v>30.602484198300001</v>
      </c>
      <c r="AZ46" s="17">
        <f t="shared" si="138"/>
        <v>31.5288997464</v>
      </c>
      <c r="BA46" s="17">
        <f t="shared" si="139"/>
        <v>32.483360265100004</v>
      </c>
      <c r="BB46" s="17">
        <f t="shared" si="140"/>
        <v>33.466714747399998</v>
      </c>
      <c r="BC46" s="17">
        <f t="shared" si="141"/>
        <v>34.479837887499997</v>
      </c>
      <c r="BD46" s="17">
        <f t="shared" si="142"/>
        <v>35.523630859000001</v>
      </c>
      <c r="BE46" s="17">
        <f t="shared" si="143"/>
        <v>36.599022116100002</v>
      </c>
      <c r="BF46" s="17">
        <f t="shared" si="144"/>
        <v>37.706968219899998</v>
      </c>
      <c r="BG46" s="17">
        <f t="shared" si="145"/>
        <v>38.848454688899999</v>
      </c>
      <c r="BH46" s="17">
        <f t="shared" si="146"/>
        <v>40.024496875899999</v>
      </c>
      <c r="BI46" s="17">
        <f t="shared" si="147"/>
        <v>41.236140870900002</v>
      </c>
      <c r="BJ46" s="17">
        <f t="shared" si="148"/>
        <v>42.484464431799999</v>
      </c>
      <c r="BK46" s="17">
        <f t="shared" si="60"/>
        <v>43.770577942999999</v>
      </c>
      <c r="BL46" s="17">
        <f t="shared" si="61"/>
        <v>45.095625403</v>
      </c>
      <c r="BM46" s="17">
        <f t="shared" si="62"/>
        <v>46.460785442099997</v>
      </c>
      <c r="BN46" s="17">
        <f t="shared" si="63"/>
        <v>47.867272370800002</v>
      </c>
      <c r="BO46" s="17">
        <f t="shared" si="64"/>
        <v>49.316337259900003</v>
      </c>
      <c r="BP46" s="17">
        <f t="shared" si="65"/>
        <v>50.809269053199998</v>
      </c>
      <c r="BQ46" s="17">
        <f t="shared" si="66"/>
        <v>52.347395714199997</v>
      </c>
      <c r="BR46" s="17">
        <f t="shared" si="67"/>
        <v>53.932085407300001</v>
      </c>
      <c r="BS46" s="17">
        <f t="shared" si="68"/>
        <v>55.564747714699998</v>
      </c>
      <c r="BT46" s="17">
        <f t="shared" si="69"/>
        <v>57.246834890300001</v>
      </c>
      <c r="BU46" s="17">
        <f t="shared" si="70"/>
        <v>58.979843151300003</v>
      </c>
      <c r="BV46" s="17">
        <f t="shared" si="71"/>
        <v>60.765314009400001</v>
      </c>
      <c r="BW46" s="17">
        <f t="shared" si="72"/>
        <v>62.604835641699999</v>
      </c>
      <c r="BX46" s="17">
        <f t="shared" si="73"/>
        <v>64.500044303500005</v>
      </c>
      <c r="BY46" s="17">
        <f t="shared" si="74"/>
        <v>66.452625783800002</v>
      </c>
      <c r="BZ46" s="17">
        <f t="shared" si="75"/>
        <v>68.464316904699999</v>
      </c>
      <c r="CA46" s="17">
        <f t="shared" si="76"/>
        <v>70.536907066400005</v>
      </c>
      <c r="CB46" s="17">
        <f t="shared" si="77"/>
        <v>72.672239838699994</v>
      </c>
      <c r="CC46" s="17">
        <f t="shared" si="78"/>
        <v>74.872214601099998</v>
      </c>
      <c r="CD46" s="17">
        <f t="shared" si="79"/>
        <v>77.1387882322</v>
      </c>
      <c r="CE46" s="17">
        <f t="shared" si="80"/>
        <v>79.473976850200003</v>
      </c>
      <c r="CF46" s="17">
        <f t="shared" si="81"/>
        <v>81.879857606399995</v>
      </c>
      <c r="CG46" s="17">
        <f t="shared" si="82"/>
        <v>84.358570532900004</v>
      </c>
      <c r="CH46" s="17">
        <f t="shared" si="83"/>
        <v>86.912320445899994</v>
      </c>
      <c r="CI46" s="17">
        <f t="shared" si="84"/>
        <v>89.543378907100006</v>
      </c>
      <c r="CJ46" s="17">
        <f t="shared" si="85"/>
        <v>92.254086244199996</v>
      </c>
      <c r="CK46" s="17">
        <f t="shared" si="86"/>
        <v>95.046853632700007</v>
      </c>
      <c r="CL46" s="17">
        <f t="shared" si="87"/>
        <v>97.924165240299999</v>
      </c>
      <c r="CM46" s="17">
        <f t="shared" si="88"/>
        <v>100.888580437</v>
      </c>
      <c r="CN46" s="17">
        <f t="shared" si="89"/>
        <v>103.94273607149999</v>
      </c>
      <c r="CO46" s="17">
        <f t="shared" si="90"/>
        <v>107.08934881659999</v>
      </c>
      <c r="CP46" s="17">
        <f t="shared" si="91"/>
        <v>110.3312175858</v>
      </c>
      <c r="CQ46" s="17">
        <f t="shared" si="92"/>
        <v>113.6712260228</v>
      </c>
      <c r="CR46" s="17">
        <f t="shared" si="93"/>
        <v>117.1123450666</v>
      </c>
      <c r="CS46" s="17">
        <f t="shared" si="94"/>
        <v>120.6576355941</v>
      </c>
      <c r="CT46" s="17">
        <f t="shared" si="95"/>
        <v>124.3102511429</v>
      </c>
      <c r="CU46" s="17">
        <f t="shared" si="96"/>
        <v>128.07344071610001</v>
      </c>
      <c r="CV46" s="17">
        <f t="shared" si="97"/>
        <v>131.9505516726</v>
      </c>
      <c r="CW46" s="17">
        <f t="shared" si="98"/>
        <v>135.94503270429999</v>
      </c>
      <c r="CX46" s="17">
        <f t="shared" si="99"/>
        <v>140.06043690390001</v>
      </c>
      <c r="CY46" s="17">
        <f t="shared" si="100"/>
        <v>144.30042492530001</v>
      </c>
      <c r="CZ46" s="17">
        <f t="shared" si="101"/>
        <v>148.6687682397</v>
      </c>
      <c r="DA46" s="17">
        <f t="shared" si="102"/>
        <v>153.16935249049999</v>
      </c>
      <c r="DB46" s="17">
        <f t="shared" si="103"/>
        <v>157.80618094939999</v>
      </c>
    </row>
    <row r="47" spans="1:106" x14ac:dyDescent="0.2">
      <c r="A47">
        <f t="shared" si="7"/>
        <v>6.63753417671493E+28</v>
      </c>
      <c r="B47" s="71">
        <f t="shared" si="149"/>
        <v>2.6180456095393715E-2</v>
      </c>
      <c r="C47" s="71">
        <f t="shared" si="150"/>
        <v>2.723262451979681E-2</v>
      </c>
      <c r="D47" s="177">
        <f t="shared" si="151"/>
        <v>43</v>
      </c>
      <c r="AV47" s="18">
        <f>IF(AV$3="","",ROUND(AU46*DownMove,RoundDigits))</f>
        <v>26.363209309199998</v>
      </c>
      <c r="AW47" s="17">
        <f t="shared" si="135"/>
        <v>27.1612911526</v>
      </c>
      <c r="AX47" s="17">
        <f t="shared" si="136"/>
        <v>27.983532976799999</v>
      </c>
      <c r="AY47" s="17">
        <f t="shared" si="137"/>
        <v>28.8306661662</v>
      </c>
      <c r="AZ47" s="17">
        <f t="shared" si="138"/>
        <v>29.703444246099998</v>
      </c>
      <c r="BA47" s="17">
        <f t="shared" si="139"/>
        <v>30.602643553099998</v>
      </c>
      <c r="BB47" s="17">
        <f t="shared" si="140"/>
        <v>31.529063925300001</v>
      </c>
      <c r="BC47" s="17">
        <f t="shared" si="141"/>
        <v>32.483529414099998</v>
      </c>
      <c r="BD47" s="17">
        <f t="shared" si="142"/>
        <v>33.466889016899998</v>
      </c>
      <c r="BE47" s="17">
        <f t="shared" si="143"/>
        <v>34.4800174326</v>
      </c>
      <c r="BF47" s="17">
        <f t="shared" si="144"/>
        <v>35.523815839400001</v>
      </c>
      <c r="BG47" s="17">
        <f t="shared" si="145"/>
        <v>36.599212696400002</v>
      </c>
      <c r="BH47" s="17">
        <f t="shared" si="146"/>
        <v>37.707164569600003</v>
      </c>
      <c r="BI47" s="17">
        <f t="shared" si="147"/>
        <v>38.8486569827</v>
      </c>
      <c r="BJ47" s="17">
        <f t="shared" si="148"/>
        <v>40.024705293700002</v>
      </c>
      <c r="BK47" s="17">
        <f t="shared" si="60"/>
        <v>41.236355598099998</v>
      </c>
      <c r="BL47" s="17">
        <f t="shared" si="61"/>
        <v>42.4846856594</v>
      </c>
      <c r="BM47" s="17">
        <f t="shared" si="62"/>
        <v>43.770805867699998</v>
      </c>
      <c r="BN47" s="17">
        <f t="shared" si="63"/>
        <v>45.095860227599999</v>
      </c>
      <c r="BO47" s="17">
        <f t="shared" si="64"/>
        <v>46.461027375500002</v>
      </c>
      <c r="BP47" s="17">
        <f t="shared" si="65"/>
        <v>47.867521628200002</v>
      </c>
      <c r="BQ47" s="17">
        <f t="shared" si="66"/>
        <v>49.316594062900002</v>
      </c>
      <c r="BR47" s="17">
        <f t="shared" si="67"/>
        <v>50.809533630300002</v>
      </c>
      <c r="BS47" s="17">
        <f t="shared" si="68"/>
        <v>52.347668300800002</v>
      </c>
      <c r="BT47" s="17">
        <f t="shared" si="69"/>
        <v>53.932366245799997</v>
      </c>
      <c r="BU47" s="17">
        <f t="shared" si="70"/>
        <v>55.565037054900003</v>
      </c>
      <c r="BV47" s="17">
        <f t="shared" si="71"/>
        <v>57.247132989500003</v>
      </c>
      <c r="BW47" s="17">
        <f t="shared" si="72"/>
        <v>58.980150274700001</v>
      </c>
      <c r="BX47" s="17">
        <f t="shared" si="73"/>
        <v>60.765630430199998</v>
      </c>
      <c r="BY47" s="17">
        <f t="shared" si="74"/>
        <v>62.605161641400002</v>
      </c>
      <c r="BZ47" s="17">
        <f t="shared" si="75"/>
        <v>64.500380172099995</v>
      </c>
      <c r="CA47" s="17">
        <f t="shared" si="76"/>
        <v>66.452971820000002</v>
      </c>
      <c r="CB47" s="17">
        <f t="shared" si="77"/>
        <v>68.464673416300002</v>
      </c>
      <c r="CC47" s="17">
        <f t="shared" si="78"/>
        <v>70.5372743705</v>
      </c>
      <c r="CD47" s="17">
        <f t="shared" si="79"/>
        <v>72.672618262100002</v>
      </c>
      <c r="CE47" s="17">
        <f t="shared" si="80"/>
        <v>74.8726044804</v>
      </c>
      <c r="CF47" s="17">
        <f t="shared" si="81"/>
        <v>77.139189914100001</v>
      </c>
      <c r="CG47" s="17">
        <f t="shared" si="82"/>
        <v>79.474390692</v>
      </c>
      <c r="CH47" s="17">
        <f t="shared" si="83"/>
        <v>81.880283976300007</v>
      </c>
      <c r="CI47" s="17">
        <f t="shared" si="84"/>
        <v>84.359009810100005</v>
      </c>
      <c r="CJ47" s="17">
        <f t="shared" si="85"/>
        <v>86.912773021199996</v>
      </c>
      <c r="CK47" s="17">
        <f t="shared" si="86"/>
        <v>89.543845183000002</v>
      </c>
      <c r="CL47" s="17">
        <f t="shared" si="87"/>
        <v>92.254566635499998</v>
      </c>
      <c r="CM47" s="17">
        <f t="shared" si="88"/>
        <v>95.047348566599993</v>
      </c>
      <c r="CN47" s="17">
        <f t="shared" si="89"/>
        <v>97.924675157099998</v>
      </c>
      <c r="CO47" s="17">
        <f t="shared" si="90"/>
        <v>100.88910579029999</v>
      </c>
      <c r="CP47" s="17">
        <f t="shared" si="91"/>
        <v>103.9432773286</v>
      </c>
      <c r="CQ47" s="17">
        <f t="shared" si="92"/>
        <v>107.08990645900001</v>
      </c>
      <c r="CR47" s="17">
        <f t="shared" si="93"/>
        <v>110.3317921095</v>
      </c>
      <c r="CS47" s="17">
        <f t="shared" si="94"/>
        <v>113.6718179388</v>
      </c>
      <c r="CT47" s="17">
        <f t="shared" si="95"/>
        <v>117.1129549014</v>
      </c>
      <c r="CU47" s="17">
        <f t="shared" si="96"/>
        <v>120.6582638902</v>
      </c>
      <c r="CV47" s="17">
        <f t="shared" si="97"/>
        <v>124.3108984591</v>
      </c>
      <c r="CW47" s="17">
        <f t="shared" si="98"/>
        <v>128.0741076283</v>
      </c>
      <c r="CX47" s="17">
        <f t="shared" si="99"/>
        <v>131.9512387739</v>
      </c>
      <c r="CY47" s="17">
        <f t="shared" si="100"/>
        <v>135.9457406059</v>
      </c>
      <c r="CZ47" s="17">
        <f t="shared" si="101"/>
        <v>140.0611662355</v>
      </c>
      <c r="DA47" s="17">
        <f t="shared" si="102"/>
        <v>144.30117633559999</v>
      </c>
      <c r="DB47" s="17">
        <f t="shared" si="103"/>
        <v>148.6695423971</v>
      </c>
    </row>
    <row r="48" spans="1:106" x14ac:dyDescent="0.2">
      <c r="A48">
        <f t="shared" si="7"/>
        <v>8.7494768693060485E+28</v>
      </c>
      <c r="B48" s="71">
        <f t="shared" si="149"/>
        <v>3.4510601216655369E-2</v>
      </c>
      <c r="C48" s="71">
        <f t="shared" si="150"/>
        <v>3.5707762168627297E-2</v>
      </c>
      <c r="D48" s="177">
        <f t="shared" si="151"/>
        <v>44</v>
      </c>
      <c r="AW48" s="18">
        <f>IF(AW$3="","",ROUND(AV47*DownMove,RoundDigits))</f>
        <v>25.588710798400001</v>
      </c>
      <c r="AX48" s="17">
        <f t="shared" si="136"/>
        <v>26.363346588999999</v>
      </c>
      <c r="AY48" s="17">
        <f t="shared" si="137"/>
        <v>27.1614325882</v>
      </c>
      <c r="AZ48" s="17">
        <f t="shared" si="138"/>
        <v>27.983678694000002</v>
      </c>
      <c r="BA48" s="17">
        <f t="shared" si="139"/>
        <v>28.830816294600002</v>
      </c>
      <c r="BB48" s="17">
        <f t="shared" si="140"/>
        <v>29.703598919299999</v>
      </c>
      <c r="BC48" s="17">
        <f t="shared" si="141"/>
        <v>30.602802908600001</v>
      </c>
      <c r="BD48" s="17">
        <f t="shared" si="142"/>
        <v>31.5292281049</v>
      </c>
      <c r="BE48" s="17">
        <f t="shared" si="143"/>
        <v>32.483698563799997</v>
      </c>
      <c r="BF48" s="17">
        <f t="shared" si="144"/>
        <v>33.467063287199998</v>
      </c>
      <c r="BG48" s="17">
        <f t="shared" si="145"/>
        <v>34.480196978499997</v>
      </c>
      <c r="BH48" s="17">
        <f t="shared" si="146"/>
        <v>35.524000820600001</v>
      </c>
      <c r="BI48" s="17">
        <f t="shared" si="147"/>
        <v>36.5994032774</v>
      </c>
      <c r="BJ48" s="17">
        <f t="shared" si="148"/>
        <v>37.707360919899997</v>
      </c>
      <c r="BK48" s="17">
        <f t="shared" si="60"/>
        <v>38.848859277000003</v>
      </c>
      <c r="BL48" s="17">
        <f t="shared" si="61"/>
        <v>40.024913711899998</v>
      </c>
      <c r="BM48" s="17">
        <f t="shared" si="62"/>
        <v>41.236570325599999</v>
      </c>
      <c r="BN48" s="17">
        <f t="shared" si="63"/>
        <v>42.484906887199998</v>
      </c>
      <c r="BO48" s="17">
        <f t="shared" si="64"/>
        <v>43.771033792600001</v>
      </c>
      <c r="BP48" s="17">
        <f t="shared" si="65"/>
        <v>45.096095052300001</v>
      </c>
      <c r="BQ48" s="17">
        <f t="shared" si="66"/>
        <v>46.4612693089</v>
      </c>
      <c r="BR48" s="17">
        <f t="shared" si="67"/>
        <v>47.867770885500001</v>
      </c>
      <c r="BS48" s="17">
        <f t="shared" si="68"/>
        <v>49.316850865900001</v>
      </c>
      <c r="BT48" s="17">
        <f t="shared" si="69"/>
        <v>50.8097982074</v>
      </c>
      <c r="BU48" s="17">
        <f t="shared" si="70"/>
        <v>52.347940887299998</v>
      </c>
      <c r="BV48" s="17">
        <f t="shared" si="71"/>
        <v>53.932647084199999</v>
      </c>
      <c r="BW48" s="17">
        <f t="shared" si="72"/>
        <v>55.565326395</v>
      </c>
      <c r="BX48" s="17">
        <f t="shared" si="73"/>
        <v>57.247431088699997</v>
      </c>
      <c r="BY48" s="17">
        <f t="shared" si="74"/>
        <v>58.980457398200002</v>
      </c>
      <c r="BZ48" s="17">
        <f t="shared" si="75"/>
        <v>60.765946851099997</v>
      </c>
      <c r="CA48" s="17">
        <f t="shared" si="76"/>
        <v>62.605487641099998</v>
      </c>
      <c r="CB48" s="17">
        <f t="shared" si="77"/>
        <v>64.500716040599997</v>
      </c>
      <c r="CC48" s="17">
        <f t="shared" si="78"/>
        <v>66.4533178561</v>
      </c>
      <c r="CD48" s="17">
        <f t="shared" si="79"/>
        <v>68.465029927800003</v>
      </c>
      <c r="CE48" s="17">
        <f t="shared" si="80"/>
        <v>70.537641674499994</v>
      </c>
      <c r="CF48" s="17">
        <f t="shared" si="81"/>
        <v>72.672996685300006</v>
      </c>
      <c r="CG48" s="17">
        <f t="shared" si="82"/>
        <v>74.872994359399996</v>
      </c>
      <c r="CH48" s="17">
        <f t="shared" si="83"/>
        <v>77.139591595699997</v>
      </c>
      <c r="CI48" s="17">
        <f t="shared" si="84"/>
        <v>79.474804533599993</v>
      </c>
      <c r="CJ48" s="17">
        <f t="shared" si="85"/>
        <v>81.880710345899999</v>
      </c>
      <c r="CK48" s="17">
        <f t="shared" si="86"/>
        <v>84.359449087000002</v>
      </c>
      <c r="CL48" s="17">
        <f t="shared" si="87"/>
        <v>86.913225596100006</v>
      </c>
      <c r="CM48" s="17">
        <f t="shared" si="88"/>
        <v>89.544311458500005</v>
      </c>
      <c r="CN48" s="17">
        <f t="shared" si="89"/>
        <v>92.255047026400007</v>
      </c>
      <c r="CO48" s="17">
        <f t="shared" si="90"/>
        <v>95.047843500200003</v>
      </c>
      <c r="CP48" s="17">
        <f t="shared" si="91"/>
        <v>97.925185073600005</v>
      </c>
      <c r="CQ48" s="17">
        <f t="shared" si="92"/>
        <v>100.88963114329999</v>
      </c>
      <c r="CR48" s="17">
        <f t="shared" si="93"/>
        <v>103.9438185854</v>
      </c>
      <c r="CS48" s="17">
        <f t="shared" si="94"/>
        <v>107.09046410099999</v>
      </c>
      <c r="CT48" s="17">
        <f t="shared" si="95"/>
        <v>110.3323666327</v>
      </c>
      <c r="CU48" s="17">
        <f t="shared" si="96"/>
        <v>113.6724098543</v>
      </c>
      <c r="CV48" s="17">
        <f t="shared" si="97"/>
        <v>117.1135647357</v>
      </c>
      <c r="CW48" s="17">
        <f t="shared" si="98"/>
        <v>120.6588921857</v>
      </c>
      <c r="CX48" s="17">
        <f t="shared" si="99"/>
        <v>124.31154577469999</v>
      </c>
      <c r="CY48" s="17">
        <f t="shared" si="100"/>
        <v>128.07477453979999</v>
      </c>
      <c r="CZ48" s="17">
        <f t="shared" si="101"/>
        <v>131.95192587459999</v>
      </c>
      <c r="DA48" s="17">
        <f t="shared" si="102"/>
        <v>135.9464485069</v>
      </c>
      <c r="DB48" s="17">
        <f t="shared" si="103"/>
        <v>140.0618955665</v>
      </c>
    </row>
    <row r="49" spans="1:106" x14ac:dyDescent="0.2">
      <c r="A49">
        <f t="shared" si="7"/>
        <v>1.1082670701120991E+29</v>
      </c>
      <c r="B49" s="71">
        <f t="shared" si="149"/>
        <v>4.3713428207763451E-2</v>
      </c>
      <c r="C49" s="71">
        <f t="shared" si="150"/>
        <v>4.4990704496602453E-2</v>
      </c>
      <c r="D49" s="177">
        <f t="shared" si="151"/>
        <v>45</v>
      </c>
      <c r="AX49" s="18">
        <f>IF(AX$3="","",ROUND(AW48*DownMove,RoundDigits))</f>
        <v>24.836965509199999</v>
      </c>
      <c r="AY49" s="17">
        <f t="shared" si="137"/>
        <v>25.588844045199998</v>
      </c>
      <c r="AZ49" s="17">
        <f t="shared" si="138"/>
        <v>26.363483869500001</v>
      </c>
      <c r="BA49" s="17">
        <f t="shared" si="139"/>
        <v>27.1615740246</v>
      </c>
      <c r="BB49" s="17">
        <f t="shared" si="140"/>
        <v>27.983824412000001</v>
      </c>
      <c r="BC49" s="17">
        <f t="shared" si="141"/>
        <v>28.8309664238</v>
      </c>
      <c r="BD49" s="17">
        <f t="shared" si="142"/>
        <v>29.7037535933</v>
      </c>
      <c r="BE49" s="17">
        <f t="shared" si="143"/>
        <v>30.602962264999999</v>
      </c>
      <c r="BF49" s="17">
        <f t="shared" si="144"/>
        <v>31.5293922854</v>
      </c>
      <c r="BG49" s="17">
        <f t="shared" si="145"/>
        <v>32.483867714500001</v>
      </c>
      <c r="BH49" s="17">
        <f t="shared" si="146"/>
        <v>33.467237558599997</v>
      </c>
      <c r="BI49" s="17">
        <f t="shared" si="147"/>
        <v>34.480376525600001</v>
      </c>
      <c r="BJ49" s="17">
        <f t="shared" si="148"/>
        <v>35.524185803000002</v>
      </c>
      <c r="BK49" s="17">
        <f t="shared" si="60"/>
        <v>36.599593859700001</v>
      </c>
      <c r="BL49" s="17">
        <f t="shared" si="61"/>
        <v>37.707557271699997</v>
      </c>
      <c r="BM49" s="17">
        <f t="shared" si="62"/>
        <v>38.849061572899998</v>
      </c>
      <c r="BN49" s="17">
        <f t="shared" si="63"/>
        <v>40.025122131800003</v>
      </c>
      <c r="BO49" s="17">
        <f t="shared" si="64"/>
        <v>41.236785054899997</v>
      </c>
      <c r="BP49" s="17">
        <f t="shared" si="65"/>
        <v>42.4851281169</v>
      </c>
      <c r="BQ49" s="17">
        <f t="shared" si="66"/>
        <v>43.771261719500004</v>
      </c>
      <c r="BR49" s="17">
        <f t="shared" si="67"/>
        <v>45.096329879199999</v>
      </c>
      <c r="BS49" s="17">
        <f t="shared" si="68"/>
        <v>46.461511244599997</v>
      </c>
      <c r="BT49" s="17">
        <f t="shared" si="69"/>
        <v>47.868020145199999</v>
      </c>
      <c r="BU49" s="17">
        <f t="shared" si="70"/>
        <v>49.317107671300001</v>
      </c>
      <c r="BV49" s="17">
        <f t="shared" si="71"/>
        <v>50.810062786899998</v>
      </c>
      <c r="BW49" s="17">
        <f t="shared" si="72"/>
        <v>52.348213476300003</v>
      </c>
      <c r="BX49" s="17">
        <f t="shared" si="73"/>
        <v>53.932927925199998</v>
      </c>
      <c r="BY49" s="17">
        <f t="shared" si="74"/>
        <v>55.565615737800002</v>
      </c>
      <c r="BZ49" s="17">
        <f t="shared" si="75"/>
        <v>57.247729190699999</v>
      </c>
      <c r="CA49" s="17">
        <f t="shared" si="76"/>
        <v>58.980764524500003</v>
      </c>
      <c r="CB49" s="17">
        <f t="shared" si="77"/>
        <v>60.766263274899998</v>
      </c>
      <c r="CC49" s="17">
        <f t="shared" si="78"/>
        <v>62.605813643899999</v>
      </c>
      <c r="CD49" s="17">
        <f t="shared" si="79"/>
        <v>64.501051912400001</v>
      </c>
      <c r="CE49" s="17">
        <f t="shared" si="80"/>
        <v>66.453663895600002</v>
      </c>
      <c r="CF49" s="17">
        <f t="shared" si="81"/>
        <v>68.465386442799996</v>
      </c>
      <c r="CG49" s="17">
        <f t="shared" si="82"/>
        <v>70.538008982099996</v>
      </c>
      <c r="CH49" s="17">
        <f t="shared" si="83"/>
        <v>72.673375112200006</v>
      </c>
      <c r="CI49" s="17">
        <f t="shared" si="84"/>
        <v>74.873384242300006</v>
      </c>
      <c r="CJ49" s="17">
        <f t="shared" si="85"/>
        <v>77.139993281399995</v>
      </c>
      <c r="CK49" s="17">
        <f t="shared" si="86"/>
        <v>79.475218379300003</v>
      </c>
      <c r="CL49" s="17">
        <f t="shared" si="87"/>
        <v>81.881136719799997</v>
      </c>
      <c r="CM49" s="17">
        <f t="shared" si="88"/>
        <v>84.359888368300005</v>
      </c>
      <c r="CN49" s="17">
        <f t="shared" si="89"/>
        <v>86.913678175599998</v>
      </c>
      <c r="CO49" s="17">
        <f t="shared" si="90"/>
        <v>89.544777738799993</v>
      </c>
      <c r="CP49" s="17">
        <f t="shared" si="91"/>
        <v>92.255527422200004</v>
      </c>
      <c r="CQ49" s="17">
        <f t="shared" si="92"/>
        <v>95.048338438800002</v>
      </c>
      <c r="CR49" s="17">
        <f t="shared" si="93"/>
        <v>97.925694995300006</v>
      </c>
      <c r="CS49" s="17">
        <f t="shared" si="94"/>
        <v>100.89015650170001</v>
      </c>
      <c r="CT49" s="17">
        <f t="shared" si="95"/>
        <v>103.9443598478</v>
      </c>
      <c r="CU49" s="17">
        <f t="shared" si="96"/>
        <v>107.0910217488</v>
      </c>
      <c r="CV49" s="17">
        <f t="shared" si="97"/>
        <v>110.3329411619</v>
      </c>
      <c r="CW49" s="17">
        <f t="shared" si="98"/>
        <v>113.6730017759</v>
      </c>
      <c r="CX49" s="17">
        <f t="shared" si="99"/>
        <v>117.1141745763</v>
      </c>
      <c r="CY49" s="17">
        <f t="shared" si="100"/>
        <v>120.65952048779999</v>
      </c>
      <c r="CZ49" s="17">
        <f t="shared" si="101"/>
        <v>124.31219309710001</v>
      </c>
      <c r="DA49" s="17">
        <f t="shared" si="102"/>
        <v>128.07544145829999</v>
      </c>
      <c r="DB49" s="17">
        <f t="shared" si="103"/>
        <v>131.95261298240001</v>
      </c>
    </row>
    <row r="50" spans="1:106" x14ac:dyDescent="0.2">
      <c r="A50">
        <f t="shared" si="7"/>
        <v>1.3491946940495127E+29</v>
      </c>
      <c r="B50" s="71">
        <f t="shared" si="149"/>
        <v>5.3216347383364233E-2</v>
      </c>
      <c r="C50" s="71">
        <f t="shared" si="150"/>
        <v>5.4481719681635024E-2</v>
      </c>
      <c r="D50" s="177">
        <f t="shared" si="151"/>
        <v>46</v>
      </c>
      <c r="AY50" s="18">
        <f>IF(AY$3="","",ROUND(AX49*DownMove,RoundDigits))</f>
        <v>24.107304997300002</v>
      </c>
      <c r="AZ50" s="17">
        <f t="shared" si="138"/>
        <v>24.837094841399999</v>
      </c>
      <c r="BA50" s="17">
        <f t="shared" si="139"/>
        <v>25.588977292599999</v>
      </c>
      <c r="BB50" s="17">
        <f t="shared" si="140"/>
        <v>26.3636211506</v>
      </c>
      <c r="BC50" s="17">
        <f t="shared" si="141"/>
        <v>27.161715461499998</v>
      </c>
      <c r="BD50" s="17">
        <f t="shared" si="142"/>
        <v>27.983970130599999</v>
      </c>
      <c r="BE50" s="17">
        <f t="shared" si="143"/>
        <v>28.831116553699999</v>
      </c>
      <c r="BF50" s="17">
        <f t="shared" si="144"/>
        <v>29.703908267999999</v>
      </c>
      <c r="BG50" s="17">
        <f t="shared" si="145"/>
        <v>30.603121622100002</v>
      </c>
      <c r="BH50" s="17">
        <f t="shared" si="146"/>
        <v>31.529556466700001</v>
      </c>
      <c r="BI50" s="17">
        <f t="shared" si="147"/>
        <v>32.484036865999997</v>
      </c>
      <c r="BJ50" s="17">
        <f t="shared" si="148"/>
        <v>33.467411830700001</v>
      </c>
      <c r="BK50" s="17">
        <f t="shared" si="60"/>
        <v>34.480556073300001</v>
      </c>
      <c r="BL50" s="17">
        <f t="shared" si="61"/>
        <v>35.5243707861</v>
      </c>
      <c r="BM50" s="17">
        <f t="shared" si="62"/>
        <v>36.599784442699999</v>
      </c>
      <c r="BN50" s="17">
        <f t="shared" si="63"/>
        <v>37.7077536241</v>
      </c>
      <c r="BO50" s="17">
        <f t="shared" si="64"/>
        <v>38.849263869300003</v>
      </c>
      <c r="BP50" s="17">
        <f t="shared" si="65"/>
        <v>40.025330552299998</v>
      </c>
      <c r="BQ50" s="17">
        <f t="shared" si="66"/>
        <v>41.236999784799998</v>
      </c>
      <c r="BR50" s="17">
        <f t="shared" si="67"/>
        <v>42.4853493472</v>
      </c>
      <c r="BS50" s="17">
        <f t="shared" si="68"/>
        <v>43.771489647000003</v>
      </c>
      <c r="BT50" s="17">
        <f t="shared" si="69"/>
        <v>45.096564706599999</v>
      </c>
      <c r="BU50" s="17">
        <f t="shared" si="70"/>
        <v>46.461753180899997</v>
      </c>
      <c r="BV50" s="17">
        <f t="shared" si="71"/>
        <v>47.868269405600003</v>
      </c>
      <c r="BW50" s="17">
        <f t="shared" si="72"/>
        <v>49.3173644775</v>
      </c>
      <c r="BX50" s="17">
        <f t="shared" si="73"/>
        <v>50.810327367299998</v>
      </c>
      <c r="BY50" s="17">
        <f t="shared" si="74"/>
        <v>52.348486066200003</v>
      </c>
      <c r="BZ50" s="17">
        <f t="shared" si="75"/>
        <v>53.933208767099998</v>
      </c>
      <c r="CA50" s="17">
        <f t="shared" si="76"/>
        <v>55.565905081499999</v>
      </c>
      <c r="CB50" s="17">
        <f t="shared" si="77"/>
        <v>57.248027293500002</v>
      </c>
      <c r="CC50" s="17">
        <f t="shared" si="78"/>
        <v>58.981071651599997</v>
      </c>
      <c r="CD50" s="17">
        <f t="shared" si="79"/>
        <v>60.766579699499999</v>
      </c>
      <c r="CE50" s="17">
        <f t="shared" si="80"/>
        <v>62.606139647500001</v>
      </c>
      <c r="CF50" s="17">
        <f t="shared" si="81"/>
        <v>64.501387784900004</v>
      </c>
      <c r="CG50" s="17">
        <f t="shared" si="82"/>
        <v>66.454009935800002</v>
      </c>
      <c r="CH50" s="17">
        <f t="shared" si="83"/>
        <v>68.465742958500002</v>
      </c>
      <c r="CI50" s="17">
        <f t="shared" si="84"/>
        <v>70.538376290499997</v>
      </c>
      <c r="CJ50" s="17">
        <f t="shared" si="85"/>
        <v>72.673753540000007</v>
      </c>
      <c r="CK50" s="17">
        <f t="shared" si="86"/>
        <v>74.873774126000001</v>
      </c>
      <c r="CL50" s="17">
        <f t="shared" si="87"/>
        <v>77.140394967899994</v>
      </c>
      <c r="CM50" s="17">
        <f t="shared" si="88"/>
        <v>79.4756322259</v>
      </c>
      <c r="CN50" s="17">
        <f t="shared" si="89"/>
        <v>81.881563094599997</v>
      </c>
      <c r="CO50" s="17">
        <f t="shared" si="90"/>
        <v>84.360327650599999</v>
      </c>
      <c r="CP50" s="17">
        <f t="shared" si="91"/>
        <v>86.914130756099993</v>
      </c>
      <c r="CQ50" s="17">
        <f t="shared" si="92"/>
        <v>89.5452440201</v>
      </c>
      <c r="CR50" s="17">
        <f t="shared" si="93"/>
        <v>92.256007819000004</v>
      </c>
      <c r="CS50" s="17">
        <f t="shared" si="94"/>
        <v>95.048833378400005</v>
      </c>
      <c r="CT50" s="17">
        <f t="shared" si="95"/>
        <v>97.926204917999996</v>
      </c>
      <c r="CU50" s="17">
        <f t="shared" si="96"/>
        <v>100.890681861</v>
      </c>
      <c r="CV50" s="17">
        <f t="shared" si="97"/>
        <v>103.94490111099999</v>
      </c>
      <c r="CW50" s="17">
        <f t="shared" si="98"/>
        <v>107.0915793974</v>
      </c>
      <c r="CX50" s="17">
        <f t="shared" si="99"/>
        <v>110.33351569200001</v>
      </c>
      <c r="CY50" s="17">
        <f t="shared" si="100"/>
        <v>113.6735936985</v>
      </c>
      <c r="CZ50" s="17">
        <f t="shared" si="101"/>
        <v>117.1147844179</v>
      </c>
      <c r="DA50" s="17">
        <f t="shared" si="102"/>
        <v>120.66014879079999</v>
      </c>
      <c r="DB50" s="17">
        <f t="shared" si="103"/>
        <v>124.3128404205</v>
      </c>
    </row>
    <row r="51" spans="1:106" x14ac:dyDescent="0.2">
      <c r="A51">
        <f t="shared" si="7"/>
        <v>1.5788448547387906E+29</v>
      </c>
      <c r="B51" s="71">
        <f t="shared" si="149"/>
        <v>6.2274449065638962E-2</v>
      </c>
      <c r="C51" s="71">
        <f t="shared" si="150"/>
        <v>6.3418133698132609E-2</v>
      </c>
      <c r="D51" s="177">
        <f t="shared" si="151"/>
        <v>47</v>
      </c>
      <c r="AZ51" s="18">
        <f>IF(AZ$3="","",ROUND(AY50*DownMove,RoundDigits))</f>
        <v>23.399080456</v>
      </c>
      <c r="BA51" s="17">
        <f t="shared" si="139"/>
        <v>24.107430529999998</v>
      </c>
      <c r="BB51" s="17">
        <f t="shared" si="140"/>
        <v>24.837224174300001</v>
      </c>
      <c r="BC51" s="17">
        <f t="shared" si="141"/>
        <v>25.589110540699998</v>
      </c>
      <c r="BD51" s="17">
        <f t="shared" si="142"/>
        <v>26.363758432499999</v>
      </c>
      <c r="BE51" s="17">
        <f t="shared" si="143"/>
        <v>27.161856899299998</v>
      </c>
      <c r="BF51" s="17">
        <f t="shared" si="144"/>
        <v>27.9841158501</v>
      </c>
      <c r="BG51" s="17">
        <f t="shared" si="145"/>
        <v>28.831266684500001</v>
      </c>
      <c r="BH51" s="17">
        <f t="shared" si="146"/>
        <v>29.7040629436</v>
      </c>
      <c r="BI51" s="17">
        <f t="shared" si="147"/>
        <v>30.603280980099999</v>
      </c>
      <c r="BJ51" s="17">
        <f t="shared" si="148"/>
        <v>31.529720648800001</v>
      </c>
      <c r="BK51" s="17">
        <f t="shared" si="60"/>
        <v>32.4842060183</v>
      </c>
      <c r="BL51" s="17">
        <f t="shared" si="61"/>
        <v>33.4675861037</v>
      </c>
      <c r="BM51" s="17">
        <f t="shared" si="62"/>
        <v>34.480735621999997</v>
      </c>
      <c r="BN51" s="17">
        <f t="shared" si="63"/>
        <v>35.524555770200003</v>
      </c>
      <c r="BO51" s="17">
        <f t="shared" si="64"/>
        <v>36.599975026800003</v>
      </c>
      <c r="BP51" s="17">
        <f t="shared" si="65"/>
        <v>37.707949977699997</v>
      </c>
      <c r="BQ51" s="17">
        <f t="shared" si="66"/>
        <v>38.849466167099997</v>
      </c>
      <c r="BR51" s="17">
        <f t="shared" si="67"/>
        <v>40.025538974100002</v>
      </c>
      <c r="BS51" s="17">
        <f t="shared" si="68"/>
        <v>41.237214516100003</v>
      </c>
      <c r="BT51" s="17">
        <f t="shared" si="69"/>
        <v>42.485570578999997</v>
      </c>
      <c r="BU51" s="17">
        <f t="shared" si="70"/>
        <v>43.771717576100002</v>
      </c>
      <c r="BV51" s="17">
        <f t="shared" si="71"/>
        <v>45.096799535700001</v>
      </c>
      <c r="BW51" s="17">
        <f t="shared" si="72"/>
        <v>46.461995118799997</v>
      </c>
      <c r="BX51" s="17">
        <f t="shared" si="73"/>
        <v>47.868518667499998</v>
      </c>
      <c r="BY51" s="17">
        <f t="shared" si="74"/>
        <v>49.317621285199998</v>
      </c>
      <c r="BZ51" s="17">
        <f t="shared" si="75"/>
        <v>50.810591949299997</v>
      </c>
      <c r="CA51" s="17">
        <f t="shared" si="76"/>
        <v>52.348758657799998</v>
      </c>
      <c r="CB51" s="17">
        <f t="shared" si="77"/>
        <v>53.933489610700001</v>
      </c>
      <c r="CC51" s="17">
        <f t="shared" si="78"/>
        <v>55.566194426999999</v>
      </c>
      <c r="CD51" s="17">
        <f t="shared" si="79"/>
        <v>57.248325398299997</v>
      </c>
      <c r="CE51" s="17">
        <f t="shared" si="80"/>
        <v>58.9813787808</v>
      </c>
      <c r="CF51" s="17">
        <f t="shared" si="81"/>
        <v>60.766896126299997</v>
      </c>
      <c r="CG51" s="17">
        <f t="shared" si="82"/>
        <v>62.606465653299999</v>
      </c>
      <c r="CH51" s="17">
        <f t="shared" si="83"/>
        <v>64.501723659800007</v>
      </c>
      <c r="CI51" s="17">
        <f t="shared" si="84"/>
        <v>66.454355978500004</v>
      </c>
      <c r="CJ51" s="17">
        <f t="shared" si="85"/>
        <v>68.466099476799997</v>
      </c>
      <c r="CK51" s="17">
        <f t="shared" si="86"/>
        <v>70.538743601500002</v>
      </c>
      <c r="CL51" s="17">
        <f t="shared" si="87"/>
        <v>72.674131970399998</v>
      </c>
      <c r="CM51" s="17">
        <f t="shared" si="88"/>
        <v>74.874164012500003</v>
      </c>
      <c r="CN51" s="17">
        <f t="shared" si="89"/>
        <v>77.140796657199999</v>
      </c>
      <c r="CO51" s="17">
        <f t="shared" si="90"/>
        <v>79.476046075300005</v>
      </c>
      <c r="CP51" s="17">
        <f t="shared" si="91"/>
        <v>81.881989472300006</v>
      </c>
      <c r="CQ51" s="17">
        <f t="shared" si="92"/>
        <v>84.360766935800001</v>
      </c>
      <c r="CR51" s="17">
        <f t="shared" si="93"/>
        <v>86.914583339499998</v>
      </c>
      <c r="CS51" s="17">
        <f t="shared" si="94"/>
        <v>89.545710304300002</v>
      </c>
      <c r="CT51" s="17">
        <f t="shared" si="95"/>
        <v>92.256488218800001</v>
      </c>
      <c r="CU51" s="17">
        <f t="shared" si="96"/>
        <v>95.049328321199994</v>
      </c>
      <c r="CV51" s="17">
        <f t="shared" si="97"/>
        <v>97.926714844000003</v>
      </c>
      <c r="CW51" s="17">
        <f t="shared" si="98"/>
        <v>100.8912072238</v>
      </c>
      <c r="CX51" s="17">
        <f t="shared" si="99"/>
        <v>103.94544237789999</v>
      </c>
      <c r="CY51" s="17">
        <f t="shared" si="100"/>
        <v>107.0921370499</v>
      </c>
      <c r="CZ51" s="17">
        <f t="shared" si="101"/>
        <v>110.3340902261</v>
      </c>
      <c r="DA51" s="17">
        <f t="shared" si="102"/>
        <v>113.6741856253</v>
      </c>
      <c r="DB51" s="17">
        <f t="shared" si="103"/>
        <v>117.1153942638</v>
      </c>
    </row>
    <row r="52" spans="1:106" x14ac:dyDescent="0.2">
      <c r="A52">
        <f t="shared" si="7"/>
        <v>1.7762004615811383E+29</v>
      </c>
      <c r="B52" s="71">
        <f t="shared" si="149"/>
        <v>7.0058755198843789E-2</v>
      </c>
      <c r="C52" s="71">
        <f t="shared" si="150"/>
        <v>7.0968201282729765E-2</v>
      </c>
      <c r="D52" s="177">
        <f t="shared" si="151"/>
        <v>48</v>
      </c>
      <c r="BA52" s="18">
        <f>IF(BA$3="","",ROUND(AZ51*DownMove,RoundDigits))</f>
        <v>22.7116621393</v>
      </c>
      <c r="BB52" s="17">
        <f t="shared" si="140"/>
        <v>23.399202300900001</v>
      </c>
      <c r="BC52" s="17">
        <f t="shared" si="141"/>
        <v>24.107556063499999</v>
      </c>
      <c r="BD52" s="17">
        <f t="shared" si="142"/>
        <v>24.837353508</v>
      </c>
      <c r="BE52" s="17">
        <f t="shared" si="143"/>
        <v>25.589243789699999</v>
      </c>
      <c r="BF52" s="17">
        <f t="shared" si="144"/>
        <v>26.3638957153</v>
      </c>
      <c r="BG52" s="17">
        <f t="shared" si="145"/>
        <v>27.161998338</v>
      </c>
      <c r="BH52" s="17">
        <f t="shared" si="146"/>
        <v>27.984261570499999</v>
      </c>
      <c r="BI52" s="17">
        <f t="shared" si="147"/>
        <v>28.831416816299999</v>
      </c>
      <c r="BJ52" s="17">
        <f t="shared" si="148"/>
        <v>29.7042176203</v>
      </c>
      <c r="BK52" s="17">
        <f t="shared" si="60"/>
        <v>30.603440339300001</v>
      </c>
      <c r="BL52" s="17">
        <f t="shared" si="61"/>
        <v>31.529884832299999</v>
      </c>
      <c r="BM52" s="17">
        <f t="shared" si="62"/>
        <v>32.484375172</v>
      </c>
      <c r="BN52" s="17">
        <f t="shared" si="63"/>
        <v>33.467760378100003</v>
      </c>
      <c r="BO52" s="17">
        <f t="shared" si="64"/>
        <v>34.480915172099998</v>
      </c>
      <c r="BP52" s="17">
        <f t="shared" si="65"/>
        <v>35.524740755700002</v>
      </c>
      <c r="BQ52" s="17">
        <f t="shared" si="66"/>
        <v>36.600165612300003</v>
      </c>
      <c r="BR52" s="17">
        <f t="shared" si="67"/>
        <v>37.708146332699997</v>
      </c>
      <c r="BS52" s="17">
        <f t="shared" si="68"/>
        <v>38.849668466200001</v>
      </c>
      <c r="BT52" s="17">
        <f t="shared" si="69"/>
        <v>40.025747397400004</v>
      </c>
      <c r="BU52" s="17">
        <f t="shared" si="70"/>
        <v>41.2374292489</v>
      </c>
      <c r="BV52" s="17">
        <f t="shared" si="71"/>
        <v>42.4857918123</v>
      </c>
      <c r="BW52" s="17">
        <f t="shared" si="72"/>
        <v>43.7719455067</v>
      </c>
      <c r="BX52" s="17">
        <f t="shared" si="73"/>
        <v>45.097034366400003</v>
      </c>
      <c r="BY52" s="17">
        <f t="shared" si="74"/>
        <v>46.462237058500001</v>
      </c>
      <c r="BZ52" s="17">
        <f t="shared" si="75"/>
        <v>47.868767931400001</v>
      </c>
      <c r="CA52" s="17">
        <f t="shared" si="76"/>
        <v>49.317878094900003</v>
      </c>
      <c r="CB52" s="17">
        <f t="shared" si="77"/>
        <v>50.810856533200003</v>
      </c>
      <c r="CC52" s="17">
        <f t="shared" si="78"/>
        <v>52.349031251299998</v>
      </c>
      <c r="CD52" s="17">
        <f t="shared" si="79"/>
        <v>53.933770456300003</v>
      </c>
      <c r="CE52" s="17">
        <f t="shared" si="80"/>
        <v>55.5664837745</v>
      </c>
      <c r="CF52" s="17">
        <f t="shared" si="81"/>
        <v>57.248623504999998</v>
      </c>
      <c r="CG52" s="17">
        <f t="shared" si="82"/>
        <v>58.981685912000003</v>
      </c>
      <c r="CH52" s="17">
        <f t="shared" si="83"/>
        <v>60.767212555199997</v>
      </c>
      <c r="CI52" s="17">
        <f t="shared" si="84"/>
        <v>62.606791661300001</v>
      </c>
      <c r="CJ52" s="17">
        <f t="shared" si="85"/>
        <v>64.502059536900006</v>
      </c>
      <c r="CK52" s="17">
        <f t="shared" si="86"/>
        <v>66.454702023500005</v>
      </c>
      <c r="CL52" s="17">
        <f t="shared" si="87"/>
        <v>68.466455997500006</v>
      </c>
      <c r="CM52" s="17">
        <f t="shared" si="88"/>
        <v>70.539110914999995</v>
      </c>
      <c r="CN52" s="17">
        <f t="shared" si="89"/>
        <v>72.674510403499994</v>
      </c>
      <c r="CO52" s="17">
        <f t="shared" si="90"/>
        <v>74.874553901699997</v>
      </c>
      <c r="CP52" s="17">
        <f t="shared" si="91"/>
        <v>77.1411983494</v>
      </c>
      <c r="CQ52" s="17">
        <f t="shared" si="92"/>
        <v>79.476459927799993</v>
      </c>
      <c r="CR52" s="17">
        <f t="shared" si="93"/>
        <v>81.882415853099999</v>
      </c>
      <c r="CS52" s="17">
        <f t="shared" si="94"/>
        <v>84.361206224300005</v>
      </c>
      <c r="CT52" s="17">
        <f t="shared" si="95"/>
        <v>86.915035926399995</v>
      </c>
      <c r="CU52" s="17">
        <f t="shared" si="96"/>
        <v>89.546176592199998</v>
      </c>
      <c r="CV52" s="17">
        <f t="shared" si="97"/>
        <v>92.256968622399995</v>
      </c>
      <c r="CW52" s="17">
        <f t="shared" si="98"/>
        <v>95.049823267799994</v>
      </c>
      <c r="CX52" s="17">
        <f t="shared" si="99"/>
        <v>97.927224773899994</v>
      </c>
      <c r="CY52" s="17">
        <f t="shared" si="100"/>
        <v>100.8917325906</v>
      </c>
      <c r="CZ52" s="17">
        <f t="shared" si="101"/>
        <v>103.9459836489</v>
      </c>
      <c r="DA52" s="17">
        <f t="shared" si="102"/>
        <v>107.0926947065</v>
      </c>
      <c r="DB52" s="17">
        <f t="shared" si="103"/>
        <v>110.3346647643</v>
      </c>
    </row>
    <row r="53" spans="1:106" x14ac:dyDescent="0.2">
      <c r="A53">
        <f t="shared" si="7"/>
        <v>1.9211964176285804E+29</v>
      </c>
      <c r="B53" s="71">
        <f t="shared" si="149"/>
        <v>7.577783725589235E-2</v>
      </c>
      <c r="C53" s="71">
        <f t="shared" si="150"/>
        <v>7.6355689968182316E-2</v>
      </c>
      <c r="D53" s="177">
        <f t="shared" si="151"/>
        <v>49</v>
      </c>
      <c r="BB53" s="18">
        <f>IF(BB$3="","",ROUND(BA52*DownMove,RoundDigits))</f>
        <v>22.0444388017</v>
      </c>
      <c r="BC53" s="17">
        <f t="shared" si="141"/>
        <v>22.711780404500001</v>
      </c>
      <c r="BD53" s="17">
        <f t="shared" si="142"/>
        <v>23.399324146200001</v>
      </c>
      <c r="BE53" s="17">
        <f t="shared" si="143"/>
        <v>24.107681597300001</v>
      </c>
      <c r="BF53" s="17">
        <f t="shared" si="144"/>
        <v>24.837482842099998</v>
      </c>
      <c r="BG53" s="17">
        <f t="shared" si="145"/>
        <v>25.5893770391</v>
      </c>
      <c r="BH53" s="17">
        <f t="shared" si="146"/>
        <v>26.364032998500001</v>
      </c>
      <c r="BI53" s="17">
        <f t="shared" si="147"/>
        <v>27.162139777099998</v>
      </c>
      <c r="BJ53" s="17">
        <f t="shared" si="148"/>
        <v>27.984407291299998</v>
      </c>
      <c r="BK53" s="17">
        <f t="shared" si="60"/>
        <v>28.831566948399999</v>
      </c>
      <c r="BL53" s="17">
        <f t="shared" si="61"/>
        <v>29.704372297300001</v>
      </c>
      <c r="BM53" s="17">
        <f t="shared" si="62"/>
        <v>30.603599698699998</v>
      </c>
      <c r="BN53" s="17">
        <f t="shared" si="63"/>
        <v>31.530049015900001</v>
      </c>
      <c r="BO53" s="17">
        <f t="shared" si="64"/>
        <v>32.484544325900004</v>
      </c>
      <c r="BP53" s="17">
        <f t="shared" si="65"/>
        <v>33.467934652700002</v>
      </c>
      <c r="BQ53" s="17">
        <f t="shared" si="66"/>
        <v>34.481094722500004</v>
      </c>
      <c r="BR53" s="17">
        <f t="shared" si="67"/>
        <v>35.524925741600001</v>
      </c>
      <c r="BS53" s="17">
        <f t="shared" si="68"/>
        <v>36.600356198199997</v>
      </c>
      <c r="BT53" s="17">
        <f t="shared" si="69"/>
        <v>37.708342688099997</v>
      </c>
      <c r="BU53" s="17">
        <f t="shared" si="70"/>
        <v>38.849870765799999</v>
      </c>
      <c r="BV53" s="17">
        <f t="shared" si="71"/>
        <v>40.025955821099998</v>
      </c>
      <c r="BW53" s="17">
        <f t="shared" si="72"/>
        <v>41.237643982100003</v>
      </c>
      <c r="BX53" s="17">
        <f t="shared" si="73"/>
        <v>42.486013045999997</v>
      </c>
      <c r="BY53" s="17">
        <f t="shared" si="74"/>
        <v>43.772173437699998</v>
      </c>
      <c r="BZ53" s="17">
        <f t="shared" si="75"/>
        <v>45.097269197400003</v>
      </c>
      <c r="CA53" s="17">
        <f t="shared" si="76"/>
        <v>46.462478998400002</v>
      </c>
      <c r="CB53" s="17">
        <f t="shared" si="77"/>
        <v>47.869017195399998</v>
      </c>
      <c r="CC53" s="17">
        <f t="shared" si="78"/>
        <v>49.318134904799997</v>
      </c>
      <c r="CD53" s="17">
        <f t="shared" si="79"/>
        <v>50.811121117399999</v>
      </c>
      <c r="CE53" s="17">
        <f t="shared" si="80"/>
        <v>52.349303845199998</v>
      </c>
      <c r="CF53" s="17">
        <f t="shared" si="81"/>
        <v>53.934051302299999</v>
      </c>
      <c r="CG53" s="17">
        <f t="shared" si="82"/>
        <v>55.566773122400001</v>
      </c>
      <c r="CH53" s="17">
        <f t="shared" si="83"/>
        <v>57.2489216122</v>
      </c>
      <c r="CI53" s="17">
        <f t="shared" si="84"/>
        <v>58.981993043599999</v>
      </c>
      <c r="CJ53" s="17">
        <f t="shared" si="85"/>
        <v>60.767528984400002</v>
      </c>
      <c r="CK53" s="17">
        <f t="shared" si="86"/>
        <v>62.607117669700003</v>
      </c>
      <c r="CL53" s="17">
        <f t="shared" si="87"/>
        <v>64.502395414399999</v>
      </c>
      <c r="CM53" s="17">
        <f t="shared" si="88"/>
        <v>66.455048068899998</v>
      </c>
      <c r="CN53" s="17">
        <f t="shared" si="89"/>
        <v>68.466812518599994</v>
      </c>
      <c r="CO53" s="17">
        <f t="shared" si="90"/>
        <v>70.539478228899995</v>
      </c>
      <c r="CP53" s="17">
        <f t="shared" si="91"/>
        <v>72.674888836899996</v>
      </c>
      <c r="CQ53" s="17">
        <f t="shared" si="92"/>
        <v>74.874943791299998</v>
      </c>
      <c r="CR53" s="17">
        <f t="shared" si="93"/>
        <v>77.141600041900006</v>
      </c>
      <c r="CS53" s="17">
        <f t="shared" si="94"/>
        <v>79.476873780600002</v>
      </c>
      <c r="CT53" s="17">
        <f t="shared" si="95"/>
        <v>81.8828422343</v>
      </c>
      <c r="CU53" s="17">
        <f t="shared" si="96"/>
        <v>84.361645513100001</v>
      </c>
      <c r="CV53" s="17">
        <f t="shared" si="97"/>
        <v>86.915488513599996</v>
      </c>
      <c r="CW53" s="17">
        <f t="shared" si="98"/>
        <v>89.5466428804</v>
      </c>
      <c r="CX53" s="17">
        <f t="shared" si="99"/>
        <v>92.257449026399996</v>
      </c>
      <c r="CY53" s="17">
        <f t="shared" si="100"/>
        <v>95.050318214900003</v>
      </c>
      <c r="CZ53" s="17">
        <f t="shared" si="101"/>
        <v>97.927734704299993</v>
      </c>
      <c r="DA53" s="17">
        <f t="shared" si="102"/>
        <v>100.8922579579</v>
      </c>
      <c r="DB53" s="17">
        <f t="shared" si="103"/>
        <v>103.94652492039999</v>
      </c>
    </row>
    <row r="54" spans="1:106" x14ac:dyDescent="0.2">
      <c r="A54">
        <f t="shared" si="7"/>
        <v>1.9980442743337221E+29</v>
      </c>
      <c r="B54" s="71">
        <f t="shared" si="149"/>
        <v>7.8808950746127981E-2</v>
      </c>
      <c r="C54" s="71">
        <f t="shared" si="150"/>
        <v>7.8990081789659244E-2</v>
      </c>
      <c r="D54" s="177">
        <f t="shared" si="151"/>
        <v>50</v>
      </c>
      <c r="BC54" s="18">
        <f>IF(BC$3="","",ROUND(BB53*DownMove,RoundDigits))</f>
        <v>21.396817155099999</v>
      </c>
      <c r="BD54" s="17">
        <f t="shared" si="142"/>
        <v>22.0445535926</v>
      </c>
      <c r="BE54" s="17">
        <f t="shared" si="143"/>
        <v>22.7118986704</v>
      </c>
      <c r="BF54" s="17">
        <f t="shared" si="144"/>
        <v>23.3994459924</v>
      </c>
      <c r="BG54" s="17">
        <f t="shared" si="145"/>
        <v>24.1078071321</v>
      </c>
      <c r="BH54" s="17">
        <f t="shared" si="146"/>
        <v>24.837612177099999</v>
      </c>
      <c r="BI54" s="17">
        <f t="shared" si="147"/>
        <v>25.5895102894</v>
      </c>
      <c r="BJ54" s="17">
        <f t="shared" si="148"/>
        <v>26.3641702826</v>
      </c>
      <c r="BK54" s="17">
        <f t="shared" si="60"/>
        <v>27.1622812172</v>
      </c>
      <c r="BL54" s="17">
        <f t="shared" si="61"/>
        <v>27.984553013100001</v>
      </c>
      <c r="BM54" s="17">
        <f t="shared" si="62"/>
        <v>28.831717081600001</v>
      </c>
      <c r="BN54" s="17">
        <f t="shared" si="63"/>
        <v>29.7045269754</v>
      </c>
      <c r="BO54" s="17">
        <f t="shared" si="64"/>
        <v>30.603759059400002</v>
      </c>
      <c r="BP54" s="17">
        <f t="shared" si="65"/>
        <v>31.530213200799999</v>
      </c>
      <c r="BQ54" s="17">
        <f t="shared" si="66"/>
        <v>32.484713481100002</v>
      </c>
      <c r="BR54" s="17">
        <f t="shared" si="67"/>
        <v>33.468108928699998</v>
      </c>
      <c r="BS54" s="17">
        <f t="shared" si="68"/>
        <v>34.481274274299999</v>
      </c>
      <c r="BT54" s="17">
        <f t="shared" si="69"/>
        <v>35.525110728900003</v>
      </c>
      <c r="BU54" s="17">
        <f t="shared" si="70"/>
        <v>36.600546785500001</v>
      </c>
      <c r="BV54" s="17">
        <f t="shared" si="71"/>
        <v>37.708539045000002</v>
      </c>
      <c r="BW54" s="17">
        <f t="shared" si="72"/>
        <v>38.850073066900002</v>
      </c>
      <c r="BX54" s="17">
        <f t="shared" si="73"/>
        <v>40.0261642464</v>
      </c>
      <c r="BY54" s="17">
        <f t="shared" si="74"/>
        <v>41.237858717000002</v>
      </c>
      <c r="BZ54" s="17">
        <f t="shared" si="75"/>
        <v>42.486234281500003</v>
      </c>
      <c r="CA54" s="17">
        <f t="shared" si="76"/>
        <v>43.772401370600001</v>
      </c>
      <c r="CB54" s="17">
        <f t="shared" si="77"/>
        <v>45.097504030400003</v>
      </c>
      <c r="CC54" s="17">
        <f t="shared" si="78"/>
        <v>46.462720940399997</v>
      </c>
      <c r="CD54" s="17">
        <f t="shared" si="79"/>
        <v>47.869266461599999</v>
      </c>
      <c r="CE54" s="17">
        <f t="shared" si="80"/>
        <v>49.318391716900003</v>
      </c>
      <c r="CF54" s="17">
        <f t="shared" si="81"/>
        <v>50.811385703900001</v>
      </c>
      <c r="CG54" s="17">
        <f t="shared" si="82"/>
        <v>52.349576441400004</v>
      </c>
      <c r="CH54" s="17">
        <f t="shared" si="83"/>
        <v>53.934332150700001</v>
      </c>
      <c r="CI54" s="17">
        <f t="shared" si="84"/>
        <v>55.567062472800004</v>
      </c>
      <c r="CJ54" s="17">
        <f t="shared" si="85"/>
        <v>57.249219721999999</v>
      </c>
      <c r="CK54" s="17">
        <f t="shared" si="86"/>
        <v>58.982300178000003</v>
      </c>
      <c r="CL54" s="17">
        <f t="shared" si="87"/>
        <v>60.767845416599997</v>
      </c>
      <c r="CM54" s="17">
        <f t="shared" si="88"/>
        <v>62.607443681100001</v>
      </c>
      <c r="CN54" s="17">
        <f t="shared" si="89"/>
        <v>64.502731295000004</v>
      </c>
      <c r="CO54" s="17">
        <f t="shared" si="90"/>
        <v>66.455394117400004</v>
      </c>
      <c r="CP54" s="17">
        <f t="shared" si="91"/>
        <v>68.467169042899997</v>
      </c>
      <c r="CQ54" s="17">
        <f t="shared" si="92"/>
        <v>70.539845546099997</v>
      </c>
      <c r="CR54" s="17">
        <f t="shared" si="93"/>
        <v>72.675267273700001</v>
      </c>
      <c r="CS54" s="17">
        <f t="shared" si="94"/>
        <v>74.875333684300003</v>
      </c>
      <c r="CT54" s="17">
        <f t="shared" si="95"/>
        <v>77.142001738000005</v>
      </c>
      <c r="CU54" s="17">
        <f t="shared" si="96"/>
        <v>79.477287637000003</v>
      </c>
      <c r="CV54" s="17">
        <f t="shared" si="97"/>
        <v>81.883268619199995</v>
      </c>
      <c r="CW54" s="17">
        <f t="shared" si="98"/>
        <v>84.362084805799995</v>
      </c>
      <c r="CX54" s="17">
        <f t="shared" si="99"/>
        <v>86.915941104799998</v>
      </c>
      <c r="CY54" s="17">
        <f t="shared" si="100"/>
        <v>89.547109172600003</v>
      </c>
      <c r="CZ54" s="17">
        <f t="shared" si="101"/>
        <v>92.257929434399998</v>
      </c>
      <c r="DA54" s="17">
        <f t="shared" si="102"/>
        <v>95.050813166099999</v>
      </c>
      <c r="DB54" s="17">
        <f t="shared" si="103"/>
        <v>97.928244638899997</v>
      </c>
    </row>
    <row r="55" spans="1:106" x14ac:dyDescent="0.2">
      <c r="A55">
        <f t="shared" si="7"/>
        <v>1.9980442743337221E+29</v>
      </c>
      <c r="B55" s="71">
        <f t="shared" si="149"/>
        <v>7.8808950746127981E-2</v>
      </c>
      <c r="C55" s="71">
        <f t="shared" si="150"/>
        <v>7.8572465660599763E-2</v>
      </c>
      <c r="D55" s="177">
        <f t="shared" si="151"/>
        <v>51</v>
      </c>
      <c r="BD55" s="18">
        <f>IF(BD$3="","",ROUND(BC54*DownMove,RoundDigits))</f>
        <v>20.7682213408</v>
      </c>
      <c r="BE55" s="17">
        <f t="shared" si="143"/>
        <v>21.3969285736</v>
      </c>
      <c r="BF55" s="17">
        <f t="shared" si="144"/>
        <v>22.044668384000001</v>
      </c>
      <c r="BG55" s="17">
        <f t="shared" si="145"/>
        <v>22.7120169369</v>
      </c>
      <c r="BH55" s="17">
        <f t="shared" si="146"/>
        <v>23.399567839100001</v>
      </c>
      <c r="BI55" s="17">
        <f t="shared" si="147"/>
        <v>24.1079326674</v>
      </c>
      <c r="BJ55" s="17">
        <f t="shared" si="148"/>
        <v>24.837741512699999</v>
      </c>
      <c r="BK55" s="17">
        <f t="shared" si="60"/>
        <v>25.589643540299999</v>
      </c>
      <c r="BL55" s="17">
        <f t="shared" si="61"/>
        <v>26.364307567299999</v>
      </c>
      <c r="BM55" s="17">
        <f t="shared" si="62"/>
        <v>27.162422657800001</v>
      </c>
      <c r="BN55" s="17">
        <f t="shared" si="63"/>
        <v>27.9846987355</v>
      </c>
      <c r="BO55" s="17">
        <f t="shared" si="64"/>
        <v>28.831867215399999</v>
      </c>
      <c r="BP55" s="17">
        <f t="shared" si="65"/>
        <v>29.7046816541</v>
      </c>
      <c r="BQ55" s="17">
        <f t="shared" si="66"/>
        <v>30.603918420599999</v>
      </c>
      <c r="BR55" s="17">
        <f t="shared" si="67"/>
        <v>31.5303773863</v>
      </c>
      <c r="BS55" s="17">
        <f t="shared" si="68"/>
        <v>32.484882636899997</v>
      </c>
      <c r="BT55" s="17">
        <f t="shared" si="69"/>
        <v>33.468283205299997</v>
      </c>
      <c r="BU55" s="17">
        <f t="shared" si="70"/>
        <v>34.481453826699997</v>
      </c>
      <c r="BV55" s="17">
        <f t="shared" si="71"/>
        <v>35.525295716800002</v>
      </c>
      <c r="BW55" s="17">
        <f t="shared" si="72"/>
        <v>36.600737373400001</v>
      </c>
      <c r="BX55" s="17">
        <f t="shared" si="73"/>
        <v>37.708735402400002</v>
      </c>
      <c r="BY55" s="17">
        <f t="shared" si="74"/>
        <v>38.850275368600002</v>
      </c>
      <c r="BZ55" s="17">
        <f t="shared" si="75"/>
        <v>40.026372672199997</v>
      </c>
      <c r="CA55" s="17">
        <f t="shared" si="76"/>
        <v>41.238073452400002</v>
      </c>
      <c r="CB55" s="17">
        <f t="shared" si="77"/>
        <v>42.486455517499998</v>
      </c>
      <c r="CC55" s="17">
        <f t="shared" si="78"/>
        <v>43.772629303999999</v>
      </c>
      <c r="CD55" s="17">
        <f t="shared" si="79"/>
        <v>45.097738864</v>
      </c>
      <c r="CE55" s="17">
        <f t="shared" si="80"/>
        <v>46.462962883000003</v>
      </c>
      <c r="CF55" s="17">
        <f t="shared" si="81"/>
        <v>47.869515728400003</v>
      </c>
      <c r="CG55" s="17">
        <f t="shared" si="82"/>
        <v>49.318648529699999</v>
      </c>
      <c r="CH55" s="17">
        <f t="shared" si="83"/>
        <v>50.811650291100001</v>
      </c>
      <c r="CI55" s="17">
        <f t="shared" si="84"/>
        <v>52.3498490383</v>
      </c>
      <c r="CJ55" s="17">
        <f t="shared" si="85"/>
        <v>53.934612999800002</v>
      </c>
      <c r="CK55" s="17">
        <f t="shared" si="86"/>
        <v>55.567351823899997</v>
      </c>
      <c r="CL55" s="17">
        <f t="shared" si="87"/>
        <v>57.249517832499997</v>
      </c>
      <c r="CM55" s="17">
        <f t="shared" si="88"/>
        <v>58.982607313000003</v>
      </c>
      <c r="CN55" s="17">
        <f t="shared" si="89"/>
        <v>60.7681618493</v>
      </c>
      <c r="CO55" s="17">
        <f t="shared" si="90"/>
        <v>62.607769693000002</v>
      </c>
      <c r="CP55" s="17">
        <f t="shared" si="91"/>
        <v>64.503067176100004</v>
      </c>
      <c r="CQ55" s="17">
        <f t="shared" si="92"/>
        <v>66.455740166499993</v>
      </c>
      <c r="CR55" s="17">
        <f t="shared" si="93"/>
        <v>68.467525567799996</v>
      </c>
      <c r="CS55" s="17">
        <f t="shared" si="94"/>
        <v>70.540212863899995</v>
      </c>
      <c r="CT55" s="17">
        <f t="shared" si="95"/>
        <v>72.675645711200005</v>
      </c>
      <c r="CU55" s="17">
        <f t="shared" si="96"/>
        <v>74.875723578099993</v>
      </c>
      <c r="CV55" s="17">
        <f t="shared" si="97"/>
        <v>77.142403434900004</v>
      </c>
      <c r="CW55" s="17">
        <f t="shared" si="98"/>
        <v>79.477701494300007</v>
      </c>
      <c r="CX55" s="17">
        <f t="shared" si="99"/>
        <v>81.883695005000007</v>
      </c>
      <c r="CY55" s="17">
        <f t="shared" si="100"/>
        <v>84.362524099400005</v>
      </c>
      <c r="CZ55" s="17">
        <f t="shared" si="101"/>
        <v>86.916393697000004</v>
      </c>
      <c r="DA55" s="17">
        <f t="shared" si="102"/>
        <v>89.547575465999998</v>
      </c>
      <c r="DB55" s="17">
        <f t="shared" si="103"/>
        <v>92.258409843699994</v>
      </c>
    </row>
    <row r="56" spans="1:106" x14ac:dyDescent="0.2">
      <c r="A56">
        <f t="shared" si="7"/>
        <v>1.9211964176285804E+29</v>
      </c>
      <c r="B56" s="71">
        <f t="shared" si="149"/>
        <v>7.577783725589235E-2</v>
      </c>
      <c r="C56" s="71">
        <f t="shared" si="150"/>
        <v>7.5151016773630508E-2</v>
      </c>
      <c r="D56" s="177">
        <f t="shared" si="151"/>
        <v>52</v>
      </c>
      <c r="BE56" s="18">
        <f>IF(BE$3="","",ROUND(BD55*DownMove,RoundDigits))</f>
        <v>20.158092417900001</v>
      </c>
      <c r="BF56" s="17">
        <f t="shared" si="144"/>
        <v>20.768329486100001</v>
      </c>
      <c r="BG56" s="17">
        <f t="shared" si="145"/>
        <v>21.397039992700002</v>
      </c>
      <c r="BH56" s="17">
        <f t="shared" si="146"/>
        <v>22.044783176100001</v>
      </c>
      <c r="BI56" s="17">
        <f t="shared" si="147"/>
        <v>22.712135203999999</v>
      </c>
      <c r="BJ56" s="17">
        <f t="shared" si="148"/>
        <v>23.399689686399999</v>
      </c>
      <c r="BK56" s="17">
        <f t="shared" si="60"/>
        <v>24.108058203399999</v>
      </c>
      <c r="BL56" s="17">
        <f t="shared" si="61"/>
        <v>24.837870849000002</v>
      </c>
      <c r="BM56" s="17">
        <f t="shared" si="62"/>
        <v>25.5897767919</v>
      </c>
      <c r="BN56" s="17">
        <f t="shared" si="63"/>
        <v>26.364444852799998</v>
      </c>
      <c r="BO56" s="17">
        <f t="shared" si="64"/>
        <v>27.162564099299999</v>
      </c>
      <c r="BP56" s="17">
        <f t="shared" si="65"/>
        <v>27.984844458800001</v>
      </c>
      <c r="BQ56" s="17">
        <f t="shared" si="66"/>
        <v>28.832017350099999</v>
      </c>
      <c r="BR56" s="17">
        <f t="shared" si="67"/>
        <v>29.704836333799999</v>
      </c>
      <c r="BS56" s="17">
        <f t="shared" si="68"/>
        <v>30.604077782800001</v>
      </c>
      <c r="BT56" s="17">
        <f t="shared" si="69"/>
        <v>31.530541572800001</v>
      </c>
      <c r="BU56" s="17">
        <f t="shared" si="70"/>
        <v>32.485051793799997</v>
      </c>
      <c r="BV56" s="17">
        <f t="shared" si="71"/>
        <v>33.468457483000002</v>
      </c>
      <c r="BW56" s="17">
        <f t="shared" si="72"/>
        <v>34.481633380200002</v>
      </c>
      <c r="BX56" s="17">
        <f t="shared" si="73"/>
        <v>35.5254807058</v>
      </c>
      <c r="BY56" s="17">
        <f t="shared" si="74"/>
        <v>36.600927962500002</v>
      </c>
      <c r="BZ56" s="17">
        <f t="shared" si="75"/>
        <v>37.708931761199999</v>
      </c>
      <c r="CA56" s="17">
        <f t="shared" si="76"/>
        <v>38.850477671699998</v>
      </c>
      <c r="CB56" s="17">
        <f t="shared" si="77"/>
        <v>40.026581099600001</v>
      </c>
      <c r="CC56" s="17">
        <f t="shared" si="78"/>
        <v>41.238288189400002</v>
      </c>
      <c r="CD56" s="17">
        <f t="shared" si="79"/>
        <v>42.4866767551</v>
      </c>
      <c r="CE56" s="17">
        <f t="shared" si="80"/>
        <v>43.772857238999997</v>
      </c>
      <c r="CF56" s="17">
        <f t="shared" si="81"/>
        <v>45.097973699100002</v>
      </c>
      <c r="CG56" s="17">
        <f t="shared" si="82"/>
        <v>46.463204827200002</v>
      </c>
      <c r="CH56" s="17">
        <f t="shared" si="83"/>
        <v>47.869764996900003</v>
      </c>
      <c r="CI56" s="17">
        <f t="shared" si="84"/>
        <v>49.318905344199997</v>
      </c>
      <c r="CJ56" s="17">
        <f t="shared" si="85"/>
        <v>50.811914880000003</v>
      </c>
      <c r="CK56" s="17">
        <f t="shared" si="86"/>
        <v>52.350121637000001</v>
      </c>
      <c r="CL56" s="17">
        <f t="shared" si="87"/>
        <v>53.934893850800002</v>
      </c>
      <c r="CM56" s="17">
        <f t="shared" si="88"/>
        <v>55.567641176999999</v>
      </c>
      <c r="CN56" s="17">
        <f t="shared" si="89"/>
        <v>57.249815945100003</v>
      </c>
      <c r="CO56" s="17">
        <f t="shared" si="90"/>
        <v>58.982914450300001</v>
      </c>
      <c r="CP56" s="17">
        <f t="shared" si="91"/>
        <v>60.768478284499999</v>
      </c>
      <c r="CQ56" s="17">
        <f t="shared" si="92"/>
        <v>62.608095707499999</v>
      </c>
      <c r="CR56" s="17">
        <f t="shared" si="93"/>
        <v>64.503403059899995</v>
      </c>
      <c r="CS56" s="17">
        <f t="shared" si="94"/>
        <v>66.456086218400003</v>
      </c>
      <c r="CT56" s="17">
        <f t="shared" si="95"/>
        <v>68.467882095500002</v>
      </c>
      <c r="CU56" s="17">
        <f t="shared" si="96"/>
        <v>70.540580184600003</v>
      </c>
      <c r="CV56" s="17">
        <f t="shared" si="97"/>
        <v>72.676024151600004</v>
      </c>
      <c r="CW56" s="17">
        <f t="shared" si="98"/>
        <v>74.876113474899995</v>
      </c>
      <c r="CX56" s="17">
        <f t="shared" si="99"/>
        <v>77.142805134900001</v>
      </c>
      <c r="CY56" s="17">
        <f t="shared" si="100"/>
        <v>79.478115354799996</v>
      </c>
      <c r="CZ56" s="17">
        <f t="shared" si="101"/>
        <v>81.884121394199994</v>
      </c>
      <c r="DA56" s="17">
        <f t="shared" si="102"/>
        <v>84.362963396500007</v>
      </c>
      <c r="DB56" s="17">
        <f t="shared" si="103"/>
        <v>86.916846292700001</v>
      </c>
    </row>
    <row r="57" spans="1:106" x14ac:dyDescent="0.2">
      <c r="A57">
        <f t="shared" si="7"/>
        <v>1.7762004615811383E+29</v>
      </c>
      <c r="B57" s="71">
        <f t="shared" si="149"/>
        <v>7.0058755198843789E-2</v>
      </c>
      <c r="C57" s="71">
        <f t="shared" si="150"/>
        <v>6.911190907030583E-2</v>
      </c>
      <c r="D57" s="177">
        <f t="shared" si="151"/>
        <v>53</v>
      </c>
      <c r="BF57" s="18">
        <f>IF(BF$3="","",ROUND(BE56*DownMove,RoundDigits))</f>
        <v>19.565887865899999</v>
      </c>
      <c r="BG57" s="17">
        <f t="shared" si="145"/>
        <v>20.158197386099999</v>
      </c>
      <c r="BH57" s="17">
        <f t="shared" si="146"/>
        <v>20.768437631899999</v>
      </c>
      <c r="BI57" s="17">
        <f t="shared" si="147"/>
        <v>21.3971514124</v>
      </c>
      <c r="BJ57" s="17">
        <f t="shared" si="148"/>
        <v>22.044897968699999</v>
      </c>
      <c r="BK57" s="17">
        <f t="shared" si="60"/>
        <v>22.712253471699999</v>
      </c>
      <c r="BL57" s="17">
        <f t="shared" si="61"/>
        <v>23.399811534400001</v>
      </c>
      <c r="BM57" s="17">
        <f t="shared" si="62"/>
        <v>24.108183740000001</v>
      </c>
      <c r="BN57" s="17">
        <f t="shared" si="63"/>
        <v>24.8380001859</v>
      </c>
      <c r="BO57" s="17">
        <f t="shared" si="64"/>
        <v>25.5899100442</v>
      </c>
      <c r="BP57" s="17">
        <f t="shared" si="65"/>
        <v>26.364582138999999</v>
      </c>
      <c r="BQ57" s="17">
        <f t="shared" si="66"/>
        <v>27.162705541499999</v>
      </c>
      <c r="BR57" s="17">
        <f t="shared" si="67"/>
        <v>27.984990182800001</v>
      </c>
      <c r="BS57" s="17">
        <f t="shared" si="68"/>
        <v>28.832167485500001</v>
      </c>
      <c r="BT57" s="17">
        <f t="shared" si="69"/>
        <v>29.704991014200001</v>
      </c>
      <c r="BU57" s="17">
        <f t="shared" si="70"/>
        <v>30.604237145799999</v>
      </c>
      <c r="BV57" s="17">
        <f t="shared" si="71"/>
        <v>31.530705760099998</v>
      </c>
      <c r="BW57" s="17">
        <f t="shared" si="72"/>
        <v>32.485220951400002</v>
      </c>
      <c r="BX57" s="17">
        <f t="shared" si="73"/>
        <v>33.468631761399998</v>
      </c>
      <c r="BY57" s="17">
        <f t="shared" si="74"/>
        <v>34.481812934399997</v>
      </c>
      <c r="BZ57" s="17">
        <f t="shared" si="75"/>
        <v>35.525665695599997</v>
      </c>
      <c r="CA57" s="17">
        <f t="shared" si="76"/>
        <v>36.601118552499997</v>
      </c>
      <c r="CB57" s="17">
        <f t="shared" si="77"/>
        <v>37.709128120800003</v>
      </c>
      <c r="CC57" s="17">
        <f t="shared" si="78"/>
        <v>38.850679975600002</v>
      </c>
      <c r="CD57" s="17">
        <f t="shared" si="79"/>
        <v>40.026789527699997</v>
      </c>
      <c r="CE57" s="17">
        <f t="shared" si="80"/>
        <v>41.238502927200003</v>
      </c>
      <c r="CF57" s="17">
        <f t="shared" si="81"/>
        <v>42.486897993600003</v>
      </c>
      <c r="CG57" s="17">
        <f t="shared" si="82"/>
        <v>43.773085174899997</v>
      </c>
      <c r="CH57" s="17">
        <f t="shared" si="83"/>
        <v>45.098208535200001</v>
      </c>
      <c r="CI57" s="17">
        <f t="shared" si="84"/>
        <v>46.463446772399998</v>
      </c>
      <c r="CJ57" s="17">
        <f t="shared" si="85"/>
        <v>47.870014266399998</v>
      </c>
      <c r="CK57" s="17">
        <f t="shared" si="86"/>
        <v>49.319162159699999</v>
      </c>
      <c r="CL57" s="17">
        <f t="shared" si="87"/>
        <v>50.812179469999997</v>
      </c>
      <c r="CM57" s="17">
        <f t="shared" si="88"/>
        <v>52.3503942368</v>
      </c>
      <c r="CN57" s="17">
        <f t="shared" si="89"/>
        <v>53.935174702899999</v>
      </c>
      <c r="CO57" s="17">
        <f t="shared" si="90"/>
        <v>55.567930531199998</v>
      </c>
      <c r="CP57" s="17">
        <f t="shared" si="91"/>
        <v>57.250114058800001</v>
      </c>
      <c r="CQ57" s="17">
        <f t="shared" si="92"/>
        <v>58.983221588600003</v>
      </c>
      <c r="CR57" s="17">
        <f t="shared" si="93"/>
        <v>60.768794720599999</v>
      </c>
      <c r="CS57" s="17">
        <f t="shared" si="94"/>
        <v>62.608421722899998</v>
      </c>
      <c r="CT57" s="17">
        <f t="shared" si="95"/>
        <v>64.503738944600002</v>
      </c>
      <c r="CU57" s="17">
        <f t="shared" si="96"/>
        <v>66.456432271200001</v>
      </c>
      <c r="CV57" s="17">
        <f t="shared" si="97"/>
        <v>68.468238624199998</v>
      </c>
      <c r="CW57" s="17">
        <f t="shared" si="98"/>
        <v>70.540947506400002</v>
      </c>
      <c r="CX57" s="17">
        <f t="shared" si="99"/>
        <v>72.676402593199995</v>
      </c>
      <c r="CY57" s="17">
        <f t="shared" si="100"/>
        <v>74.876503372900004</v>
      </c>
      <c r="CZ57" s="17">
        <f t="shared" si="101"/>
        <v>77.143206836100006</v>
      </c>
      <c r="DA57" s="17">
        <f t="shared" si="102"/>
        <v>79.478529216499993</v>
      </c>
      <c r="DB57" s="17">
        <f t="shared" si="103"/>
        <v>81.8845477845</v>
      </c>
    </row>
    <row r="58" spans="1:106" x14ac:dyDescent="0.2">
      <c r="A58">
        <f t="shared" si="7"/>
        <v>1.5788448547387906E+29</v>
      </c>
      <c r="B58" s="71">
        <f t="shared" si="149"/>
        <v>6.2274449065638962E-2</v>
      </c>
      <c r="C58" s="71">
        <f t="shared" si="150"/>
        <v>6.1108016254218342E-2</v>
      </c>
      <c r="D58" s="177">
        <f t="shared" si="151"/>
        <v>54</v>
      </c>
      <c r="BG58" s="18">
        <f>IF(BG$3="","",ROUND(BF57*DownMove,RoundDigits))</f>
        <v>18.991081102599999</v>
      </c>
      <c r="BH58" s="17">
        <f t="shared" si="146"/>
        <v>19.5659897504</v>
      </c>
      <c r="BI58" s="17">
        <f t="shared" si="147"/>
        <v>20.158302354900002</v>
      </c>
      <c r="BJ58" s="17">
        <f t="shared" si="148"/>
        <v>20.7685457784</v>
      </c>
      <c r="BK58" s="17">
        <f t="shared" si="60"/>
        <v>21.397262832799999</v>
      </c>
      <c r="BL58" s="17">
        <f t="shared" si="61"/>
        <v>22.045012762100001</v>
      </c>
      <c r="BM58" s="17">
        <f t="shared" si="62"/>
        <v>22.712371740199998</v>
      </c>
      <c r="BN58" s="17">
        <f t="shared" si="63"/>
        <v>23.3999333832</v>
      </c>
      <c r="BO58" s="17">
        <f t="shared" si="64"/>
        <v>24.108309277499998</v>
      </c>
      <c r="BP58" s="17">
        <f t="shared" si="65"/>
        <v>24.838129523799999</v>
      </c>
      <c r="BQ58" s="17">
        <f t="shared" si="66"/>
        <v>25.590043297499999</v>
      </c>
      <c r="BR58" s="17">
        <f t="shared" si="67"/>
        <v>26.364719426200001</v>
      </c>
      <c r="BS58" s="17">
        <f t="shared" si="68"/>
        <v>27.1628469847</v>
      </c>
      <c r="BT58" s="17">
        <f t="shared" si="69"/>
        <v>27.985135907899998</v>
      </c>
      <c r="BU58" s="17">
        <f t="shared" si="70"/>
        <v>28.8323176221</v>
      </c>
      <c r="BV58" s="17">
        <f t="shared" si="71"/>
        <v>29.705145695799999</v>
      </c>
      <c r="BW58" s="17">
        <f t="shared" si="72"/>
        <v>30.604396510000001</v>
      </c>
      <c r="BX58" s="17">
        <f t="shared" si="73"/>
        <v>31.530869948700001</v>
      </c>
      <c r="BY58" s="17">
        <f t="shared" si="74"/>
        <v>32.485390110399997</v>
      </c>
      <c r="BZ58" s="17">
        <f t="shared" si="75"/>
        <v>33.468806041299999</v>
      </c>
      <c r="CA58" s="17">
        <f t="shared" si="76"/>
        <v>34.4819924902</v>
      </c>
      <c r="CB58" s="17">
        <f t="shared" si="77"/>
        <v>35.525850687000002</v>
      </c>
      <c r="CC58" s="17">
        <f t="shared" si="78"/>
        <v>36.601309143999998</v>
      </c>
      <c r="CD58" s="17">
        <f t="shared" si="79"/>
        <v>37.709324482</v>
      </c>
      <c r="CE58" s="17">
        <f t="shared" si="80"/>
        <v>38.850882281099999</v>
      </c>
      <c r="CF58" s="17">
        <f t="shared" si="81"/>
        <v>40.026997957500001</v>
      </c>
      <c r="CG58" s="17">
        <f t="shared" si="82"/>
        <v>41.238717666699998</v>
      </c>
      <c r="CH58" s="17">
        <f t="shared" si="83"/>
        <v>42.487119233800001</v>
      </c>
      <c r="CI58" s="17">
        <f t="shared" si="84"/>
        <v>43.7733131126</v>
      </c>
      <c r="CJ58" s="17">
        <f t="shared" si="85"/>
        <v>45.098443373199999</v>
      </c>
      <c r="CK58" s="17">
        <f t="shared" si="86"/>
        <v>46.463688719499999</v>
      </c>
      <c r="CL58" s="17">
        <f t="shared" si="87"/>
        <v>47.870263537900001</v>
      </c>
      <c r="CM58" s="17">
        <f t="shared" si="88"/>
        <v>49.319418977300003</v>
      </c>
      <c r="CN58" s="17">
        <f t="shared" si="89"/>
        <v>50.812444062099999</v>
      </c>
      <c r="CO58" s="17">
        <f t="shared" si="90"/>
        <v>52.350666838800002</v>
      </c>
      <c r="CP58" s="17">
        <f t="shared" si="91"/>
        <v>53.935455557300003</v>
      </c>
      <c r="CQ58" s="17">
        <f t="shared" si="92"/>
        <v>55.568219887799998</v>
      </c>
      <c r="CR58" s="17">
        <f t="shared" si="93"/>
        <v>57.250412174899999</v>
      </c>
      <c r="CS58" s="17">
        <f t="shared" si="94"/>
        <v>58.983528729500001</v>
      </c>
      <c r="CT58" s="17">
        <f t="shared" si="95"/>
        <v>60.7691111595</v>
      </c>
      <c r="CU58" s="17">
        <f t="shared" si="96"/>
        <v>62.6087477413</v>
      </c>
      <c r="CV58" s="17">
        <f t="shared" si="97"/>
        <v>64.504074832399994</v>
      </c>
      <c r="CW58" s="17">
        <f t="shared" si="98"/>
        <v>66.456778327199999</v>
      </c>
      <c r="CX58" s="17">
        <f t="shared" si="99"/>
        <v>68.468595156199996</v>
      </c>
      <c r="CY58" s="17">
        <f t="shared" si="100"/>
        <v>70.541314831500003</v>
      </c>
      <c r="CZ58" s="17">
        <f t="shared" si="101"/>
        <v>72.676781038200005</v>
      </c>
      <c r="DA58" s="17">
        <f t="shared" si="102"/>
        <v>74.876893274400004</v>
      </c>
      <c r="DB58" s="17">
        <f t="shared" si="103"/>
        <v>77.143608540900004</v>
      </c>
    </row>
    <row r="59" spans="1:106" x14ac:dyDescent="0.2">
      <c r="A59">
        <f t="shared" si="7"/>
        <v>1.3491946940495127E+29</v>
      </c>
      <c r="B59" s="71">
        <f t="shared" si="149"/>
        <v>5.3216347383364233E-2</v>
      </c>
      <c r="C59" s="71">
        <f t="shared" si="150"/>
        <v>5.1943495550803291E-2</v>
      </c>
      <c r="D59" s="177">
        <f t="shared" si="151"/>
        <v>55</v>
      </c>
      <c r="BH59" s="18">
        <f>IF(BH$3="","",ROUND(BG58*DownMove,RoundDigits))</f>
        <v>18.4331610156</v>
      </c>
      <c r="BI59" s="17">
        <f t="shared" si="147"/>
        <v>18.991179993900001</v>
      </c>
      <c r="BJ59" s="17">
        <f t="shared" si="148"/>
        <v>19.566091635399999</v>
      </c>
      <c r="BK59" s="17">
        <f t="shared" si="60"/>
        <v>20.158407324199999</v>
      </c>
      <c r="BL59" s="17">
        <f t="shared" si="61"/>
        <v>20.768653925399999</v>
      </c>
      <c r="BM59" s="17">
        <f t="shared" si="62"/>
        <v>21.397374253599999</v>
      </c>
      <c r="BN59" s="17">
        <f t="shared" si="63"/>
        <v>22.045127555899999</v>
      </c>
      <c r="BO59" s="17">
        <f t="shared" si="64"/>
        <v>22.712490009100001</v>
      </c>
      <c r="BP59" s="17">
        <f t="shared" si="65"/>
        <v>23.4000552324</v>
      </c>
      <c r="BQ59" s="17">
        <f t="shared" si="66"/>
        <v>24.108434815399999</v>
      </c>
      <c r="BR59" s="17">
        <f t="shared" si="67"/>
        <v>24.838258862</v>
      </c>
      <c r="BS59" s="17">
        <f t="shared" si="68"/>
        <v>25.590176551100001</v>
      </c>
      <c r="BT59" s="17">
        <f t="shared" si="69"/>
        <v>26.3648567137</v>
      </c>
      <c r="BU59" s="17">
        <f t="shared" si="70"/>
        <v>27.1629884283</v>
      </c>
      <c r="BV59" s="17">
        <f t="shared" si="71"/>
        <v>27.985281633300001</v>
      </c>
      <c r="BW59" s="17">
        <f t="shared" si="72"/>
        <v>28.832467759</v>
      </c>
      <c r="BX59" s="17">
        <f t="shared" si="73"/>
        <v>29.705300377699999</v>
      </c>
      <c r="BY59" s="17">
        <f t="shared" si="74"/>
        <v>30.604555874500001</v>
      </c>
      <c r="BZ59" s="17">
        <f t="shared" si="75"/>
        <v>31.531034137599999</v>
      </c>
      <c r="CA59" s="17">
        <f t="shared" si="76"/>
        <v>32.4855592698</v>
      </c>
      <c r="CB59" s="17">
        <f t="shared" si="77"/>
        <v>33.4689803216</v>
      </c>
      <c r="CC59" s="17">
        <f t="shared" si="78"/>
        <v>34.482172046499997</v>
      </c>
      <c r="CD59" s="17">
        <f t="shared" si="79"/>
        <v>35.526035678900001</v>
      </c>
      <c r="CE59" s="17">
        <f t="shared" si="80"/>
        <v>36.601499736100003</v>
      </c>
      <c r="CF59" s="17">
        <f t="shared" si="81"/>
        <v>37.7095208438</v>
      </c>
      <c r="CG59" s="17">
        <f t="shared" si="82"/>
        <v>38.851084587300001</v>
      </c>
      <c r="CH59" s="17">
        <f t="shared" si="83"/>
        <v>40.027206388099998</v>
      </c>
      <c r="CI59" s="17">
        <f t="shared" si="84"/>
        <v>41.238932407</v>
      </c>
      <c r="CJ59" s="17">
        <f t="shared" si="85"/>
        <v>42.487340474900002</v>
      </c>
      <c r="CK59" s="17">
        <f t="shared" si="86"/>
        <v>43.773541051300001</v>
      </c>
      <c r="CL59" s="17">
        <f t="shared" si="87"/>
        <v>45.098678212199999</v>
      </c>
      <c r="CM59" s="17">
        <f t="shared" si="88"/>
        <v>46.463930667699998</v>
      </c>
      <c r="CN59" s="17">
        <f t="shared" si="89"/>
        <v>47.870512810500003</v>
      </c>
      <c r="CO59" s="17">
        <f t="shared" si="90"/>
        <v>49.319675795999999</v>
      </c>
      <c r="CP59" s="17">
        <f t="shared" si="91"/>
        <v>50.812708655400002</v>
      </c>
      <c r="CQ59" s="17">
        <f t="shared" si="92"/>
        <v>52.350939441999998</v>
      </c>
      <c r="CR59" s="17">
        <f t="shared" si="93"/>
        <v>53.935736412899999</v>
      </c>
      <c r="CS59" s="17">
        <f t="shared" si="94"/>
        <v>55.568509245599998</v>
      </c>
      <c r="CT59" s="17">
        <f t="shared" si="95"/>
        <v>57.250710292299999</v>
      </c>
      <c r="CU59" s="17">
        <f t="shared" si="96"/>
        <v>58.983835871700002</v>
      </c>
      <c r="CV59" s="17">
        <f t="shared" si="97"/>
        <v>60.769427599700002</v>
      </c>
      <c r="CW59" s="17">
        <f t="shared" si="98"/>
        <v>62.609073760900003</v>
      </c>
      <c r="CX59" s="17">
        <f t="shared" si="99"/>
        <v>64.504410721499994</v>
      </c>
      <c r="CY59" s="17">
        <f t="shared" si="100"/>
        <v>66.457124384500005</v>
      </c>
      <c r="CZ59" s="17">
        <f t="shared" si="101"/>
        <v>68.468951689600004</v>
      </c>
      <c r="DA59" s="17">
        <f t="shared" si="102"/>
        <v>70.541682158100002</v>
      </c>
      <c r="DB59" s="17">
        <f t="shared" si="103"/>
        <v>72.677159484699999</v>
      </c>
    </row>
    <row r="60" spans="1:106" x14ac:dyDescent="0.2">
      <c r="A60">
        <f t="shared" si="7"/>
        <v>1.1082670701120991E+29</v>
      </c>
      <c r="B60" s="71">
        <f t="shared" si="149"/>
        <v>4.3713428207763451E-2</v>
      </c>
      <c r="C60" s="71">
        <f t="shared" si="150"/>
        <v>4.2442288704258167E-2</v>
      </c>
      <c r="D60" s="177">
        <f t="shared" si="151"/>
        <v>56</v>
      </c>
      <c r="BI60" s="18">
        <f>IF(BI$3="","",ROUND(BH59*DownMove,RoundDigits))</f>
        <v>17.891631508</v>
      </c>
      <c r="BJ60" s="17">
        <f t="shared" si="148"/>
        <v>18.433257001600001</v>
      </c>
      <c r="BK60" s="17">
        <f t="shared" si="60"/>
        <v>18.9912788856</v>
      </c>
      <c r="BL60" s="17">
        <f t="shared" si="61"/>
        <v>19.566193520799999</v>
      </c>
      <c r="BM60" s="17">
        <f t="shared" si="62"/>
        <v>20.158512293899999</v>
      </c>
      <c r="BN60" s="17">
        <f t="shared" si="63"/>
        <v>20.768762072800001</v>
      </c>
      <c r="BO60" s="17">
        <f t="shared" si="64"/>
        <v>21.3974856749</v>
      </c>
      <c r="BP60" s="17">
        <f t="shared" si="65"/>
        <v>22.045242350199999</v>
      </c>
      <c r="BQ60" s="17">
        <f t="shared" si="66"/>
        <v>22.712608278499999</v>
      </c>
      <c r="BR60" s="17">
        <f t="shared" si="67"/>
        <v>23.400177082100001</v>
      </c>
      <c r="BS60" s="17">
        <f t="shared" si="68"/>
        <v>24.108560353800002</v>
      </c>
      <c r="BT60" s="17">
        <f t="shared" si="69"/>
        <v>24.838388200800001</v>
      </c>
      <c r="BU60" s="17">
        <f t="shared" si="70"/>
        <v>25.590309805299999</v>
      </c>
      <c r="BV60" s="17">
        <f t="shared" si="71"/>
        <v>26.364994001900001</v>
      </c>
      <c r="BW60" s="17">
        <f t="shared" si="72"/>
        <v>27.163129872500001</v>
      </c>
      <c r="BX60" s="17">
        <f t="shared" si="73"/>
        <v>27.985427359399999</v>
      </c>
      <c r="BY60" s="17">
        <f t="shared" si="74"/>
        <v>28.832617896599999</v>
      </c>
      <c r="BZ60" s="17">
        <f t="shared" si="75"/>
        <v>29.705455060399999</v>
      </c>
      <c r="CA60" s="17">
        <f t="shared" si="76"/>
        <v>30.604715239899999</v>
      </c>
      <c r="CB60" s="17">
        <f t="shared" si="77"/>
        <v>31.531198327399999</v>
      </c>
      <c r="CC60" s="17">
        <f t="shared" si="78"/>
        <v>32.485728430000002</v>
      </c>
      <c r="CD60" s="17">
        <f t="shared" si="79"/>
        <v>33.469154602700002</v>
      </c>
      <c r="CE60" s="17">
        <f t="shared" si="80"/>
        <v>34.4823516035</v>
      </c>
      <c r="CF60" s="17">
        <f t="shared" si="81"/>
        <v>35.526220671600001</v>
      </c>
      <c r="CG60" s="17">
        <f t="shared" si="82"/>
        <v>36.601690329</v>
      </c>
      <c r="CH60" s="17">
        <f t="shared" si="83"/>
        <v>37.709717206400001</v>
      </c>
      <c r="CI60" s="17">
        <f t="shared" si="84"/>
        <v>38.851286894300003</v>
      </c>
      <c r="CJ60" s="17">
        <f t="shared" si="85"/>
        <v>40.027414819400001</v>
      </c>
      <c r="CK60" s="17">
        <f t="shared" si="86"/>
        <v>41.239147148000001</v>
      </c>
      <c r="CL60" s="17">
        <f t="shared" si="87"/>
        <v>42.487561716599998</v>
      </c>
      <c r="CM60" s="17">
        <f t="shared" si="88"/>
        <v>43.773768990500002</v>
      </c>
      <c r="CN60" s="17">
        <f t="shared" si="89"/>
        <v>45.098913051700002</v>
      </c>
      <c r="CO60" s="17">
        <f t="shared" si="90"/>
        <v>46.464172616399999</v>
      </c>
      <c r="CP60" s="17">
        <f t="shared" si="91"/>
        <v>47.870762083599999</v>
      </c>
      <c r="CQ60" s="17">
        <f t="shared" si="92"/>
        <v>49.319932615200003</v>
      </c>
      <c r="CR60" s="17">
        <f t="shared" si="93"/>
        <v>50.812973249099997</v>
      </c>
      <c r="CS60" s="17">
        <f t="shared" si="94"/>
        <v>52.351212045600001</v>
      </c>
      <c r="CT60" s="17">
        <f t="shared" si="95"/>
        <v>53.936017268900002</v>
      </c>
      <c r="CU60" s="17">
        <f t="shared" si="96"/>
        <v>55.568798603799998</v>
      </c>
      <c r="CV60" s="17">
        <f t="shared" si="97"/>
        <v>57.251008410200001</v>
      </c>
      <c r="CW60" s="17">
        <f t="shared" si="98"/>
        <v>58.984143014300003</v>
      </c>
      <c r="CX60" s="17">
        <f t="shared" si="99"/>
        <v>60.769744040299997</v>
      </c>
      <c r="CY60" s="17">
        <f t="shared" si="100"/>
        <v>62.609399781</v>
      </c>
      <c r="CZ60" s="17">
        <f t="shared" si="101"/>
        <v>64.504746611000002</v>
      </c>
      <c r="DA60" s="17">
        <f t="shared" si="102"/>
        <v>66.457470442200005</v>
      </c>
      <c r="DB60" s="17">
        <f t="shared" si="103"/>
        <v>68.469308223300004</v>
      </c>
    </row>
    <row r="61" spans="1:106" x14ac:dyDescent="0.2">
      <c r="A61">
        <f t="shared" si="7"/>
        <v>8.7494768693060485E+28</v>
      </c>
      <c r="B61" s="71">
        <f t="shared" si="149"/>
        <v>3.4510601216655369E-2</v>
      </c>
      <c r="C61" s="71">
        <f t="shared" si="150"/>
        <v>3.3329920031033619E-2</v>
      </c>
      <c r="D61" s="177">
        <f t="shared" si="151"/>
        <v>57</v>
      </c>
      <c r="BJ61" s="18">
        <f>IF(BJ$3="","",ROUND(BI60*DownMove,RoundDigits))</f>
        <v>17.3660110573</v>
      </c>
      <c r="BK61" s="17">
        <f t="shared" ref="BK61" si="152">IF(BK$3="","",ROUND(BJ61*UpMove,RoundDigits))</f>
        <v>17.891724674100001</v>
      </c>
      <c r="BL61" s="17">
        <f t="shared" ref="BL61:BL62" si="153">IF(BL$3="","",ROUND(BK61*UpMove,RoundDigits))</f>
        <v>18.433352988100001</v>
      </c>
      <c r="BM61" s="17">
        <f t="shared" ref="BM61:BM63" si="154">IF(BM$3="","",ROUND(BL61*UpMove,RoundDigits))</f>
        <v>18.991377777899999</v>
      </c>
      <c r="BN61" s="17">
        <f t="shared" ref="BN61:BN64" si="155">IF(BN$3="","",ROUND(BM61*UpMove,RoundDigits))</f>
        <v>19.566295406799998</v>
      </c>
      <c r="BO61" s="17">
        <f t="shared" ref="BO61:BO65" si="156">IF(BO$3="","",ROUND(BN61*UpMove,RoundDigits))</f>
        <v>20.158617264299998</v>
      </c>
      <c r="BP61" s="17">
        <f t="shared" ref="BP61:BP66" si="157">IF(BP$3="","",ROUND(BO61*UpMove,RoundDigits))</f>
        <v>20.768870220899998</v>
      </c>
      <c r="BQ61" s="17">
        <f t="shared" ref="BQ61:BQ67" si="158">IF(BQ$3="","",ROUND(BP61*UpMove,RoundDigits))</f>
        <v>21.397597096999998</v>
      </c>
      <c r="BR61" s="17">
        <f t="shared" ref="BR61:BR68" si="159">IF(BR$3="","",ROUND(BQ61*UpMove,RoundDigits))</f>
        <v>22.045357145299999</v>
      </c>
      <c r="BS61" s="17">
        <f t="shared" ref="BS61:BS69" si="160">IF(BS$3="","",ROUND(BR61*UpMove,RoundDigits))</f>
        <v>22.712726548700001</v>
      </c>
      <c r="BT61" s="17">
        <f t="shared" ref="BT61:BT70" si="161">IF(BT$3="","",ROUND(BS61*UpMove,RoundDigits))</f>
        <v>23.400298932599998</v>
      </c>
      <c r="BU61" s="17">
        <f t="shared" ref="BU61:BU71" si="162">IF(BU$3="","",ROUND(BT61*UpMove,RoundDigits))</f>
        <v>24.108685893000001</v>
      </c>
      <c r="BV61" s="17">
        <f t="shared" ref="BV61:BV72" si="163">IF(BV$3="","",ROUND(BU61*UpMove,RoundDigits))</f>
        <v>24.838517540400002</v>
      </c>
      <c r="BW61" s="17">
        <f t="shared" ref="BW61:BW73" si="164">IF(BW$3="","",ROUND(BV61*UpMove,RoundDigits))</f>
        <v>25.5904430603</v>
      </c>
      <c r="BX61" s="17">
        <f t="shared" ref="BX61:BX74" si="165">IF(BX$3="","",ROUND(BW61*UpMove,RoundDigits))</f>
        <v>26.365131290899999</v>
      </c>
      <c r="BY61" s="17">
        <f t="shared" ref="BY61:BY75" si="166">IF(BY$3="","",ROUND(BX61*UpMove,RoundDigits))</f>
        <v>27.1632713176</v>
      </c>
      <c r="BZ61" s="17">
        <f t="shared" ref="BZ61:BZ76" si="167">IF(BZ$3="","",ROUND(BY61*UpMove,RoundDigits))</f>
        <v>27.985573086399999</v>
      </c>
      <c r="CA61" s="17">
        <f t="shared" ref="CA61:CA77" si="168">IF(CA$3="","",ROUND(BZ61*UpMove,RoundDigits))</f>
        <v>28.832768035099999</v>
      </c>
      <c r="CB61" s="17">
        <f t="shared" ref="CB61:CB78" si="169">IF(CB$3="","",ROUND(CA61*UpMove,RoundDigits))</f>
        <v>29.705609744</v>
      </c>
      <c r="CC61" s="17">
        <f t="shared" ref="CC61:CC79" si="170">IF(CC$3="","",ROUND(CB61*UpMove,RoundDigits))</f>
        <v>30.604874606100001</v>
      </c>
      <c r="CD61" s="17">
        <f t="shared" ref="CD61:CD80" si="171">IF(CD$3="","",ROUND(CC61*UpMove,RoundDigits))</f>
        <v>31.531362518000002</v>
      </c>
      <c r="CE61" s="17">
        <f t="shared" ref="CE61:CE81" si="172">IF(CE$3="","",ROUND(CD61*UpMove,RoundDigits))</f>
        <v>32.485897591099999</v>
      </c>
      <c r="CF61" s="17">
        <f t="shared" ref="CF61:CF82" si="173">IF(CF$3="","",ROUND(CE61*UpMove,RoundDigits))</f>
        <v>33.469328884699998</v>
      </c>
      <c r="CG61" s="17">
        <f t="shared" ref="CG61:CG83" si="174">IF(CG$3="","",ROUND(CF61*UpMove,RoundDigits))</f>
        <v>34.482531161499999</v>
      </c>
      <c r="CH61" s="17">
        <f t="shared" ref="CH61:CH84" si="175">IF(CH$3="","",ROUND(CG61*UpMove,RoundDigits))</f>
        <v>35.526405665299997</v>
      </c>
      <c r="CI61" s="17">
        <f t="shared" ref="CI61:CI85" si="176">IF(CI$3="","",ROUND(CH61*UpMove,RoundDigits))</f>
        <v>36.601880922900001</v>
      </c>
      <c r="CJ61" s="17">
        <f t="shared" ref="CJ61:CJ86" si="177">IF(CJ$3="","",ROUND(CI61*UpMove,RoundDigits))</f>
        <v>37.709913570099999</v>
      </c>
      <c r="CK61" s="17">
        <f t="shared" ref="CK61:CK87" si="178">IF(CK$3="","",ROUND(CJ61*UpMove,RoundDigits))</f>
        <v>38.851489202400003</v>
      </c>
      <c r="CL61" s="17">
        <f t="shared" ref="CL61:CL88" si="179">IF(CL$3="","",ROUND(CK61*UpMove,RoundDigits))</f>
        <v>40.027623251900003</v>
      </c>
      <c r="CM61" s="17">
        <f t="shared" ref="CM61:CM89" si="180">IF(CM$3="","",ROUND(CL61*UpMove,RoundDigits))</f>
        <v>41.239361890300003</v>
      </c>
      <c r="CN61" s="17">
        <f t="shared" ref="CN61:CN90" si="181">IF(CN$3="","",ROUND(CM61*UpMove,RoundDigits))</f>
        <v>42.487782959699999</v>
      </c>
      <c r="CO61" s="17">
        <f t="shared" ref="CO61:CO91" si="182">IF(CO$3="","",ROUND(CN61*UpMove,RoundDigits))</f>
        <v>43.773996931200003</v>
      </c>
      <c r="CP61" s="17">
        <f t="shared" ref="CP61:CP92" si="183">IF(CP$3="","",ROUND(CO61*UpMove,RoundDigits))</f>
        <v>45.099147892700003</v>
      </c>
      <c r="CQ61" s="17">
        <f t="shared" ref="CQ61:CQ93" si="184">IF(CQ$3="","",ROUND(CP61*UpMove,RoundDigits))</f>
        <v>46.464414566599999</v>
      </c>
      <c r="CR61" s="17">
        <f t="shared" ref="CR61:CR94" si="185">IF(CR$3="","",ROUND(CQ61*UpMove,RoundDigits))</f>
        <v>47.871011358200001</v>
      </c>
      <c r="CS61" s="17">
        <f t="shared" ref="CS61:CS95" si="186">IF(CS$3="","",ROUND(CR61*UpMove,RoundDigits))</f>
        <v>49.320189436</v>
      </c>
      <c r="CT61" s="17">
        <f t="shared" ref="CT61:CT96" si="187">IF(CT$3="","",ROUND(CS61*UpMove,RoundDigits))</f>
        <v>50.813237844600003</v>
      </c>
      <c r="CU61" s="17">
        <f t="shared" ref="CU61:CU97" si="188">IF(CU$3="","",ROUND(CT61*UpMove,RoundDigits))</f>
        <v>52.351484651100002</v>
      </c>
      <c r="CV61" s="17">
        <f t="shared" ref="CV61:CV98" si="189">IF(CV$3="","",ROUND(CU61*UpMove,RoundDigits))</f>
        <v>53.936298126799997</v>
      </c>
      <c r="CW61" s="17">
        <f t="shared" ref="CW61:CW99" si="190">IF(CW$3="","",ROUND(CV61*UpMove,RoundDigits))</f>
        <v>55.569087963999998</v>
      </c>
      <c r="CX61" s="17">
        <f t="shared" ref="CX61:CX100" si="191">IF(CX$3="","",ROUND(CW61*UpMove,RoundDigits))</f>
        <v>57.251306530000001</v>
      </c>
      <c r="CY61" s="17">
        <f t="shared" ref="CY61:CY101" si="192">IF(CY$3="","",ROUND(CX61*UpMove,RoundDigits))</f>
        <v>58.984450158999998</v>
      </c>
      <c r="CZ61" s="17">
        <f t="shared" ref="CZ61:CZ102" si="193">IF(CZ$3="","",ROUND(CY61*UpMove,RoundDigits))</f>
        <v>60.770060483000002</v>
      </c>
      <c r="DA61" s="17">
        <f t="shared" ref="DA61:DA103" si="194">IF(DA$3="","",ROUND(CZ61*UpMove,RoundDigits))</f>
        <v>62.6097258032</v>
      </c>
      <c r="DB61" s="17">
        <f t="shared" ref="DB61:DB104" si="195">IF(DB$3="","",ROUND(DA61*UpMove,RoundDigits))</f>
        <v>64.505082502700006</v>
      </c>
    </row>
    <row r="62" spans="1:106" x14ac:dyDescent="0.2">
      <c r="A62">
        <f t="shared" si="7"/>
        <v>6.63753417671493E+28</v>
      </c>
      <c r="B62" s="71">
        <f t="shared" si="149"/>
        <v>2.6180456095393715E-2</v>
      </c>
      <c r="C62" s="71">
        <f t="shared" si="150"/>
        <v>2.5151087776509578E-2</v>
      </c>
      <c r="D62" s="177">
        <f t="shared" si="151"/>
        <v>58</v>
      </c>
      <c r="BK62" s="18">
        <f>IF(BK$3="","",ROUND(BJ61*DownMove,RoundDigits))</f>
        <v>16.855832287199998</v>
      </c>
      <c r="BL62" s="17">
        <f t="shared" si="153"/>
        <v>17.3661014865</v>
      </c>
      <c r="BM62" s="17">
        <f t="shared" si="154"/>
        <v>17.8918178409</v>
      </c>
      <c r="BN62" s="17">
        <f t="shared" si="155"/>
        <v>18.433448975299999</v>
      </c>
      <c r="BO62" s="17">
        <f t="shared" si="156"/>
        <v>18.991476670899999</v>
      </c>
      <c r="BP62" s="17">
        <f t="shared" si="157"/>
        <v>19.5663972935</v>
      </c>
      <c r="BQ62" s="17">
        <f t="shared" si="158"/>
        <v>20.158722235399999</v>
      </c>
      <c r="BR62" s="17">
        <f t="shared" si="159"/>
        <v>20.768978369799999</v>
      </c>
      <c r="BS62" s="17">
        <f t="shared" si="160"/>
        <v>21.397708519799998</v>
      </c>
      <c r="BT62" s="17">
        <f t="shared" si="161"/>
        <v>22.045471941199999</v>
      </c>
      <c r="BU62" s="17">
        <f t="shared" si="162"/>
        <v>22.712844819800001</v>
      </c>
      <c r="BV62" s="17">
        <f t="shared" si="163"/>
        <v>23.4004207841</v>
      </c>
      <c r="BW62" s="17">
        <f t="shared" si="164"/>
        <v>24.108811433300001</v>
      </c>
      <c r="BX62" s="17">
        <f t="shared" si="165"/>
        <v>24.838646881100001</v>
      </c>
      <c r="BY62" s="17">
        <f t="shared" si="166"/>
        <v>25.590576316500002</v>
      </c>
      <c r="BZ62" s="17">
        <f t="shared" si="167"/>
        <v>26.3652685811</v>
      </c>
      <c r="CA62" s="17">
        <f t="shared" si="168"/>
        <v>27.163412764</v>
      </c>
      <c r="CB62" s="17">
        <f t="shared" si="169"/>
        <v>27.985718814799998</v>
      </c>
      <c r="CC62" s="17">
        <f t="shared" si="170"/>
        <v>28.832918175100001</v>
      </c>
      <c r="CD62" s="17">
        <f t="shared" si="171"/>
        <v>29.7057644291</v>
      </c>
      <c r="CE62" s="17">
        <f t="shared" si="172"/>
        <v>30.605033973899999</v>
      </c>
      <c r="CF62" s="17">
        <f t="shared" si="173"/>
        <v>31.5315267103</v>
      </c>
      <c r="CG62" s="17">
        <f t="shared" si="174"/>
        <v>32.486066753899998</v>
      </c>
      <c r="CH62" s="17">
        <f t="shared" si="175"/>
        <v>33.469503168499998</v>
      </c>
      <c r="CI62" s="17">
        <f t="shared" si="176"/>
        <v>34.482710721300002</v>
      </c>
      <c r="CJ62" s="17">
        <f t="shared" si="177"/>
        <v>35.526590660799997</v>
      </c>
      <c r="CK62" s="17">
        <f t="shared" si="178"/>
        <v>36.602071518700001</v>
      </c>
      <c r="CL62" s="17">
        <f t="shared" si="179"/>
        <v>37.710109935699997</v>
      </c>
      <c r="CM62" s="17">
        <f t="shared" si="180"/>
        <v>38.851691512499997</v>
      </c>
      <c r="CN62" s="17">
        <f t="shared" si="181"/>
        <v>40.027831686399999</v>
      </c>
      <c r="CO62" s="17">
        <f t="shared" si="182"/>
        <v>41.239576634700001</v>
      </c>
      <c r="CP62" s="17">
        <f t="shared" si="183"/>
        <v>42.488004205000003</v>
      </c>
      <c r="CQ62" s="17">
        <f t="shared" si="184"/>
        <v>43.774224874200002</v>
      </c>
      <c r="CR62" s="17">
        <f t="shared" si="185"/>
        <v>45.099382736099997</v>
      </c>
      <c r="CS62" s="17">
        <f t="shared" si="186"/>
        <v>46.4646565193</v>
      </c>
      <c r="CT62" s="17">
        <f t="shared" si="187"/>
        <v>47.871260635399999</v>
      </c>
      <c r="CU62" s="17">
        <f t="shared" si="188"/>
        <v>49.320446259500002</v>
      </c>
      <c r="CV62" s="17">
        <f t="shared" si="189"/>
        <v>50.813502442800001</v>
      </c>
      <c r="CW62" s="17">
        <f t="shared" si="190"/>
        <v>52.351757259400003</v>
      </c>
      <c r="CX62" s="17">
        <f t="shared" si="191"/>
        <v>53.936578987700003</v>
      </c>
      <c r="CY62" s="17">
        <f t="shared" si="192"/>
        <v>55.569377327300003</v>
      </c>
      <c r="CZ62" s="17">
        <f t="shared" si="193"/>
        <v>57.251604653100003</v>
      </c>
      <c r="DA62" s="17">
        <f t="shared" si="194"/>
        <v>58.984757307000002</v>
      </c>
      <c r="DB62" s="17">
        <f t="shared" si="195"/>
        <v>60.770376929199998</v>
      </c>
    </row>
    <row r="63" spans="1:106" x14ac:dyDescent="0.2">
      <c r="A63">
        <f t="shared" si="7"/>
        <v>4.8375249084532529E+28</v>
      </c>
      <c r="B63" s="71">
        <f t="shared" si="149"/>
        <v>1.9080671391558127E-2</v>
      </c>
      <c r="C63" s="71">
        <f t="shared" si="150"/>
        <v>1.8233541722768174E-2</v>
      </c>
      <c r="D63" s="177">
        <f t="shared" si="151"/>
        <v>59</v>
      </c>
      <c r="BL63" s="18">
        <f>IF(BL$3="","",ROUND(BK62*DownMove,RoundDigits))</f>
        <v>16.360641551800001</v>
      </c>
      <c r="BM63" s="17">
        <f t="shared" si="154"/>
        <v>16.855920059700001</v>
      </c>
      <c r="BN63" s="17">
        <f t="shared" si="155"/>
        <v>17.3661919161</v>
      </c>
      <c r="BO63" s="17">
        <f t="shared" si="156"/>
        <v>17.891911008000001</v>
      </c>
      <c r="BP63" s="17">
        <f t="shared" si="157"/>
        <v>18.433544962799999</v>
      </c>
      <c r="BQ63" s="17">
        <f t="shared" si="158"/>
        <v>18.991575564200001</v>
      </c>
      <c r="BR63" s="17">
        <f t="shared" si="159"/>
        <v>19.566499180600001</v>
      </c>
      <c r="BS63" s="17">
        <f t="shared" si="160"/>
        <v>20.158827206800002</v>
      </c>
      <c r="BT63" s="17">
        <f t="shared" si="161"/>
        <v>20.7690865189</v>
      </c>
      <c r="BU63" s="17">
        <f t="shared" si="162"/>
        <v>21.3978199429</v>
      </c>
      <c r="BV63" s="17">
        <f t="shared" si="163"/>
        <v>22.045586737299999</v>
      </c>
      <c r="BW63" s="17">
        <f t="shared" si="164"/>
        <v>22.712963091100001</v>
      </c>
      <c r="BX63" s="17">
        <f t="shared" si="165"/>
        <v>23.400542635800001</v>
      </c>
      <c r="BY63" s="17">
        <f t="shared" si="166"/>
        <v>24.108936973700001</v>
      </c>
      <c r="BZ63" s="17">
        <f t="shared" si="167"/>
        <v>24.838776221900002</v>
      </c>
      <c r="CA63" s="17">
        <f t="shared" si="168"/>
        <v>25.590709572800002</v>
      </c>
      <c r="CB63" s="17">
        <f t="shared" si="169"/>
        <v>26.3654058714</v>
      </c>
      <c r="CC63" s="17">
        <f t="shared" si="170"/>
        <v>27.163554210400001</v>
      </c>
      <c r="CD63" s="17">
        <f t="shared" si="171"/>
        <v>27.9858645431</v>
      </c>
      <c r="CE63" s="17">
        <f t="shared" si="172"/>
        <v>28.8330683149</v>
      </c>
      <c r="CF63" s="17">
        <f t="shared" si="173"/>
        <v>29.705919114</v>
      </c>
      <c r="CG63" s="17">
        <f t="shared" si="174"/>
        <v>30.6051933416</v>
      </c>
      <c r="CH63" s="17">
        <f t="shared" si="175"/>
        <v>31.531690902400001</v>
      </c>
      <c r="CI63" s="17">
        <f t="shared" si="176"/>
        <v>32.4862359165</v>
      </c>
      <c r="CJ63" s="17">
        <f t="shared" si="177"/>
        <v>33.469677452100001</v>
      </c>
      <c r="CK63" s="17">
        <f t="shared" si="178"/>
        <v>34.482890280900001</v>
      </c>
      <c r="CL63" s="17">
        <f t="shared" si="179"/>
        <v>35.5267756561</v>
      </c>
      <c r="CM63" s="17">
        <f t="shared" si="180"/>
        <v>36.602262114299997</v>
      </c>
      <c r="CN63" s="17">
        <f t="shared" si="181"/>
        <v>37.710306301199999</v>
      </c>
      <c r="CO63" s="17">
        <f t="shared" si="182"/>
        <v>38.851893822500003</v>
      </c>
      <c r="CP63" s="17">
        <f t="shared" si="183"/>
        <v>40.028040120900002</v>
      </c>
      <c r="CQ63" s="17">
        <f t="shared" si="184"/>
        <v>41.239791379000003</v>
      </c>
      <c r="CR63" s="17">
        <f t="shared" si="185"/>
        <v>42.488225450100003</v>
      </c>
      <c r="CS63" s="17">
        <f t="shared" si="186"/>
        <v>43.774452816900002</v>
      </c>
      <c r="CT63" s="17">
        <f t="shared" si="187"/>
        <v>45.099617579300002</v>
      </c>
      <c r="CU63" s="17">
        <f t="shared" si="188"/>
        <v>46.464898471799998</v>
      </c>
      <c r="CV63" s="17">
        <f t="shared" si="189"/>
        <v>47.871509912500002</v>
      </c>
      <c r="CW63" s="17">
        <f t="shared" si="190"/>
        <v>49.320703082800001</v>
      </c>
      <c r="CX63" s="17">
        <f t="shared" si="191"/>
        <v>50.813767040800002</v>
      </c>
      <c r="CY63" s="17">
        <f t="shared" si="192"/>
        <v>52.352029867399999</v>
      </c>
      <c r="CZ63" s="17">
        <f t="shared" si="193"/>
        <v>53.936859848200001</v>
      </c>
      <c r="DA63" s="17">
        <f t="shared" si="194"/>
        <v>55.569666690200002</v>
      </c>
      <c r="DB63" s="17">
        <f t="shared" si="195"/>
        <v>57.251902775799998</v>
      </c>
    </row>
    <row r="64" spans="1:106" x14ac:dyDescent="0.2">
      <c r="A64">
        <f t="shared" si="7"/>
        <v>3.3862674359172785E+28</v>
      </c>
      <c r="B64" s="71">
        <f t="shared" si="149"/>
        <v>1.3356469974090695E-2</v>
      </c>
      <c r="C64" s="71">
        <f t="shared" si="150"/>
        <v>1.2695999407733331E-2</v>
      </c>
      <c r="D64" s="177">
        <f t="shared" si="151"/>
        <v>60</v>
      </c>
      <c r="BM64" s="18">
        <f>IF(BM$3="","",ROUND(BL63*DownMove,RoundDigits))</f>
        <v>15.8799985326</v>
      </c>
      <c r="BN64" s="17">
        <f t="shared" si="155"/>
        <v>16.360726745699999</v>
      </c>
      <c r="BO64" s="17">
        <f t="shared" si="156"/>
        <v>16.8560078326</v>
      </c>
      <c r="BP64" s="17">
        <f t="shared" si="157"/>
        <v>17.3662823461</v>
      </c>
      <c r="BQ64" s="17">
        <f t="shared" si="158"/>
        <v>17.8920041756</v>
      </c>
      <c r="BR64" s="17">
        <f t="shared" si="159"/>
        <v>18.433640950800001</v>
      </c>
      <c r="BS64" s="17">
        <f t="shared" si="160"/>
        <v>18.991674457999999</v>
      </c>
      <c r="BT64" s="17">
        <f t="shared" si="161"/>
        <v>19.566601068200001</v>
      </c>
      <c r="BU64" s="17">
        <f t="shared" si="162"/>
        <v>20.158932178800001</v>
      </c>
      <c r="BV64" s="17">
        <f t="shared" si="163"/>
        <v>20.769194668699999</v>
      </c>
      <c r="BW64" s="17">
        <f t="shared" si="164"/>
        <v>21.397931366600002</v>
      </c>
      <c r="BX64" s="17">
        <f t="shared" si="165"/>
        <v>22.045701534100001</v>
      </c>
      <c r="BY64" s="17">
        <f t="shared" si="166"/>
        <v>22.713081363099999</v>
      </c>
      <c r="BZ64" s="17">
        <f t="shared" si="167"/>
        <v>23.4006644882</v>
      </c>
      <c r="CA64" s="17">
        <f t="shared" si="168"/>
        <v>24.1090625149</v>
      </c>
      <c r="CB64" s="17">
        <f t="shared" si="169"/>
        <v>24.838905563600001</v>
      </c>
      <c r="CC64" s="17">
        <f t="shared" si="170"/>
        <v>25.59084283</v>
      </c>
      <c r="CD64" s="17">
        <f t="shared" si="171"/>
        <v>26.365543162600002</v>
      </c>
      <c r="CE64" s="17">
        <f t="shared" si="172"/>
        <v>27.1636956577</v>
      </c>
      <c r="CF64" s="17">
        <f t="shared" si="173"/>
        <v>27.986010272400001</v>
      </c>
      <c r="CG64" s="17">
        <f t="shared" si="174"/>
        <v>28.833218455800001</v>
      </c>
      <c r="CH64" s="17">
        <f t="shared" si="175"/>
        <v>29.7060738001</v>
      </c>
      <c r="CI64" s="17">
        <f t="shared" si="176"/>
        <v>30.605352710399998</v>
      </c>
      <c r="CJ64" s="17">
        <f t="shared" si="177"/>
        <v>31.531855095699999</v>
      </c>
      <c r="CK64" s="17">
        <f t="shared" si="178"/>
        <v>32.486405080399997</v>
      </c>
      <c r="CL64" s="17">
        <f t="shared" si="179"/>
        <v>33.469851736999999</v>
      </c>
      <c r="CM64" s="17">
        <f t="shared" si="180"/>
        <v>34.483069841800003</v>
      </c>
      <c r="CN64" s="17">
        <f t="shared" si="181"/>
        <v>35.5269606528</v>
      </c>
      <c r="CO64" s="17">
        <f t="shared" si="182"/>
        <v>36.602452711300003</v>
      </c>
      <c r="CP64" s="17">
        <f t="shared" si="183"/>
        <v>37.710502667999997</v>
      </c>
      <c r="CQ64" s="17">
        <f t="shared" si="184"/>
        <v>38.852096133800003</v>
      </c>
      <c r="CR64" s="17">
        <f t="shared" si="185"/>
        <v>40.028248556699999</v>
      </c>
      <c r="CS64" s="17">
        <f t="shared" si="186"/>
        <v>41.240006124700002</v>
      </c>
      <c r="CT64" s="17">
        <f t="shared" si="187"/>
        <v>42.488446696700002</v>
      </c>
      <c r="CU64" s="17">
        <f t="shared" si="188"/>
        <v>43.774680761200003</v>
      </c>
      <c r="CV64" s="17">
        <f t="shared" si="189"/>
        <v>45.099852423999998</v>
      </c>
      <c r="CW64" s="17">
        <f t="shared" si="190"/>
        <v>46.465140425900003</v>
      </c>
      <c r="CX64" s="17">
        <f t="shared" si="191"/>
        <v>47.871759191099997</v>
      </c>
      <c r="CY64" s="17">
        <f t="shared" si="192"/>
        <v>49.320959907700001</v>
      </c>
      <c r="CZ64" s="17">
        <f t="shared" si="193"/>
        <v>50.814031640400003</v>
      </c>
      <c r="DA64" s="17">
        <f t="shared" si="194"/>
        <v>52.352302477199999</v>
      </c>
      <c r="DB64" s="17">
        <f t="shared" si="195"/>
        <v>53.937140710599998</v>
      </c>
    </row>
    <row r="65" spans="1:106" x14ac:dyDescent="0.2">
      <c r="A65">
        <f t="shared" si="7"/>
        <v>2.276015817583745E+28</v>
      </c>
      <c r="B65" s="71">
        <f t="shared" si="149"/>
        <v>8.9772994907822718E-3</v>
      </c>
      <c r="C65" s="71">
        <f t="shared" si="150"/>
        <v>8.4882611676856175E-3</v>
      </c>
      <c r="D65" s="177">
        <f t="shared" si="151"/>
        <v>61</v>
      </c>
      <c r="BN65" s="18">
        <f>IF(BN$3="","",ROUND(BM64*DownMove,RoundDigits))</f>
        <v>15.413475846700001</v>
      </c>
      <c r="BO65" s="17">
        <f t="shared" si="156"/>
        <v>15.8800812237</v>
      </c>
      <c r="BP65" s="17">
        <f t="shared" si="157"/>
        <v>16.3608119401</v>
      </c>
      <c r="BQ65" s="17">
        <f t="shared" si="158"/>
        <v>16.856095606099998</v>
      </c>
      <c r="BR65" s="17">
        <f t="shared" si="159"/>
        <v>17.3663727767</v>
      </c>
      <c r="BS65" s="17">
        <f t="shared" si="160"/>
        <v>17.892097343700001</v>
      </c>
      <c r="BT65" s="17">
        <f t="shared" si="161"/>
        <v>18.433736939399999</v>
      </c>
      <c r="BU65" s="17">
        <f t="shared" si="162"/>
        <v>18.991773352399999</v>
      </c>
      <c r="BV65" s="17">
        <f t="shared" si="163"/>
        <v>19.5667029564</v>
      </c>
      <c r="BW65" s="17">
        <f t="shared" si="164"/>
        <v>20.159037151500002</v>
      </c>
      <c r="BX65" s="17">
        <f t="shared" si="165"/>
        <v>20.7693028192</v>
      </c>
      <c r="BY65" s="17">
        <f t="shared" si="166"/>
        <v>21.3980427911</v>
      </c>
      <c r="BZ65" s="17">
        <f t="shared" si="167"/>
        <v>22.045816331699999</v>
      </c>
      <c r="CA65" s="17">
        <f t="shared" si="168"/>
        <v>22.713199635900001</v>
      </c>
      <c r="CB65" s="17">
        <f t="shared" si="169"/>
        <v>23.4007863414</v>
      </c>
      <c r="CC65" s="17">
        <f t="shared" si="170"/>
        <v>24.109188056899999</v>
      </c>
      <c r="CD65" s="17">
        <f t="shared" si="171"/>
        <v>24.8390349061</v>
      </c>
      <c r="CE65" s="17">
        <f t="shared" si="172"/>
        <v>25.590976088000001</v>
      </c>
      <c r="CF65" s="17">
        <f t="shared" si="173"/>
        <v>26.365680454700001</v>
      </c>
      <c r="CG65" s="17">
        <f t="shared" si="174"/>
        <v>27.163837105999999</v>
      </c>
      <c r="CH65" s="17">
        <f t="shared" si="175"/>
        <v>27.9861560027</v>
      </c>
      <c r="CI65" s="17">
        <f t="shared" si="176"/>
        <v>28.8333685978</v>
      </c>
      <c r="CJ65" s="17">
        <f t="shared" si="177"/>
        <v>29.706228487200001</v>
      </c>
      <c r="CK65" s="17">
        <f t="shared" si="178"/>
        <v>30.605512080299999</v>
      </c>
      <c r="CL65" s="17">
        <f t="shared" si="179"/>
        <v>31.532019290200001</v>
      </c>
      <c r="CM65" s="17">
        <f t="shared" si="180"/>
        <v>32.4865742454</v>
      </c>
      <c r="CN65" s="17">
        <f t="shared" si="181"/>
        <v>33.470026023099997</v>
      </c>
      <c r="CO65" s="17">
        <f t="shared" si="182"/>
        <v>34.483249403999999</v>
      </c>
      <c r="CP65" s="17">
        <f t="shared" si="183"/>
        <v>35.527145650800001</v>
      </c>
      <c r="CQ65" s="17">
        <f t="shared" si="184"/>
        <v>36.602643309699999</v>
      </c>
      <c r="CR65" s="17">
        <f t="shared" si="185"/>
        <v>37.710699036299999</v>
      </c>
      <c r="CS65" s="17">
        <f t="shared" si="186"/>
        <v>38.852298446699997</v>
      </c>
      <c r="CT65" s="17">
        <f t="shared" si="187"/>
        <v>40.028456994099997</v>
      </c>
      <c r="CU65" s="17">
        <f t="shared" si="188"/>
        <v>41.240220872000002</v>
      </c>
      <c r="CV65" s="17">
        <f t="shared" si="189"/>
        <v>42.488667945000003</v>
      </c>
      <c r="CW65" s="17">
        <f t="shared" si="190"/>
        <v>43.7749087073</v>
      </c>
      <c r="CX65" s="17">
        <f t="shared" si="191"/>
        <v>45.1000872706</v>
      </c>
      <c r="CY65" s="17">
        <f t="shared" si="192"/>
        <v>46.4653823819</v>
      </c>
      <c r="CZ65" s="17">
        <f t="shared" si="193"/>
        <v>47.872008471800001</v>
      </c>
      <c r="DA65" s="17">
        <f t="shared" si="194"/>
        <v>49.321216734799997</v>
      </c>
      <c r="DB65" s="17">
        <f t="shared" si="195"/>
        <v>50.814296242300003</v>
      </c>
    </row>
    <row r="66" spans="1:106" x14ac:dyDescent="0.2">
      <c r="A66">
        <f t="shared" si="7"/>
        <v>1.4683973016669308E+28</v>
      </c>
      <c r="B66" s="71">
        <f t="shared" si="149"/>
        <v>5.791806123085331E-3</v>
      </c>
      <c r="C66" s="71">
        <f t="shared" si="150"/>
        <v>5.4473446498712582E-3</v>
      </c>
      <c r="D66" s="177">
        <f t="shared" si="151"/>
        <v>62</v>
      </c>
      <c r="BO66" s="18">
        <f>IF(BO$3="","",ROUND(BN65*DownMove,RoundDigits))</f>
        <v>14.960658666900001</v>
      </c>
      <c r="BP66" s="17">
        <f t="shared" si="157"/>
        <v>15.4135561085</v>
      </c>
      <c r="BQ66" s="17">
        <f t="shared" si="158"/>
        <v>15.880163915200001</v>
      </c>
      <c r="BR66" s="17">
        <f t="shared" si="159"/>
        <v>16.360897134799998</v>
      </c>
      <c r="BS66" s="17">
        <f t="shared" si="160"/>
        <v>16.856183379800001</v>
      </c>
      <c r="BT66" s="17">
        <f t="shared" si="161"/>
        <v>17.366463207500001</v>
      </c>
      <c r="BU66" s="17">
        <f t="shared" si="162"/>
        <v>17.892190512100001</v>
      </c>
      <c r="BV66" s="17">
        <f t="shared" si="163"/>
        <v>18.433832928200001</v>
      </c>
      <c r="BW66" s="17">
        <f t="shared" si="164"/>
        <v>18.991872247</v>
      </c>
      <c r="BX66" s="17">
        <f t="shared" si="165"/>
        <v>19.566804844699998</v>
      </c>
      <c r="BY66" s="17">
        <f t="shared" si="166"/>
        <v>20.159142124199999</v>
      </c>
      <c r="BZ66" s="17">
        <f t="shared" si="167"/>
        <v>20.769410969700001</v>
      </c>
      <c r="CA66" s="17">
        <f t="shared" si="168"/>
        <v>21.398154215600002</v>
      </c>
      <c r="CB66" s="17">
        <f t="shared" si="169"/>
        <v>22.045931129300001</v>
      </c>
      <c r="CC66" s="17">
        <f t="shared" si="170"/>
        <v>22.713317908699999</v>
      </c>
      <c r="CD66" s="17">
        <f t="shared" si="171"/>
        <v>23.400908194599999</v>
      </c>
      <c r="CE66" s="17">
        <f t="shared" si="172"/>
        <v>24.109313598899998</v>
      </c>
      <c r="CF66" s="17">
        <f t="shared" si="173"/>
        <v>24.839164248500001</v>
      </c>
      <c r="CG66" s="17">
        <f t="shared" si="174"/>
        <v>25.591109345900001</v>
      </c>
      <c r="CH66" s="17">
        <f t="shared" si="175"/>
        <v>26.365817746600001</v>
      </c>
      <c r="CI66" s="17">
        <f t="shared" si="176"/>
        <v>27.163978554100002</v>
      </c>
      <c r="CJ66" s="17">
        <f t="shared" si="177"/>
        <v>27.986301732800001</v>
      </c>
      <c r="CK66" s="17">
        <f t="shared" si="178"/>
        <v>28.833518739500001</v>
      </c>
      <c r="CL66" s="17">
        <f t="shared" si="179"/>
        <v>29.706383174100001</v>
      </c>
      <c r="CM66" s="17">
        <f t="shared" si="180"/>
        <v>30.605671449900001</v>
      </c>
      <c r="CN66" s="17">
        <f t="shared" si="181"/>
        <v>31.532183484299999</v>
      </c>
      <c r="CO66" s="17">
        <f t="shared" si="182"/>
        <v>32.486743410099997</v>
      </c>
      <c r="CP66" s="17">
        <f t="shared" si="183"/>
        <v>33.470200308800003</v>
      </c>
      <c r="CQ66" s="17">
        <f t="shared" si="184"/>
        <v>34.483428965800002</v>
      </c>
      <c r="CR66" s="17">
        <f t="shared" si="185"/>
        <v>35.527330648400003</v>
      </c>
      <c r="CS66" s="17">
        <f t="shared" si="186"/>
        <v>36.602833907600001</v>
      </c>
      <c r="CT66" s="17">
        <f t="shared" si="187"/>
        <v>37.7108954041</v>
      </c>
      <c r="CU66" s="17">
        <f t="shared" si="188"/>
        <v>38.852500759100003</v>
      </c>
      <c r="CV66" s="17">
        <f t="shared" si="189"/>
        <v>40.028665431</v>
      </c>
      <c r="CW66" s="17">
        <f t="shared" si="190"/>
        <v>41.240435618900001</v>
      </c>
      <c r="CX66" s="17">
        <f t="shared" si="191"/>
        <v>42.488889192800002</v>
      </c>
      <c r="CY66" s="17">
        <f t="shared" si="192"/>
        <v>43.775136652800001</v>
      </c>
      <c r="CZ66" s="17">
        <f t="shared" si="193"/>
        <v>45.100322116599997</v>
      </c>
      <c r="DA66" s="17">
        <f t="shared" si="194"/>
        <v>46.4656243373</v>
      </c>
      <c r="DB66" s="17">
        <f t="shared" si="195"/>
        <v>47.872257751799999</v>
      </c>
    </row>
    <row r="67" spans="1:106" x14ac:dyDescent="0.2">
      <c r="A67">
        <f t="shared" si="7"/>
        <v>9.0900785341286344E+27</v>
      </c>
      <c r="B67" s="71">
        <f t="shared" si="149"/>
        <v>3.5854037904814013E-3</v>
      </c>
      <c r="C67" s="71">
        <f t="shared" si="150"/>
        <v>3.354337284654979E-3</v>
      </c>
      <c r="D67" s="177">
        <f t="shared" si="151"/>
        <v>63</v>
      </c>
      <c r="BP67" s="18">
        <f>IF(BP$3="","",ROUND(BO66*DownMove,RoundDigits))</f>
        <v>14.5211443528</v>
      </c>
      <c r="BQ67" s="17">
        <f t="shared" si="158"/>
        <v>14.9607365708</v>
      </c>
      <c r="BR67" s="17">
        <f t="shared" si="159"/>
        <v>15.413636370700001</v>
      </c>
      <c r="BS67" s="17">
        <f t="shared" si="160"/>
        <v>15.8802466071</v>
      </c>
      <c r="BT67" s="17">
        <f t="shared" si="161"/>
        <v>16.360982329999999</v>
      </c>
      <c r="BU67" s="17">
        <f t="shared" si="162"/>
        <v>16.8562711541</v>
      </c>
      <c r="BV67" s="17">
        <f t="shared" si="163"/>
        <v>17.366553638999999</v>
      </c>
      <c r="BW67" s="17">
        <f t="shared" si="164"/>
        <v>17.892283681199999</v>
      </c>
      <c r="BX67" s="17">
        <f t="shared" si="165"/>
        <v>18.433928917799999</v>
      </c>
      <c r="BY67" s="17">
        <f t="shared" si="166"/>
        <v>18.991971142499999</v>
      </c>
      <c r="BZ67" s="17">
        <f t="shared" si="167"/>
        <v>19.566906734100002</v>
      </c>
      <c r="CA67" s="17">
        <f t="shared" si="168"/>
        <v>20.159247098000002</v>
      </c>
      <c r="CB67" s="17">
        <f t="shared" si="169"/>
        <v>20.7695191213</v>
      </c>
      <c r="CC67" s="17">
        <f t="shared" si="170"/>
        <v>21.398265641199998</v>
      </c>
      <c r="CD67" s="17">
        <f t="shared" si="171"/>
        <v>22.0460459281</v>
      </c>
      <c r="CE67" s="17">
        <f t="shared" si="172"/>
        <v>22.713436182799999</v>
      </c>
      <c r="CF67" s="17">
        <f t="shared" si="173"/>
        <v>23.401030049199999</v>
      </c>
      <c r="CG67" s="17">
        <f t="shared" si="174"/>
        <v>24.109439142399999</v>
      </c>
      <c r="CH67" s="17">
        <f t="shared" si="175"/>
        <v>24.839293592600001</v>
      </c>
      <c r="CI67" s="17">
        <f t="shared" si="176"/>
        <v>25.591242605600002</v>
      </c>
      <c r="CJ67" s="17">
        <f t="shared" si="177"/>
        <v>26.365955040399999</v>
      </c>
      <c r="CK67" s="17">
        <f t="shared" si="178"/>
        <v>27.164120004099999</v>
      </c>
      <c r="CL67" s="17">
        <f t="shared" si="179"/>
        <v>27.986447464800001</v>
      </c>
      <c r="CM67" s="17">
        <f t="shared" si="180"/>
        <v>28.833668883200001</v>
      </c>
      <c r="CN67" s="17">
        <f t="shared" si="181"/>
        <v>29.706537863000001</v>
      </c>
      <c r="CO67" s="17">
        <f t="shared" si="182"/>
        <v>30.6058308217</v>
      </c>
      <c r="CP67" s="17">
        <f t="shared" si="183"/>
        <v>31.532347680699999</v>
      </c>
      <c r="CQ67" s="17">
        <f t="shared" si="184"/>
        <v>32.486912577200002</v>
      </c>
      <c r="CR67" s="17">
        <f t="shared" si="185"/>
        <v>33.470374597000003</v>
      </c>
      <c r="CS67" s="17">
        <f t="shared" si="186"/>
        <v>34.4836085301</v>
      </c>
      <c r="CT67" s="17">
        <f t="shared" si="187"/>
        <v>35.527515648600001</v>
      </c>
      <c r="CU67" s="17">
        <f t="shared" si="188"/>
        <v>36.603024508300003</v>
      </c>
      <c r="CV67" s="17">
        <f t="shared" si="189"/>
        <v>37.711091774800003</v>
      </c>
      <c r="CW67" s="17">
        <f t="shared" si="190"/>
        <v>38.852703074399997</v>
      </c>
      <c r="CX67" s="17">
        <f t="shared" si="191"/>
        <v>40.0288738709</v>
      </c>
      <c r="CY67" s="17">
        <f t="shared" si="192"/>
        <v>41.240650368799997</v>
      </c>
      <c r="CZ67" s="17">
        <f t="shared" si="193"/>
        <v>42.489110443800001</v>
      </c>
      <c r="DA67" s="17">
        <f t="shared" si="194"/>
        <v>43.775364601699998</v>
      </c>
      <c r="DB67" s="17">
        <f t="shared" si="195"/>
        <v>45.100556966100001</v>
      </c>
    </row>
    <row r="68" spans="1:106" x14ac:dyDescent="0.2">
      <c r="A68">
        <f t="shared" ref="A68:A104" si="196">IF(D68="","",COMBIN(Steps,Steps-D68))</f>
        <v>5.3972341296388722E+27</v>
      </c>
      <c r="B68" s="71">
        <f t="shared" ref="B68:B99" si="197">IF(D68="","",A68/Paths)</f>
        <v>2.1288335005983303E-3</v>
      </c>
      <c r="C68" s="71">
        <f t="shared" ref="C68:C99" si="198">IF(D68="","",A68*UpProb^(Steps-D68)*DownProb^D68)</f>
        <v>1.9811080856939407E-3</v>
      </c>
      <c r="D68" s="177">
        <f t="shared" si="151"/>
        <v>64</v>
      </c>
      <c r="BQ68" s="18">
        <f>IF(BQ$3="","",ROUND(BP67*DownMove,RoundDigits))</f>
        <v>14.094542092699999</v>
      </c>
      <c r="BR68" s="17">
        <f t="shared" si="159"/>
        <v>14.5212199681</v>
      </c>
      <c r="BS68" s="17">
        <f t="shared" si="160"/>
        <v>14.960814475199999</v>
      </c>
      <c r="BT68" s="17">
        <f t="shared" si="161"/>
        <v>15.4137166335</v>
      </c>
      <c r="BU68" s="17">
        <f t="shared" si="162"/>
        <v>15.8803292997</v>
      </c>
      <c r="BV68" s="17">
        <f t="shared" si="163"/>
        <v>16.361067525999999</v>
      </c>
      <c r="BW68" s="17">
        <f t="shared" si="164"/>
        <v>16.856358929199999</v>
      </c>
      <c r="BX68" s="17">
        <f t="shared" si="165"/>
        <v>17.366644071300001</v>
      </c>
      <c r="BY68" s="17">
        <f t="shared" si="166"/>
        <v>17.8923768511</v>
      </c>
      <c r="BZ68" s="17">
        <f t="shared" si="167"/>
        <v>18.434024908200001</v>
      </c>
      <c r="CA68" s="17">
        <f t="shared" si="168"/>
        <v>18.9920700387</v>
      </c>
      <c r="CB68" s="17">
        <f t="shared" si="169"/>
        <v>19.567008624100001</v>
      </c>
      <c r="CC68" s="17">
        <f t="shared" si="170"/>
        <v>20.159352072499999</v>
      </c>
      <c r="CD68" s="17">
        <f t="shared" si="171"/>
        <v>20.769627273699999</v>
      </c>
      <c r="CE68" s="17">
        <f t="shared" si="172"/>
        <v>21.3983770677</v>
      </c>
      <c r="CF68" s="17">
        <f t="shared" si="173"/>
        <v>22.046160727699998</v>
      </c>
      <c r="CG68" s="17">
        <f t="shared" si="174"/>
        <v>22.713554457600001</v>
      </c>
      <c r="CH68" s="17">
        <f t="shared" si="175"/>
        <v>23.401151904500001</v>
      </c>
      <c r="CI68" s="17">
        <f t="shared" si="176"/>
        <v>24.109564686500001</v>
      </c>
      <c r="CJ68" s="17">
        <f t="shared" si="177"/>
        <v>24.839422937199998</v>
      </c>
      <c r="CK68" s="17">
        <f t="shared" si="178"/>
        <v>25.5913758658</v>
      </c>
      <c r="CL68" s="17">
        <f t="shared" si="179"/>
        <v>26.366092334800001</v>
      </c>
      <c r="CM68" s="17">
        <f t="shared" si="180"/>
        <v>27.164261454799998</v>
      </c>
      <c r="CN68" s="17">
        <f t="shared" si="181"/>
        <v>27.986593197600001</v>
      </c>
      <c r="CO68" s="17">
        <f t="shared" si="182"/>
        <v>28.833819027699999</v>
      </c>
      <c r="CP68" s="17">
        <f t="shared" si="183"/>
        <v>29.7066925528</v>
      </c>
      <c r="CQ68" s="17">
        <f t="shared" si="184"/>
        <v>30.605990194299999</v>
      </c>
      <c r="CR68" s="17">
        <f t="shared" si="185"/>
        <v>31.532511877899999</v>
      </c>
      <c r="CS68" s="17">
        <f t="shared" si="186"/>
        <v>32.487081744999998</v>
      </c>
      <c r="CT68" s="17">
        <f t="shared" si="187"/>
        <v>33.470548886000003</v>
      </c>
      <c r="CU68" s="17">
        <f t="shared" si="188"/>
        <v>34.4837880953</v>
      </c>
      <c r="CV68" s="17">
        <f t="shared" si="189"/>
        <v>35.527700649700002</v>
      </c>
      <c r="CW68" s="17">
        <f t="shared" si="190"/>
        <v>36.603215109799997</v>
      </c>
      <c r="CX68" s="17">
        <f t="shared" si="191"/>
        <v>37.711288146299999</v>
      </c>
      <c r="CY68" s="17">
        <f t="shared" si="192"/>
        <v>38.8529053906</v>
      </c>
      <c r="CZ68" s="17">
        <f t="shared" si="193"/>
        <v>40.029082311700002</v>
      </c>
      <c r="DA68" s="17">
        <f t="shared" si="194"/>
        <v>41.240865119600002</v>
      </c>
      <c r="DB68" s="17">
        <f t="shared" si="195"/>
        <v>42.489331695600001</v>
      </c>
    </row>
    <row r="69" spans="1:106" x14ac:dyDescent="0.2">
      <c r="A69">
        <f t="shared" si="196"/>
        <v>3.0722717353328938E+27</v>
      </c>
      <c r="B69" s="71">
        <f t="shared" si="197"/>
        <v>1.2117975311098177E-3</v>
      </c>
      <c r="C69" s="71">
        <f t="shared" si="198"/>
        <v>1.1217455523403058E-3</v>
      </c>
      <c r="D69" s="177">
        <f t="shared" ref="D69:D105" si="199">IF(AND(StatusOK,D68&lt;Steps),D68+1,"")</f>
        <v>65</v>
      </c>
      <c r="BR69" s="18">
        <f>IF(BR$3="","",ROUND(BQ68*DownMove,RoundDigits))</f>
        <v>13.6804725561</v>
      </c>
      <c r="BS69" s="17">
        <f t="shared" si="160"/>
        <v>14.0946154864</v>
      </c>
      <c r="BT69" s="17">
        <f t="shared" si="161"/>
        <v>14.521295583600001</v>
      </c>
      <c r="BU69" s="17">
        <f t="shared" si="162"/>
        <v>14.960892379700001</v>
      </c>
      <c r="BV69" s="17">
        <f t="shared" si="163"/>
        <v>15.413796896399999</v>
      </c>
      <c r="BW69" s="17">
        <f t="shared" si="164"/>
        <v>15.880411992299999</v>
      </c>
      <c r="BX69" s="17">
        <f t="shared" si="165"/>
        <v>16.361152721900002</v>
      </c>
      <c r="BY69" s="17">
        <f t="shared" si="166"/>
        <v>16.8564467042</v>
      </c>
      <c r="BZ69" s="17">
        <f t="shared" si="167"/>
        <v>17.3667345034</v>
      </c>
      <c r="CA69" s="17">
        <f t="shared" si="168"/>
        <v>17.892470020800001</v>
      </c>
      <c r="CB69" s="17">
        <f t="shared" si="169"/>
        <v>18.4341208984</v>
      </c>
      <c r="CC69" s="17">
        <f t="shared" si="170"/>
        <v>18.992168934799999</v>
      </c>
      <c r="CD69" s="17">
        <f t="shared" si="171"/>
        <v>19.567110513999999</v>
      </c>
      <c r="CE69" s="17">
        <f t="shared" si="172"/>
        <v>20.159457046899998</v>
      </c>
      <c r="CF69" s="17">
        <f t="shared" si="173"/>
        <v>20.769735425899999</v>
      </c>
      <c r="CG69" s="17">
        <f t="shared" si="174"/>
        <v>21.3984884939</v>
      </c>
      <c r="CH69" s="17">
        <f t="shared" si="175"/>
        <v>22.046275527100001</v>
      </c>
      <c r="CI69" s="17">
        <f t="shared" si="176"/>
        <v>22.713672732300001</v>
      </c>
      <c r="CJ69" s="17">
        <f t="shared" si="177"/>
        <v>23.4012737597</v>
      </c>
      <c r="CK69" s="17">
        <f t="shared" si="178"/>
        <v>24.109690230599998</v>
      </c>
      <c r="CL69" s="17">
        <f t="shared" si="179"/>
        <v>24.8395522818</v>
      </c>
      <c r="CM69" s="17">
        <f t="shared" si="180"/>
        <v>25.591509125999998</v>
      </c>
      <c r="CN69" s="17">
        <f t="shared" si="181"/>
        <v>26.366229629100001</v>
      </c>
      <c r="CO69" s="17">
        <f t="shared" si="182"/>
        <v>27.164402905300001</v>
      </c>
      <c r="CP69" s="17">
        <f t="shared" si="183"/>
        <v>27.986738930200001</v>
      </c>
      <c r="CQ69" s="17">
        <f t="shared" si="184"/>
        <v>28.833969172</v>
      </c>
      <c r="CR69" s="17">
        <f t="shared" si="185"/>
        <v>29.706847242399999</v>
      </c>
      <c r="CS69" s="17">
        <f t="shared" si="186"/>
        <v>30.606149566799999</v>
      </c>
      <c r="CT69" s="17">
        <f t="shared" si="187"/>
        <v>31.532676075000001</v>
      </c>
      <c r="CU69" s="17">
        <f t="shared" si="188"/>
        <v>32.4872509128</v>
      </c>
      <c r="CV69" s="17">
        <f t="shared" si="189"/>
        <v>33.470723174900002</v>
      </c>
      <c r="CW69" s="17">
        <f t="shared" si="190"/>
        <v>34.483967660399998</v>
      </c>
      <c r="CX69" s="17">
        <f t="shared" si="191"/>
        <v>35.5278856507</v>
      </c>
      <c r="CY69" s="17">
        <f t="shared" si="192"/>
        <v>36.603405711299999</v>
      </c>
      <c r="CZ69" s="17">
        <f t="shared" si="193"/>
        <v>37.711484517800002</v>
      </c>
      <c r="DA69" s="17">
        <f t="shared" si="194"/>
        <v>38.853107706700001</v>
      </c>
      <c r="DB69" s="17">
        <f t="shared" si="195"/>
        <v>40.029290752500003</v>
      </c>
    </row>
    <row r="70" spans="1:106" x14ac:dyDescent="0.2">
      <c r="A70">
        <f t="shared" si="196"/>
        <v>1.6757845829088522E+27</v>
      </c>
      <c r="B70" s="71">
        <f t="shared" si="197"/>
        <v>6.6098047151444644E-4</v>
      </c>
      <c r="C70" s="71">
        <f t="shared" si="198"/>
        <v>6.0862633448927929E-4</v>
      </c>
      <c r="D70" s="177">
        <f t="shared" si="199"/>
        <v>66</v>
      </c>
      <c r="BS70" s="18">
        <f>IF(BS$3="","",ROUND(BR69*DownMove,RoundDigits))</f>
        <v>13.278567556700001</v>
      </c>
      <c r="BT70" s="17">
        <f t="shared" si="161"/>
        <v>13.6805437937</v>
      </c>
      <c r="BU70" s="17">
        <f t="shared" si="162"/>
        <v>14.0946888806</v>
      </c>
      <c r="BV70" s="17">
        <f t="shared" si="163"/>
        <v>14.521371199600001</v>
      </c>
      <c r="BW70" s="17">
        <f t="shared" si="164"/>
        <v>14.9609702848</v>
      </c>
      <c r="BX70" s="17">
        <f t="shared" si="165"/>
        <v>15.4138771598</v>
      </c>
      <c r="BY70" s="17">
        <f t="shared" si="166"/>
        <v>15.8804946855</v>
      </c>
      <c r="BZ70" s="17">
        <f t="shared" si="167"/>
        <v>16.361237918400001</v>
      </c>
      <c r="CA70" s="17">
        <f t="shared" si="168"/>
        <v>16.856534479800001</v>
      </c>
      <c r="CB70" s="17">
        <f t="shared" si="169"/>
        <v>17.3668249362</v>
      </c>
      <c r="CC70" s="17">
        <f t="shared" si="170"/>
        <v>17.892563191200001</v>
      </c>
      <c r="CD70" s="17">
        <f t="shared" si="171"/>
        <v>18.4342168893</v>
      </c>
      <c r="CE70" s="17">
        <f t="shared" si="172"/>
        <v>18.9922678316</v>
      </c>
      <c r="CF70" s="17">
        <f t="shared" si="173"/>
        <v>19.567212404700001</v>
      </c>
      <c r="CG70" s="17">
        <f t="shared" si="174"/>
        <v>20.159562022100001</v>
      </c>
      <c r="CH70" s="17">
        <f t="shared" si="175"/>
        <v>20.769843579</v>
      </c>
      <c r="CI70" s="17">
        <f t="shared" si="176"/>
        <v>21.398599921100001</v>
      </c>
      <c r="CJ70" s="17">
        <f t="shared" si="177"/>
        <v>22.046390327499999</v>
      </c>
      <c r="CK70" s="17">
        <f t="shared" si="178"/>
        <v>22.713791008000001</v>
      </c>
      <c r="CL70" s="17">
        <f t="shared" si="179"/>
        <v>23.4013956159</v>
      </c>
      <c r="CM70" s="17">
        <f t="shared" si="180"/>
        <v>24.1098157757</v>
      </c>
      <c r="CN70" s="17">
        <f t="shared" si="181"/>
        <v>24.839681627499999</v>
      </c>
      <c r="CO70" s="17">
        <f t="shared" si="182"/>
        <v>25.591642387299999</v>
      </c>
      <c r="CP70" s="17">
        <f t="shared" si="183"/>
        <v>26.366366924600001</v>
      </c>
      <c r="CQ70" s="17">
        <f t="shared" si="184"/>
        <v>27.164544357099999</v>
      </c>
      <c r="CR70" s="17">
        <f t="shared" si="185"/>
        <v>27.9868846641</v>
      </c>
      <c r="CS70" s="17">
        <f t="shared" si="186"/>
        <v>28.834119317599999</v>
      </c>
      <c r="CT70" s="17">
        <f t="shared" si="187"/>
        <v>29.707001933200001</v>
      </c>
      <c r="CU70" s="17">
        <f t="shared" si="188"/>
        <v>30.6063089405</v>
      </c>
      <c r="CV70" s="17">
        <f t="shared" si="189"/>
        <v>31.532840273400002</v>
      </c>
      <c r="CW70" s="17">
        <f t="shared" si="190"/>
        <v>32.487420081899998</v>
      </c>
      <c r="CX70" s="17">
        <f t="shared" si="191"/>
        <v>33.470897465199997</v>
      </c>
      <c r="CY70" s="17">
        <f t="shared" si="192"/>
        <v>34.484147226899999</v>
      </c>
      <c r="CZ70" s="17">
        <f t="shared" si="193"/>
        <v>35.528070653100002</v>
      </c>
      <c r="DA70" s="17">
        <f t="shared" si="194"/>
        <v>36.603596314199997</v>
      </c>
      <c r="DB70" s="17">
        <f t="shared" si="195"/>
        <v>37.711680890700002</v>
      </c>
    </row>
    <row r="71" spans="1:106" x14ac:dyDescent="0.2">
      <c r="A71">
        <f t="shared" si="196"/>
        <v>8.7540985674343115E+26</v>
      </c>
      <c r="B71" s="71">
        <f t="shared" si="197"/>
        <v>3.4528830601500968E-4</v>
      </c>
      <c r="C71" s="71">
        <f t="shared" si="198"/>
        <v>3.1625820362151459E-4</v>
      </c>
      <c r="D71" s="177">
        <f t="shared" si="199"/>
        <v>67</v>
      </c>
      <c r="BT71" s="18">
        <f>IF(BT$3="","",ROUND(BS70*DownMove,RoundDigits))</f>
        <v>12.8884697246</v>
      </c>
      <c r="BU71" s="17">
        <f t="shared" si="162"/>
        <v>13.2786367015</v>
      </c>
      <c r="BV71" s="17">
        <f t="shared" si="163"/>
        <v>13.6806150317</v>
      </c>
      <c r="BW71" s="17">
        <f t="shared" si="164"/>
        <v>14.094762275100001</v>
      </c>
      <c r="BX71" s="17">
        <f t="shared" si="165"/>
        <v>14.521446815899999</v>
      </c>
      <c r="BY71" s="17">
        <f t="shared" si="166"/>
        <v>14.9610481902</v>
      </c>
      <c r="BZ71" s="17">
        <f t="shared" si="167"/>
        <v>15.413957423599999</v>
      </c>
      <c r="CA71" s="17">
        <f t="shared" si="168"/>
        <v>15.8805773791</v>
      </c>
      <c r="CB71" s="17">
        <f t="shared" si="169"/>
        <v>16.361323115400001</v>
      </c>
      <c r="CC71" s="17">
        <f t="shared" si="170"/>
        <v>16.8566222559</v>
      </c>
      <c r="CD71" s="17">
        <f t="shared" si="171"/>
        <v>17.366915369499999</v>
      </c>
      <c r="CE71" s="17">
        <f t="shared" si="172"/>
        <v>17.8926563622</v>
      </c>
      <c r="CF71" s="17">
        <f t="shared" si="173"/>
        <v>18.4343128808</v>
      </c>
      <c r="CG71" s="17">
        <f t="shared" si="174"/>
        <v>18.992366729</v>
      </c>
      <c r="CH71" s="17">
        <f t="shared" si="175"/>
        <v>19.567314295999999</v>
      </c>
      <c r="CI71" s="17">
        <f t="shared" si="176"/>
        <v>20.1596669979</v>
      </c>
      <c r="CJ71" s="17">
        <f t="shared" si="177"/>
        <v>20.769951732700001</v>
      </c>
      <c r="CK71" s="17">
        <f t="shared" si="178"/>
        <v>21.398711348900001</v>
      </c>
      <c r="CL71" s="17">
        <f t="shared" si="179"/>
        <v>22.046505128500002</v>
      </c>
      <c r="CM71" s="17">
        <f t="shared" si="180"/>
        <v>22.713909284300001</v>
      </c>
      <c r="CN71" s="17">
        <f t="shared" si="181"/>
        <v>23.4015174727</v>
      </c>
      <c r="CO71" s="17">
        <f t="shared" si="182"/>
        <v>24.109941321400001</v>
      </c>
      <c r="CP71" s="17">
        <f t="shared" si="183"/>
        <v>24.839810973799999</v>
      </c>
      <c r="CQ71" s="17">
        <f t="shared" si="184"/>
        <v>25.591775649300001</v>
      </c>
      <c r="CR71" s="17">
        <f t="shared" si="185"/>
        <v>26.366504220700001</v>
      </c>
      <c r="CS71" s="17">
        <f t="shared" si="186"/>
        <v>27.1646858095</v>
      </c>
      <c r="CT71" s="17">
        <f t="shared" si="187"/>
        <v>27.987030398600002</v>
      </c>
      <c r="CU71" s="17">
        <f t="shared" si="188"/>
        <v>28.8342694639</v>
      </c>
      <c r="CV71" s="17">
        <f t="shared" si="189"/>
        <v>29.707156624900001</v>
      </c>
      <c r="CW71" s="17">
        <f t="shared" si="190"/>
        <v>30.606468315099999</v>
      </c>
      <c r="CX71" s="17">
        <f t="shared" si="191"/>
        <v>31.533004472599998</v>
      </c>
      <c r="CY71" s="17">
        <f t="shared" si="192"/>
        <v>32.487589251800003</v>
      </c>
      <c r="CZ71" s="17">
        <f t="shared" si="193"/>
        <v>33.471071756299999</v>
      </c>
      <c r="DA71" s="17">
        <f t="shared" si="194"/>
        <v>34.484326794200001</v>
      </c>
      <c r="DB71" s="17">
        <f t="shared" si="195"/>
        <v>35.528255656399999</v>
      </c>
    </row>
    <row r="72" spans="1:106" x14ac:dyDescent="0.2">
      <c r="A72">
        <f t="shared" si="196"/>
        <v>4.377049283717151E+26</v>
      </c>
      <c r="B72" s="71">
        <f t="shared" si="197"/>
        <v>1.7264415300750465E-4</v>
      </c>
      <c r="C72" s="71">
        <f t="shared" si="198"/>
        <v>1.5729308212456778E-4</v>
      </c>
      <c r="D72" s="177">
        <f t="shared" si="199"/>
        <v>68</v>
      </c>
      <c r="BU72" s="18">
        <f>IF(BU$3="","",ROUND(BT71*DownMove,RoundDigits))</f>
        <v>12.509832188800001</v>
      </c>
      <c r="BV72" s="17">
        <f t="shared" si="163"/>
        <v>12.888536838</v>
      </c>
      <c r="BW72" s="17">
        <f t="shared" si="164"/>
        <v>13.278705846599999</v>
      </c>
      <c r="BX72" s="17">
        <f t="shared" si="165"/>
        <v>13.680686270000001</v>
      </c>
      <c r="BY72" s="17">
        <f t="shared" si="166"/>
        <v>14.09483567</v>
      </c>
      <c r="BZ72" s="17">
        <f t="shared" si="167"/>
        <v>14.521522432699999</v>
      </c>
      <c r="CA72" s="17">
        <f t="shared" si="168"/>
        <v>14.961126096099999</v>
      </c>
      <c r="CB72" s="17">
        <f t="shared" si="169"/>
        <v>15.414037688000001</v>
      </c>
      <c r="CC72" s="17">
        <f t="shared" si="170"/>
        <v>15.8806600733</v>
      </c>
      <c r="CD72" s="17">
        <f t="shared" si="171"/>
        <v>16.3614083129</v>
      </c>
      <c r="CE72" s="17">
        <f t="shared" si="172"/>
        <v>16.856710032599999</v>
      </c>
      <c r="CF72" s="17">
        <f t="shared" si="173"/>
        <v>17.3670058035</v>
      </c>
      <c r="CG72" s="17">
        <f t="shared" si="174"/>
        <v>17.892749533899998</v>
      </c>
      <c r="CH72" s="17">
        <f t="shared" si="175"/>
        <v>18.434408872999999</v>
      </c>
      <c r="CI72" s="17">
        <f t="shared" si="176"/>
        <v>18.9924656271</v>
      </c>
      <c r="CJ72" s="17">
        <f t="shared" si="177"/>
        <v>19.567416187999999</v>
      </c>
      <c r="CK72" s="17">
        <f t="shared" si="178"/>
        <v>20.159771974400002</v>
      </c>
      <c r="CL72" s="17">
        <f t="shared" si="179"/>
        <v>20.7700598871</v>
      </c>
      <c r="CM72" s="17">
        <f t="shared" si="180"/>
        <v>21.398822777399999</v>
      </c>
      <c r="CN72" s="17">
        <f t="shared" si="181"/>
        <v>22.046619930199999</v>
      </c>
      <c r="CO72" s="17">
        <f t="shared" si="182"/>
        <v>22.714027561399998</v>
      </c>
      <c r="CP72" s="17">
        <f t="shared" si="183"/>
        <v>23.4016393303</v>
      </c>
      <c r="CQ72" s="17">
        <f t="shared" si="184"/>
        <v>24.110066868000001</v>
      </c>
      <c r="CR72" s="17">
        <f t="shared" si="185"/>
        <v>24.839940321</v>
      </c>
      <c r="CS72" s="17">
        <f t="shared" si="186"/>
        <v>25.591908912099999</v>
      </c>
      <c r="CT72" s="17">
        <f t="shared" si="187"/>
        <v>26.366641517800002</v>
      </c>
      <c r="CU72" s="17">
        <f t="shared" si="188"/>
        <v>27.164827262999999</v>
      </c>
      <c r="CV72" s="17">
        <f t="shared" si="189"/>
        <v>27.9871761343</v>
      </c>
      <c r="CW72" s="17">
        <f t="shared" si="190"/>
        <v>28.834419611400001</v>
      </c>
      <c r="CX72" s="17">
        <f t="shared" si="191"/>
        <v>29.7073113177</v>
      </c>
      <c r="CY72" s="17">
        <f t="shared" si="192"/>
        <v>30.6066276908</v>
      </c>
      <c r="CZ72" s="17">
        <f t="shared" si="193"/>
        <v>31.5331686731</v>
      </c>
      <c r="DA72" s="17">
        <f t="shared" si="194"/>
        <v>32.487758423099997</v>
      </c>
      <c r="DB72" s="17">
        <f t="shared" si="195"/>
        <v>33.471246048899999</v>
      </c>
    </row>
    <row r="73" spans="1:106" x14ac:dyDescent="0.2">
      <c r="A73">
        <f t="shared" si="196"/>
        <v>2.093371396560375E+26</v>
      </c>
      <c r="B73" s="71">
        <f t="shared" si="197"/>
        <v>8.2568942742719555E-5</v>
      </c>
      <c r="C73" s="71">
        <f t="shared" si="198"/>
        <v>7.4829404639256873E-5</v>
      </c>
      <c r="D73" s="177">
        <f t="shared" si="199"/>
        <v>69</v>
      </c>
      <c r="BV73" s="18">
        <f>IF(BV$3="","",ROUND(BU72*DownMove,RoundDigits))</f>
        <v>12.1423182687</v>
      </c>
      <c r="BW73" s="17">
        <f t="shared" si="164"/>
        <v>12.509897330599999</v>
      </c>
      <c r="BX73" s="17">
        <f t="shared" si="165"/>
        <v>12.8886039518</v>
      </c>
      <c r="BY73" s="17">
        <f t="shared" si="166"/>
        <v>13.278774992100001</v>
      </c>
      <c r="BZ73" s="17">
        <f t="shared" si="167"/>
        <v>13.680757508699999</v>
      </c>
      <c r="CA73" s="17">
        <f t="shared" si="168"/>
        <v>14.0949090653</v>
      </c>
      <c r="CB73" s="17">
        <f t="shared" si="169"/>
        <v>14.5215980499</v>
      </c>
      <c r="CC73" s="17">
        <f t="shared" si="170"/>
        <v>14.961204002500001</v>
      </c>
      <c r="CD73" s="17">
        <f t="shared" si="171"/>
        <v>15.4141179528</v>
      </c>
      <c r="CE73" s="17">
        <f t="shared" si="172"/>
        <v>15.880742767899999</v>
      </c>
      <c r="CF73" s="17">
        <f t="shared" si="173"/>
        <v>16.361493510900001</v>
      </c>
      <c r="CG73" s="17">
        <f t="shared" si="174"/>
        <v>16.8567978098</v>
      </c>
      <c r="CH73" s="17">
        <f t="shared" si="175"/>
        <v>17.3670962379</v>
      </c>
      <c r="CI73" s="17">
        <f t="shared" si="176"/>
        <v>17.892842705900001</v>
      </c>
      <c r="CJ73" s="17">
        <f t="shared" si="177"/>
        <v>18.434504865600001</v>
      </c>
      <c r="CK73" s="17">
        <f t="shared" si="178"/>
        <v>18.992564525700001</v>
      </c>
      <c r="CL73" s="17">
        <f t="shared" si="179"/>
        <v>19.567518080500001</v>
      </c>
      <c r="CM73" s="17">
        <f t="shared" si="180"/>
        <v>20.159876951499999</v>
      </c>
      <c r="CN73" s="17">
        <f t="shared" si="181"/>
        <v>20.7701680421</v>
      </c>
      <c r="CO73" s="17">
        <f t="shared" si="182"/>
        <v>21.398934206500002</v>
      </c>
      <c r="CP73" s="17">
        <f t="shared" si="183"/>
        <v>22.046734732600001</v>
      </c>
      <c r="CQ73" s="17">
        <f t="shared" si="184"/>
        <v>22.714145839099999</v>
      </c>
      <c r="CR73" s="17">
        <f t="shared" si="185"/>
        <v>23.401761188599998</v>
      </c>
      <c r="CS73" s="17">
        <f t="shared" si="186"/>
        <v>24.1101924152</v>
      </c>
      <c r="CT73" s="17">
        <f t="shared" si="187"/>
        <v>24.8400696689</v>
      </c>
      <c r="CU73" s="17">
        <f t="shared" si="188"/>
        <v>25.592042175700001</v>
      </c>
      <c r="CV73" s="17">
        <f t="shared" si="189"/>
        <v>26.3667788156</v>
      </c>
      <c r="CW73" s="17">
        <f t="shared" si="190"/>
        <v>27.164968717099999</v>
      </c>
      <c r="CX73" s="17">
        <f t="shared" si="191"/>
        <v>27.987321870500001</v>
      </c>
      <c r="CY73" s="17">
        <f t="shared" si="192"/>
        <v>28.834569759400001</v>
      </c>
      <c r="CZ73" s="17">
        <f t="shared" si="193"/>
        <v>29.707466011099999</v>
      </c>
      <c r="DA73" s="17">
        <f t="shared" si="194"/>
        <v>30.606787067199999</v>
      </c>
      <c r="DB73" s="17">
        <f t="shared" si="195"/>
        <v>31.533332874199999</v>
      </c>
    </row>
    <row r="74" spans="1:106" x14ac:dyDescent="0.2">
      <c r="A74">
        <f t="shared" si="196"/>
        <v>9.5696978128474354E+25</v>
      </c>
      <c r="B74" s="71">
        <f t="shared" si="197"/>
        <v>3.7745802396671823E-5</v>
      </c>
      <c r="C74" s="71">
        <f t="shared" si="198"/>
        <v>3.4026873497952581E-5</v>
      </c>
      <c r="D74" s="177">
        <f t="shared" si="199"/>
        <v>70</v>
      </c>
      <c r="BW74" s="18">
        <f>IF(BW$3="","",ROUND(BV73*DownMove,RoundDigits))</f>
        <v>11.7856011746</v>
      </c>
      <c r="BX74" s="17">
        <f t="shared" si="165"/>
        <v>12.142381496800001</v>
      </c>
      <c r="BY74" s="17">
        <f t="shared" si="166"/>
        <v>12.5099624728</v>
      </c>
      <c r="BZ74" s="17">
        <f t="shared" si="167"/>
        <v>12.888671066100001</v>
      </c>
      <c r="CA74" s="17">
        <f t="shared" si="168"/>
        <v>13.2788441381</v>
      </c>
      <c r="CB74" s="17">
        <f t="shared" si="169"/>
        <v>13.6808287479</v>
      </c>
      <c r="CC74" s="17">
        <f t="shared" si="170"/>
        <v>14.094982461100001</v>
      </c>
      <c r="CD74" s="17">
        <f t="shared" si="171"/>
        <v>14.5216736675</v>
      </c>
      <c r="CE74" s="17">
        <f t="shared" si="172"/>
        <v>14.9612819092</v>
      </c>
      <c r="CF74" s="17">
        <f t="shared" si="173"/>
        <v>15.414198217899999</v>
      </c>
      <c r="CG74" s="17">
        <f t="shared" si="174"/>
        <v>15.880825462900001</v>
      </c>
      <c r="CH74" s="17">
        <f t="shared" si="175"/>
        <v>16.361578709300002</v>
      </c>
      <c r="CI74" s="17">
        <f t="shared" si="176"/>
        <v>16.856885587299999</v>
      </c>
      <c r="CJ74" s="17">
        <f t="shared" si="177"/>
        <v>17.367186672700001</v>
      </c>
      <c r="CK74" s="17">
        <f t="shared" si="178"/>
        <v>17.892935878399999</v>
      </c>
      <c r="CL74" s="17">
        <f t="shared" si="179"/>
        <v>18.434600858700001</v>
      </c>
      <c r="CM74" s="17">
        <f t="shared" si="180"/>
        <v>18.992663424700002</v>
      </c>
      <c r="CN74" s="17">
        <f t="shared" si="181"/>
        <v>19.567619973399999</v>
      </c>
      <c r="CO74" s="17">
        <f t="shared" si="182"/>
        <v>20.159981928899999</v>
      </c>
      <c r="CP74" s="17">
        <f t="shared" si="183"/>
        <v>20.770276197400001</v>
      </c>
      <c r="CQ74" s="17">
        <f t="shared" si="184"/>
        <v>21.399045636</v>
      </c>
      <c r="CR74" s="17">
        <f t="shared" si="185"/>
        <v>22.046849535300002</v>
      </c>
      <c r="CS74" s="17">
        <f t="shared" si="186"/>
        <v>22.714264117199999</v>
      </c>
      <c r="CT74" s="17">
        <f t="shared" si="187"/>
        <v>23.4018830473</v>
      </c>
      <c r="CU74" s="17">
        <f t="shared" si="188"/>
        <v>24.110317962900002</v>
      </c>
      <c r="CV74" s="17">
        <f t="shared" si="189"/>
        <v>24.8401990172</v>
      </c>
      <c r="CW74" s="17">
        <f t="shared" si="190"/>
        <v>25.5921754397</v>
      </c>
      <c r="CX74" s="17">
        <f t="shared" si="191"/>
        <v>26.366916113799999</v>
      </c>
      <c r="CY74" s="17">
        <f t="shared" si="192"/>
        <v>27.1651101717</v>
      </c>
      <c r="CZ74" s="17">
        <f t="shared" si="193"/>
        <v>27.987467607300001</v>
      </c>
      <c r="DA74" s="17">
        <f t="shared" si="194"/>
        <v>28.834719908</v>
      </c>
      <c r="DB74" s="17">
        <f t="shared" si="195"/>
        <v>29.707620705099998</v>
      </c>
    </row>
    <row r="75" spans="1:106" x14ac:dyDescent="0.2">
      <c r="A75">
        <f t="shared" si="196"/>
        <v>4.1783187633559242E+25</v>
      </c>
      <c r="B75" s="71">
        <f t="shared" si="197"/>
        <v>1.6480561609814465E-5</v>
      </c>
      <c r="C75" s="71">
        <f t="shared" si="198"/>
        <v>1.477825683315397E-5</v>
      </c>
      <c r="D75" s="177">
        <f t="shared" si="199"/>
        <v>71</v>
      </c>
      <c r="BX75" s="18">
        <f>IF(BX$3="","",ROUND(BW74*DownMove,RoundDigits))</f>
        <v>11.439363717299999</v>
      </c>
      <c r="BY75" s="17">
        <f t="shared" si="166"/>
        <v>11.785662545199999</v>
      </c>
      <c r="BZ75" s="17">
        <f t="shared" si="167"/>
        <v>12.142444725200001</v>
      </c>
      <c r="CA75" s="17">
        <f t="shared" si="168"/>
        <v>12.5100276153</v>
      </c>
      <c r="CB75" s="17">
        <f t="shared" si="169"/>
        <v>12.888738180600001</v>
      </c>
      <c r="CC75" s="17">
        <f t="shared" si="170"/>
        <v>13.2789132843</v>
      </c>
      <c r="CD75" s="17">
        <f t="shared" si="171"/>
        <v>13.6808999874</v>
      </c>
      <c r="CE75" s="17">
        <f t="shared" si="172"/>
        <v>14.0950558572</v>
      </c>
      <c r="CF75" s="17">
        <f t="shared" si="173"/>
        <v>14.5217492855</v>
      </c>
      <c r="CG75" s="17">
        <f t="shared" si="174"/>
        <v>14.9613598164</v>
      </c>
      <c r="CH75" s="17">
        <f t="shared" si="175"/>
        <v>15.4142784836</v>
      </c>
      <c r="CI75" s="17">
        <f t="shared" si="176"/>
        <v>15.8809081584</v>
      </c>
      <c r="CJ75" s="17">
        <f t="shared" si="177"/>
        <v>16.361663908200001</v>
      </c>
      <c r="CK75" s="17">
        <f t="shared" si="178"/>
        <v>16.856973365399998</v>
      </c>
      <c r="CL75" s="17">
        <f t="shared" si="179"/>
        <v>17.367277108</v>
      </c>
      <c r="CM75" s="17">
        <f t="shared" si="180"/>
        <v>17.893029051399999</v>
      </c>
      <c r="CN75" s="17">
        <f t="shared" si="181"/>
        <v>18.4346968523</v>
      </c>
      <c r="CO75" s="17">
        <f t="shared" si="182"/>
        <v>18.992762324299999</v>
      </c>
      <c r="CP75" s="17">
        <f t="shared" si="183"/>
        <v>19.567721866999999</v>
      </c>
      <c r="CQ75" s="17">
        <f t="shared" si="184"/>
        <v>20.160086907099998</v>
      </c>
      <c r="CR75" s="17">
        <f t="shared" si="185"/>
        <v>20.770384353600001</v>
      </c>
      <c r="CS75" s="17">
        <f t="shared" si="186"/>
        <v>21.399157066299999</v>
      </c>
      <c r="CT75" s="17">
        <f t="shared" si="187"/>
        <v>22.046964338900001</v>
      </c>
      <c r="CU75" s="17">
        <f t="shared" si="188"/>
        <v>22.714382396200001</v>
      </c>
      <c r="CV75" s="17">
        <f t="shared" si="189"/>
        <v>23.4020049069</v>
      </c>
      <c r="CW75" s="17">
        <f t="shared" si="190"/>
        <v>24.110443511500002</v>
      </c>
      <c r="CX75" s="17">
        <f t="shared" si="191"/>
        <v>24.8403283665</v>
      </c>
      <c r="CY75" s="17">
        <f t="shared" si="192"/>
        <v>25.592308704800001</v>
      </c>
      <c r="CZ75" s="17">
        <f t="shared" si="193"/>
        <v>26.367053413200001</v>
      </c>
      <c r="DA75" s="17">
        <f t="shared" si="194"/>
        <v>27.165251627500002</v>
      </c>
      <c r="DB75" s="17">
        <f t="shared" si="195"/>
        <v>27.9876133454</v>
      </c>
    </row>
    <row r="76" spans="1:106" x14ac:dyDescent="0.2">
      <c r="A76">
        <f t="shared" si="196"/>
        <v>1.7409661513983014E+25</v>
      </c>
      <c r="B76" s="71">
        <f t="shared" si="197"/>
        <v>6.8669006707560256E-6</v>
      </c>
      <c r="C76" s="71">
        <f t="shared" si="198"/>
        <v>6.1250520911312494E-6</v>
      </c>
      <c r="D76" s="177">
        <f t="shared" si="199"/>
        <v>72</v>
      </c>
      <c r="BY76" s="18">
        <f>IF(BY$3="","",ROUND(BX75*DownMove,RoundDigits))</f>
        <v>11.103298025899999</v>
      </c>
      <c r="BZ76" s="17">
        <f t="shared" si="167"/>
        <v>11.4394232849</v>
      </c>
      <c r="CA76" s="17">
        <f t="shared" si="168"/>
        <v>11.7857239161</v>
      </c>
      <c r="CB76" s="17">
        <f t="shared" si="169"/>
        <v>12.142507953999999</v>
      </c>
      <c r="CC76" s="17">
        <f t="shared" si="170"/>
        <v>12.510092758200001</v>
      </c>
      <c r="CD76" s="17">
        <f t="shared" si="171"/>
        <v>12.888805295499999</v>
      </c>
      <c r="CE76" s="17">
        <f t="shared" si="172"/>
        <v>13.278982430999999</v>
      </c>
      <c r="CF76" s="17">
        <f t="shared" si="173"/>
        <v>13.680971227300001</v>
      </c>
      <c r="CG76" s="17">
        <f t="shared" si="174"/>
        <v>14.0951292537</v>
      </c>
      <c r="CH76" s="17">
        <f t="shared" si="175"/>
        <v>14.521824903900001</v>
      </c>
      <c r="CI76" s="17">
        <f t="shared" si="176"/>
        <v>14.9614377239</v>
      </c>
      <c r="CJ76" s="17">
        <f t="shared" si="177"/>
        <v>15.4143587495</v>
      </c>
      <c r="CK76" s="17">
        <f t="shared" si="178"/>
        <v>15.8809908542</v>
      </c>
      <c r="CL76" s="17">
        <f t="shared" si="179"/>
        <v>16.361749107400001</v>
      </c>
      <c r="CM76" s="17">
        <f t="shared" si="180"/>
        <v>16.857061143799999</v>
      </c>
      <c r="CN76" s="17">
        <f t="shared" si="181"/>
        <v>17.367367543699999</v>
      </c>
      <c r="CO76" s="17">
        <f t="shared" si="182"/>
        <v>17.893122224900001</v>
      </c>
      <c r="CP76" s="17">
        <f t="shared" si="183"/>
        <v>18.434792846400001</v>
      </c>
      <c r="CQ76" s="17">
        <f t="shared" si="184"/>
        <v>18.992861224399999</v>
      </c>
      <c r="CR76" s="17">
        <f t="shared" si="185"/>
        <v>19.567823761</v>
      </c>
      <c r="CS76" s="17">
        <f t="shared" si="186"/>
        <v>20.160191885700002</v>
      </c>
      <c r="CT76" s="17">
        <f t="shared" si="187"/>
        <v>20.7704925102</v>
      </c>
      <c r="CU76" s="17">
        <f t="shared" si="188"/>
        <v>21.3992684971</v>
      </c>
      <c r="CV76" s="17">
        <f t="shared" si="189"/>
        <v>22.047079143000001</v>
      </c>
      <c r="CW76" s="17">
        <f t="shared" si="190"/>
        <v>22.714500675699998</v>
      </c>
      <c r="CX76" s="17">
        <f t="shared" si="191"/>
        <v>23.402126766999999</v>
      </c>
      <c r="CY76" s="17">
        <f t="shared" si="192"/>
        <v>24.1105690606</v>
      </c>
      <c r="CZ76" s="17">
        <f t="shared" si="193"/>
        <v>24.840457716300001</v>
      </c>
      <c r="DA76" s="17">
        <f t="shared" si="194"/>
        <v>25.592441970300001</v>
      </c>
      <c r="DB76" s="17">
        <f t="shared" si="195"/>
        <v>26.367190712999999</v>
      </c>
    </row>
    <row r="77" spans="1:106" x14ac:dyDescent="0.2">
      <c r="A77">
        <f t="shared" si="196"/>
        <v>6.9161669028151688E+24</v>
      </c>
      <c r="B77" s="71">
        <f t="shared" si="197"/>
        <v>2.7279468418071878E-6</v>
      </c>
      <c r="C77" s="71">
        <f t="shared" si="198"/>
        <v>2.4203754691839002E-6</v>
      </c>
      <c r="D77" s="177">
        <f t="shared" si="199"/>
        <v>73</v>
      </c>
      <c r="BZ77" s="18">
        <f>IF(BZ$3="","",ROUND(BY76*DownMove,RoundDigits))</f>
        <v>10.7771052743</v>
      </c>
      <c r="CA77" s="17">
        <f t="shared" si="168"/>
        <v>11.103355843499999</v>
      </c>
      <c r="CB77" s="17">
        <f t="shared" si="169"/>
        <v>11.439482852799999</v>
      </c>
      <c r="CC77" s="17">
        <f t="shared" si="170"/>
        <v>11.7857852872</v>
      </c>
      <c r="CD77" s="17">
        <f t="shared" si="171"/>
        <v>12.142571182999999</v>
      </c>
      <c r="CE77" s="17">
        <f t="shared" si="172"/>
        <v>12.510157901299999</v>
      </c>
      <c r="CF77" s="17">
        <f t="shared" si="173"/>
        <v>12.888872410699999</v>
      </c>
      <c r="CG77" s="17">
        <f t="shared" si="174"/>
        <v>13.279051577900001</v>
      </c>
      <c r="CH77" s="17">
        <f t="shared" si="175"/>
        <v>13.681042467499999</v>
      </c>
      <c r="CI77" s="17">
        <f t="shared" si="176"/>
        <v>14.095202650499999</v>
      </c>
      <c r="CJ77" s="17">
        <f t="shared" si="177"/>
        <v>14.521900522599999</v>
      </c>
      <c r="CK77" s="17">
        <f t="shared" si="178"/>
        <v>14.961515631799999</v>
      </c>
      <c r="CL77" s="17">
        <f t="shared" si="179"/>
        <v>15.414439015899999</v>
      </c>
      <c r="CM77" s="17">
        <f t="shared" si="180"/>
        <v>15.8810735504</v>
      </c>
      <c r="CN77" s="17">
        <f t="shared" si="181"/>
        <v>16.361834306999999</v>
      </c>
      <c r="CO77" s="17">
        <f t="shared" si="182"/>
        <v>16.8571489226</v>
      </c>
      <c r="CP77" s="17">
        <f t="shared" si="183"/>
        <v>17.367457979800001</v>
      </c>
      <c r="CQ77" s="17">
        <f t="shared" si="184"/>
        <v>17.893215398700001</v>
      </c>
      <c r="CR77" s="17">
        <f t="shared" si="185"/>
        <v>18.434888840799999</v>
      </c>
      <c r="CS77" s="17">
        <f t="shared" si="186"/>
        <v>18.9929601248</v>
      </c>
      <c r="CT77" s="17">
        <f t="shared" si="187"/>
        <v>19.5679256554</v>
      </c>
      <c r="CU77" s="17">
        <f t="shared" si="188"/>
        <v>20.160296864700001</v>
      </c>
      <c r="CV77" s="17">
        <f t="shared" si="189"/>
        <v>20.770600667099998</v>
      </c>
      <c r="CW77" s="17">
        <f t="shared" si="190"/>
        <v>21.399379928199998</v>
      </c>
      <c r="CX77" s="17">
        <f t="shared" si="191"/>
        <v>22.0471939474</v>
      </c>
      <c r="CY77" s="17">
        <f t="shared" si="192"/>
        <v>22.714618955500001</v>
      </c>
      <c r="CZ77" s="17">
        <f t="shared" si="193"/>
        <v>23.402248627399999</v>
      </c>
      <c r="DA77" s="17">
        <f t="shared" si="194"/>
        <v>24.110694610100001</v>
      </c>
      <c r="DB77" s="17">
        <f t="shared" si="195"/>
        <v>24.840587066499999</v>
      </c>
    </row>
    <row r="78" spans="1:106" x14ac:dyDescent="0.2">
      <c r="A78">
        <f t="shared" si="196"/>
        <v>2.6169280172814157E+24</v>
      </c>
      <c r="B78" s="71">
        <f t="shared" si="197"/>
        <v>1.0321961023054226E-6</v>
      </c>
      <c r="C78" s="71">
        <f t="shared" si="198"/>
        <v>9.1097586807906784E-7</v>
      </c>
      <c r="D78" s="177">
        <f t="shared" si="199"/>
        <v>74</v>
      </c>
      <c r="CA78" s="18">
        <f>IF(CA$3="","",ROUND(BZ77*DownMove,RoundDigits))</f>
        <v>10.4604954152</v>
      </c>
      <c r="CB78" s="17">
        <f t="shared" si="169"/>
        <v>10.7771613934</v>
      </c>
      <c r="CC78" s="17">
        <f t="shared" si="170"/>
        <v>11.103413661499999</v>
      </c>
      <c r="CD78" s="17">
        <f t="shared" si="171"/>
        <v>11.439542421100001</v>
      </c>
      <c r="CE78" s="17">
        <f t="shared" si="172"/>
        <v>11.785846658800001</v>
      </c>
      <c r="CF78" s="17">
        <f t="shared" si="173"/>
        <v>12.1426344124</v>
      </c>
      <c r="CG78" s="17">
        <f t="shared" si="174"/>
        <v>12.5102230448</v>
      </c>
      <c r="CH78" s="17">
        <f t="shared" si="175"/>
        <v>12.8889395262</v>
      </c>
      <c r="CI78" s="17">
        <f t="shared" si="176"/>
        <v>13.2791207252</v>
      </c>
      <c r="CJ78" s="17">
        <f t="shared" si="177"/>
        <v>13.681113708</v>
      </c>
      <c r="CK78" s="17">
        <f t="shared" si="178"/>
        <v>14.095276047700001</v>
      </c>
      <c r="CL78" s="17">
        <f t="shared" si="179"/>
        <v>14.5219761418</v>
      </c>
      <c r="CM78" s="17">
        <f t="shared" si="180"/>
        <v>14.961593540200001</v>
      </c>
      <c r="CN78" s="17">
        <f t="shared" si="181"/>
        <v>15.414519282800001</v>
      </c>
      <c r="CO78" s="17">
        <f t="shared" si="182"/>
        <v>15.8811562472</v>
      </c>
      <c r="CP78" s="17">
        <f t="shared" si="183"/>
        <v>16.361919507300001</v>
      </c>
      <c r="CQ78" s="17">
        <f t="shared" si="184"/>
        <v>16.857236702200002</v>
      </c>
      <c r="CR78" s="17">
        <f t="shared" si="185"/>
        <v>17.3675484167</v>
      </c>
      <c r="CS78" s="17">
        <f t="shared" si="186"/>
        <v>17.893308573399999</v>
      </c>
      <c r="CT78" s="17">
        <f t="shared" si="187"/>
        <v>18.4349848361</v>
      </c>
      <c r="CU78" s="17">
        <f t="shared" si="188"/>
        <v>18.993059026099999</v>
      </c>
      <c r="CV78" s="17">
        <f t="shared" si="189"/>
        <v>19.568027550699998</v>
      </c>
      <c r="CW78" s="17">
        <f t="shared" si="190"/>
        <v>20.160401844599999</v>
      </c>
      <c r="CX78" s="17">
        <f t="shared" si="191"/>
        <v>20.770708825</v>
      </c>
      <c r="CY78" s="17">
        <f t="shared" si="192"/>
        <v>21.399491360300001</v>
      </c>
      <c r="CZ78" s="17">
        <f t="shared" si="193"/>
        <v>22.047308752799999</v>
      </c>
      <c r="DA78" s="17">
        <f t="shared" si="194"/>
        <v>22.714737236400001</v>
      </c>
      <c r="DB78" s="17">
        <f t="shared" si="195"/>
        <v>23.402370488999999</v>
      </c>
    </row>
    <row r="79" spans="1:106" x14ac:dyDescent="0.2">
      <c r="A79">
        <f t="shared" si="196"/>
        <v>9.4209408622130929E+23</v>
      </c>
      <c r="B79" s="71">
        <f t="shared" si="197"/>
        <v>3.71590596829952E-7</v>
      </c>
      <c r="C79" s="71">
        <f t="shared" si="198"/>
        <v>3.2621745232568246E-7</v>
      </c>
      <c r="D79" s="177">
        <f t="shared" si="199"/>
        <v>75</v>
      </c>
      <c r="CB79" s="18">
        <f>IF(CB$3="","",ROUND(CA78*DownMove,RoundDigits))</f>
        <v>10.1531869223</v>
      </c>
      <c r="CC79" s="17">
        <f t="shared" si="170"/>
        <v>10.460549885600001</v>
      </c>
      <c r="CD79" s="17">
        <f t="shared" si="171"/>
        <v>10.7772175127</v>
      </c>
      <c r="CE79" s="17">
        <f t="shared" si="172"/>
        <v>11.1034714797</v>
      </c>
      <c r="CF79" s="17">
        <f t="shared" si="173"/>
        <v>11.4396019896</v>
      </c>
      <c r="CG79" s="17">
        <f t="shared" si="174"/>
        <v>11.7859080306</v>
      </c>
      <c r="CH79" s="17">
        <f t="shared" si="175"/>
        <v>12.1426976421</v>
      </c>
      <c r="CI79" s="17">
        <f t="shared" si="176"/>
        <v>12.510288188600001</v>
      </c>
      <c r="CJ79" s="17">
        <f t="shared" si="177"/>
        <v>12.8890066421</v>
      </c>
      <c r="CK79" s="17">
        <f t="shared" si="178"/>
        <v>13.2791898728</v>
      </c>
      <c r="CL79" s="17">
        <f t="shared" si="179"/>
        <v>13.6811849489</v>
      </c>
      <c r="CM79" s="17">
        <f t="shared" si="180"/>
        <v>14.0953494452</v>
      </c>
      <c r="CN79" s="17">
        <f t="shared" si="181"/>
        <v>14.5220517612</v>
      </c>
      <c r="CO79" s="17">
        <f t="shared" si="182"/>
        <v>14.961671448800001</v>
      </c>
      <c r="CP79" s="17">
        <f t="shared" si="183"/>
        <v>15.4145995499</v>
      </c>
      <c r="CQ79" s="17">
        <f t="shared" si="184"/>
        <v>15.8812389442</v>
      </c>
      <c r="CR79" s="17">
        <f t="shared" si="185"/>
        <v>16.362004707699999</v>
      </c>
      <c r="CS79" s="17">
        <f t="shared" si="186"/>
        <v>16.857324481799999</v>
      </c>
      <c r="CT79" s="17">
        <f t="shared" si="187"/>
        <v>17.367638853599999</v>
      </c>
      <c r="CU79" s="17">
        <f t="shared" si="188"/>
        <v>17.893401747999999</v>
      </c>
      <c r="CV79" s="17">
        <f t="shared" si="189"/>
        <v>18.435080831299999</v>
      </c>
      <c r="CW79" s="17">
        <f t="shared" si="190"/>
        <v>18.9931579273</v>
      </c>
      <c r="CX79" s="17">
        <f t="shared" si="191"/>
        <v>19.568129445899999</v>
      </c>
      <c r="CY79" s="17">
        <f t="shared" si="192"/>
        <v>20.160506824399999</v>
      </c>
      <c r="CZ79" s="17">
        <f t="shared" si="193"/>
        <v>20.770816982900001</v>
      </c>
      <c r="DA79" s="17">
        <f t="shared" si="194"/>
        <v>21.3996027924</v>
      </c>
      <c r="DB79" s="17">
        <f t="shared" si="195"/>
        <v>22.0474235583</v>
      </c>
    </row>
    <row r="80" spans="1:106" x14ac:dyDescent="0.2">
      <c r="A80">
        <f t="shared" si="196"/>
        <v>3.2229534528623754E+23</v>
      </c>
      <c r="B80" s="71">
        <f t="shared" si="197"/>
        <v>1.2712309891550995E-7</v>
      </c>
      <c r="C80" s="71">
        <f t="shared" si="198"/>
        <v>1.1101068069833828E-7</v>
      </c>
      <c r="D80" s="177">
        <f t="shared" si="199"/>
        <v>76</v>
      </c>
      <c r="CC80" s="18">
        <f>IF(CC$3="","",ROUND(CB79*DownMove,RoundDigits))</f>
        <v>9.85490654</v>
      </c>
      <c r="CD80" s="17">
        <f t="shared" si="171"/>
        <v>10.153239792500001</v>
      </c>
      <c r="CE80" s="17">
        <f t="shared" si="172"/>
        <v>10.460604356299999</v>
      </c>
      <c r="CF80" s="17">
        <f t="shared" si="173"/>
        <v>10.7772736324</v>
      </c>
      <c r="CG80" s="17">
        <f t="shared" si="174"/>
        <v>11.1035292983</v>
      </c>
      <c r="CH80" s="17">
        <f t="shared" si="175"/>
        <v>11.439661558499999</v>
      </c>
      <c r="CI80" s="17">
        <f t="shared" si="176"/>
        <v>11.785969402799999</v>
      </c>
      <c r="CJ80" s="17">
        <f t="shared" si="177"/>
        <v>12.1427608722</v>
      </c>
      <c r="CK80" s="17">
        <f t="shared" si="178"/>
        <v>12.510353332899999</v>
      </c>
      <c r="CL80" s="17">
        <f t="shared" si="179"/>
        <v>12.8890737585</v>
      </c>
      <c r="CM80" s="17">
        <f t="shared" si="180"/>
        <v>13.279259021</v>
      </c>
      <c r="CN80" s="17">
        <f t="shared" si="181"/>
        <v>13.681256190399999</v>
      </c>
      <c r="CO80" s="17">
        <f t="shared" si="182"/>
        <v>14.0954228434</v>
      </c>
      <c r="CP80" s="17">
        <f t="shared" si="183"/>
        <v>14.522127381300001</v>
      </c>
      <c r="CQ80" s="17">
        <f t="shared" si="184"/>
        <v>14.961749358100001</v>
      </c>
      <c r="CR80" s="17">
        <f t="shared" si="185"/>
        <v>15.4146798177</v>
      </c>
      <c r="CS80" s="17">
        <f t="shared" si="186"/>
        <v>15.8813216419</v>
      </c>
      <c r="CT80" s="17">
        <f t="shared" si="187"/>
        <v>16.3620899089</v>
      </c>
      <c r="CU80" s="17">
        <f t="shared" si="188"/>
        <v>16.8574122622</v>
      </c>
      <c r="CV80" s="17">
        <f t="shared" si="189"/>
        <v>17.3677292914</v>
      </c>
      <c r="CW80" s="17">
        <f t="shared" si="190"/>
        <v>17.893494923599999</v>
      </c>
      <c r="CX80" s="17">
        <f t="shared" si="191"/>
        <v>18.435176827599999</v>
      </c>
      <c r="CY80" s="17">
        <f t="shared" si="192"/>
        <v>18.993256829700002</v>
      </c>
      <c r="CZ80" s="17">
        <f t="shared" si="193"/>
        <v>19.568231342299999</v>
      </c>
      <c r="DA80" s="17">
        <f t="shared" si="194"/>
        <v>20.1606118055</v>
      </c>
      <c r="DB80" s="17">
        <f t="shared" si="195"/>
        <v>20.770925141999999</v>
      </c>
    </row>
    <row r="81" spans="1:106" x14ac:dyDescent="0.2">
      <c r="A81">
        <f t="shared" si="196"/>
        <v>1.0464134587215499E+23</v>
      </c>
      <c r="B81" s="71">
        <f t="shared" si="197"/>
        <v>4.1273733414126584E-8</v>
      </c>
      <c r="C81" s="71">
        <f t="shared" si="198"/>
        <v>3.5851874500007309E-8</v>
      </c>
      <c r="D81" s="177">
        <f t="shared" si="199"/>
        <v>77</v>
      </c>
      <c r="CD81" s="18">
        <f>IF(CD$3="","",ROUND(CC80*DownMove,RoundDigits))</f>
        <v>9.5653890404999995</v>
      </c>
      <c r="CE81" s="17">
        <f t="shared" si="172"/>
        <v>9.8549578570000005</v>
      </c>
      <c r="CF81" s="17">
        <f t="shared" si="173"/>
        <v>10.1532926629</v>
      </c>
      <c r="CG81" s="17">
        <f t="shared" si="174"/>
        <v>10.4606588272</v>
      </c>
      <c r="CH81" s="17">
        <f t="shared" si="175"/>
        <v>10.7773297523</v>
      </c>
      <c r="CI81" s="17">
        <f t="shared" si="176"/>
        <v>11.1035871171</v>
      </c>
      <c r="CJ81" s="17">
        <f t="shared" si="177"/>
        <v>11.4397211276</v>
      </c>
      <c r="CK81" s="17">
        <f t="shared" si="178"/>
        <v>11.7860307752</v>
      </c>
      <c r="CL81" s="17">
        <f t="shared" si="179"/>
        <v>12.142824102500001</v>
      </c>
      <c r="CM81" s="17">
        <f t="shared" si="180"/>
        <v>12.5104184773</v>
      </c>
      <c r="CN81" s="17">
        <f t="shared" si="181"/>
        <v>12.889140875000001</v>
      </c>
      <c r="CO81" s="17">
        <f t="shared" si="182"/>
        <v>13.279328169299999</v>
      </c>
      <c r="CP81" s="17">
        <f t="shared" si="183"/>
        <v>13.681327432</v>
      </c>
      <c r="CQ81" s="17">
        <f t="shared" si="184"/>
        <v>14.095496241599999</v>
      </c>
      <c r="CR81" s="17">
        <f t="shared" si="185"/>
        <v>14.522203001499999</v>
      </c>
      <c r="CS81" s="17">
        <f t="shared" si="186"/>
        <v>14.9618272675</v>
      </c>
      <c r="CT81" s="17">
        <f t="shared" si="187"/>
        <v>15.414760085599999</v>
      </c>
      <c r="CU81" s="17">
        <f t="shared" si="188"/>
        <v>15.8814043398</v>
      </c>
      <c r="CV81" s="17">
        <f t="shared" si="189"/>
        <v>16.362175110300001</v>
      </c>
      <c r="CW81" s="17">
        <f t="shared" si="190"/>
        <v>16.8575000429</v>
      </c>
      <c r="CX81" s="17">
        <f t="shared" si="191"/>
        <v>17.367819729400001</v>
      </c>
      <c r="CY81" s="17">
        <f t="shared" si="192"/>
        <v>17.893588099399999</v>
      </c>
      <c r="CZ81" s="17">
        <f t="shared" si="193"/>
        <v>18.4352728241</v>
      </c>
      <c r="DA81" s="17">
        <f t="shared" si="194"/>
        <v>18.9933557323</v>
      </c>
      <c r="DB81" s="17">
        <f t="shared" si="195"/>
        <v>19.568333238899999</v>
      </c>
    </row>
    <row r="82" spans="1:106" x14ac:dyDescent="0.2">
      <c r="A82">
        <f t="shared" si="196"/>
        <v>3.2197337191432325E+22</v>
      </c>
      <c r="B82" s="71">
        <f t="shared" si="197"/>
        <v>1.2699610281269727E-8</v>
      </c>
      <c r="C82" s="71">
        <f t="shared" si="198"/>
        <v>1.0973023892840695E-8</v>
      </c>
      <c r="D82" s="177">
        <f t="shared" si="199"/>
        <v>78</v>
      </c>
      <c r="CE82" s="18">
        <f>IF(CE$3="","",ROUND(CD81*DownMove,RoundDigits))</f>
        <v>9.2843769877</v>
      </c>
      <c r="CF82" s="17">
        <f t="shared" si="173"/>
        <v>9.5654388498999996</v>
      </c>
      <c r="CG82" s="17">
        <f t="shared" si="174"/>
        <v>9.8550091741999992</v>
      </c>
      <c r="CH82" s="17">
        <f t="shared" si="175"/>
        <v>10.1533455337</v>
      </c>
      <c r="CI82" s="17">
        <f t="shared" si="176"/>
        <v>10.4607132986</v>
      </c>
      <c r="CJ82" s="17">
        <f t="shared" si="177"/>
        <v>10.7773858727</v>
      </c>
      <c r="CK82" s="17">
        <f t="shared" si="178"/>
        <v>11.1036449364</v>
      </c>
      <c r="CL82" s="17">
        <f t="shared" si="179"/>
        <v>11.4397806973</v>
      </c>
      <c r="CM82" s="17">
        <f t="shared" si="180"/>
        <v>11.7860921482</v>
      </c>
      <c r="CN82" s="17">
        <f t="shared" si="181"/>
        <v>12.142887333399999</v>
      </c>
      <c r="CO82" s="17">
        <f t="shared" si="182"/>
        <v>12.510483622400001</v>
      </c>
      <c r="CP82" s="17">
        <f t="shared" si="183"/>
        <v>12.889207992199999</v>
      </c>
      <c r="CQ82" s="17">
        <f t="shared" si="184"/>
        <v>13.279397318299999</v>
      </c>
      <c r="CR82" s="17">
        <f t="shared" si="185"/>
        <v>13.6813986743</v>
      </c>
      <c r="CS82" s="17">
        <f t="shared" si="186"/>
        <v>14.095569640600001</v>
      </c>
      <c r="CT82" s="17">
        <f t="shared" si="187"/>
        <v>14.5222786225</v>
      </c>
      <c r="CU82" s="17">
        <f t="shared" si="188"/>
        <v>14.9619051777</v>
      </c>
      <c r="CV82" s="17">
        <f t="shared" si="189"/>
        <v>15.414840354300001</v>
      </c>
      <c r="CW82" s="17">
        <f t="shared" si="190"/>
        <v>15.8814870384</v>
      </c>
      <c r="CX82" s="17">
        <f t="shared" si="191"/>
        <v>16.3622603124</v>
      </c>
      <c r="CY82" s="17">
        <f t="shared" si="192"/>
        <v>16.857587824300001</v>
      </c>
      <c r="CZ82" s="17">
        <f t="shared" si="193"/>
        <v>17.367910168200002</v>
      </c>
      <c r="DA82" s="17">
        <f t="shared" si="194"/>
        <v>17.893681275999999</v>
      </c>
      <c r="DB82" s="17">
        <f t="shared" si="195"/>
        <v>18.435368821400001</v>
      </c>
    </row>
    <row r="83" spans="1:106" x14ac:dyDescent="0.2">
      <c r="A83">
        <f t="shared" si="196"/>
        <v>9.3739082962397928E+21</v>
      </c>
      <c r="B83" s="71">
        <f t="shared" si="197"/>
        <v>3.6973548920152377E-9</v>
      </c>
      <c r="C83" s="71">
        <f t="shared" si="198"/>
        <v>3.1777877597707072E-9</v>
      </c>
      <c r="D83" s="177">
        <f t="shared" si="199"/>
        <v>79</v>
      </c>
      <c r="CF83" s="18">
        <f>IF(CF$3="","",ROUND(CE82*DownMove,RoundDigits))</f>
        <v>9.0116205085000001</v>
      </c>
      <c r="CG83" s="17">
        <f t="shared" si="174"/>
        <v>9.2844253336999998</v>
      </c>
      <c r="CH83" s="17">
        <f t="shared" si="175"/>
        <v>9.5654886593999997</v>
      </c>
      <c r="CI83" s="17">
        <f t="shared" si="176"/>
        <v>9.8550604915999998</v>
      </c>
      <c r="CJ83" s="17">
        <f t="shared" si="177"/>
        <v>10.153398404600001</v>
      </c>
      <c r="CK83" s="17">
        <f t="shared" si="178"/>
        <v>10.46076777</v>
      </c>
      <c r="CL83" s="17">
        <f t="shared" si="179"/>
        <v>10.7774419931</v>
      </c>
      <c r="CM83" s="17">
        <f t="shared" si="180"/>
        <v>11.103702755700001</v>
      </c>
      <c r="CN83" s="17">
        <f t="shared" si="181"/>
        <v>11.439840266899999</v>
      </c>
      <c r="CO83" s="17">
        <f t="shared" si="182"/>
        <v>11.786153521199999</v>
      </c>
      <c r="CP83" s="17">
        <f t="shared" si="183"/>
        <v>12.1429505643</v>
      </c>
      <c r="CQ83" s="17">
        <f t="shared" si="184"/>
        <v>12.5105487674</v>
      </c>
      <c r="CR83" s="17">
        <f t="shared" si="185"/>
        <v>12.8892751093</v>
      </c>
      <c r="CS83" s="17">
        <f t="shared" si="186"/>
        <v>13.279466467200001</v>
      </c>
      <c r="CT83" s="17">
        <f t="shared" si="187"/>
        <v>13.681469916499999</v>
      </c>
      <c r="CU83" s="17">
        <f t="shared" si="188"/>
        <v>14.095643039500001</v>
      </c>
      <c r="CV83" s="17">
        <f t="shared" si="189"/>
        <v>14.522354243300001</v>
      </c>
      <c r="CW83" s="17">
        <f t="shared" si="190"/>
        <v>14.9619830878</v>
      </c>
      <c r="CX83" s="17">
        <f t="shared" si="191"/>
        <v>15.414920623</v>
      </c>
      <c r="CY83" s="17">
        <f t="shared" si="192"/>
        <v>15.881569737</v>
      </c>
      <c r="CZ83" s="17">
        <f t="shared" si="193"/>
        <v>16.362345514499999</v>
      </c>
      <c r="DA83" s="17">
        <f t="shared" si="194"/>
        <v>16.857675605699999</v>
      </c>
      <c r="DB83" s="17">
        <f t="shared" si="195"/>
        <v>17.368000606900001</v>
      </c>
    </row>
    <row r="84" spans="1:106" x14ac:dyDescent="0.2">
      <c r="A84">
        <f t="shared" si="196"/>
        <v>2.5778247814659425E+21</v>
      </c>
      <c r="B84" s="71">
        <f t="shared" si="197"/>
        <v>1.0167725953041902E-9</v>
      </c>
      <c r="C84" s="71">
        <f t="shared" si="198"/>
        <v>8.6927141791597537E-10</v>
      </c>
      <c r="D84" s="177">
        <f t="shared" si="199"/>
        <v>80</v>
      </c>
      <c r="CG84" s="18">
        <f>IF(CG$3="","",ROUND(CF83*DownMove,RoundDigits))</f>
        <v>8.7468770707000001</v>
      </c>
      <c r="CH84" s="17">
        <f t="shared" si="175"/>
        <v>9.0116674341999996</v>
      </c>
      <c r="CI84" s="17">
        <f t="shared" si="176"/>
        <v>9.2844736799999996</v>
      </c>
      <c r="CJ84" s="17">
        <f t="shared" si="177"/>
        <v>9.5655384692999998</v>
      </c>
      <c r="CK84" s="17">
        <f t="shared" si="178"/>
        <v>9.8551118094000003</v>
      </c>
      <c r="CL84" s="17">
        <f t="shared" si="179"/>
        <v>10.1534512759</v>
      </c>
      <c r="CM84" s="17">
        <f t="shared" si="180"/>
        <v>10.460822241900001</v>
      </c>
      <c r="CN84" s="17">
        <f t="shared" si="181"/>
        <v>10.777498114</v>
      </c>
      <c r="CO84" s="17">
        <f t="shared" si="182"/>
        <v>11.103760575500001</v>
      </c>
      <c r="CP84" s="17">
        <f t="shared" si="183"/>
        <v>11.439899837</v>
      </c>
      <c r="CQ84" s="17">
        <f t="shared" si="184"/>
        <v>11.7862148946</v>
      </c>
      <c r="CR84" s="17">
        <f t="shared" si="185"/>
        <v>12.1430137957</v>
      </c>
      <c r="CS84" s="17">
        <f t="shared" si="186"/>
        <v>12.510613913</v>
      </c>
      <c r="CT84" s="17">
        <f t="shared" si="187"/>
        <v>12.889342227</v>
      </c>
      <c r="CU84" s="17">
        <f t="shared" si="188"/>
        <v>13.2795356168</v>
      </c>
      <c r="CV84" s="17">
        <f t="shared" si="189"/>
        <v>13.6815411595</v>
      </c>
      <c r="CW84" s="17">
        <f t="shared" si="190"/>
        <v>14.0957164392</v>
      </c>
      <c r="CX84" s="17">
        <f t="shared" si="191"/>
        <v>14.522429864999999</v>
      </c>
      <c r="CY84" s="17">
        <f t="shared" si="192"/>
        <v>14.9620609987</v>
      </c>
      <c r="CZ84" s="17">
        <f t="shared" si="193"/>
        <v>15.4150008924</v>
      </c>
      <c r="DA84" s="17">
        <f t="shared" si="194"/>
        <v>15.8816524364</v>
      </c>
      <c r="DB84" s="17">
        <f t="shared" si="195"/>
        <v>16.362430717399999</v>
      </c>
    </row>
    <row r="85" spans="1:106" x14ac:dyDescent="0.2">
      <c r="A85">
        <f t="shared" si="196"/>
        <v>6.6832494334302211E+20</v>
      </c>
      <c r="B85" s="71">
        <f t="shared" si="197"/>
        <v>2.6360770989367893E-10</v>
      </c>
      <c r="C85" s="71">
        <f t="shared" si="198"/>
        <v>2.2417516300091042E-10</v>
      </c>
      <c r="D85" s="177">
        <f t="shared" si="199"/>
        <v>81</v>
      </c>
      <c r="CH85" s="18">
        <f>IF(CH$3="","",ROUND(CG84*DownMove,RoundDigits))</f>
        <v>8.4899112671000001</v>
      </c>
      <c r="CI85" s="17">
        <f t="shared" si="176"/>
        <v>8.7469226177999992</v>
      </c>
      <c r="CJ85" s="17">
        <f t="shared" si="177"/>
        <v>9.0117143601999992</v>
      </c>
      <c r="CK85" s="17">
        <f t="shared" si="178"/>
        <v>9.2845220264999995</v>
      </c>
      <c r="CL85" s="17">
        <f t="shared" si="179"/>
        <v>9.5655882794</v>
      </c>
      <c r="CM85" s="17">
        <f t="shared" si="180"/>
        <v>9.8551631274000009</v>
      </c>
      <c r="CN85" s="17">
        <f t="shared" si="181"/>
        <v>10.1535041474</v>
      </c>
      <c r="CO85" s="17">
        <f t="shared" si="182"/>
        <v>10.460876713899999</v>
      </c>
      <c r="CP85" s="17">
        <f t="shared" si="183"/>
        <v>10.777554235</v>
      </c>
      <c r="CQ85" s="17">
        <f t="shared" si="184"/>
        <v>11.103818395399999</v>
      </c>
      <c r="CR85" s="17">
        <f t="shared" si="185"/>
        <v>11.4399594073</v>
      </c>
      <c r="CS85" s="17">
        <f t="shared" si="186"/>
        <v>11.7862762683</v>
      </c>
      <c r="CT85" s="17">
        <f t="shared" si="187"/>
        <v>12.1430770273</v>
      </c>
      <c r="CU85" s="17">
        <f t="shared" si="188"/>
        <v>12.510679058799999</v>
      </c>
      <c r="CV85" s="17">
        <f t="shared" si="189"/>
        <v>12.889409345000001</v>
      </c>
      <c r="CW85" s="17">
        <f t="shared" si="190"/>
        <v>13.2796047666</v>
      </c>
      <c r="CX85" s="17">
        <f t="shared" si="191"/>
        <v>13.681612402600001</v>
      </c>
      <c r="CY85" s="17">
        <f t="shared" si="192"/>
        <v>14.095789839</v>
      </c>
      <c r="CZ85" s="17">
        <f t="shared" si="193"/>
        <v>14.5225054868</v>
      </c>
      <c r="DA85" s="17">
        <f t="shared" si="194"/>
        <v>14.9621389098</v>
      </c>
      <c r="DB85" s="17">
        <f t="shared" si="195"/>
        <v>15.4150811621</v>
      </c>
    </row>
    <row r="86" spans="1:106" x14ac:dyDescent="0.2">
      <c r="A86">
        <f t="shared" si="196"/>
        <v>1.6300608374220046E+20</v>
      </c>
      <c r="B86" s="71">
        <f t="shared" si="197"/>
        <v>6.4294563388702157E-11</v>
      </c>
      <c r="C86" s="71">
        <f t="shared" si="198"/>
        <v>5.4387795486848943E-11</v>
      </c>
      <c r="D86" s="177">
        <f t="shared" si="199"/>
        <v>82</v>
      </c>
      <c r="CI86" s="18">
        <f>IF(CI$3="","",ROUND(CH85*DownMove,RoundDigits))</f>
        <v>8.2404946063000004</v>
      </c>
      <c r="CJ86" s="17">
        <f t="shared" si="177"/>
        <v>8.4899554761000005</v>
      </c>
      <c r="CK86" s="17">
        <f t="shared" si="178"/>
        <v>8.7469681652000002</v>
      </c>
      <c r="CL86" s="17">
        <f t="shared" si="179"/>
        <v>9.0117612864000005</v>
      </c>
      <c r="CM86" s="17">
        <f t="shared" si="180"/>
        <v>9.2845703732999993</v>
      </c>
      <c r="CN86" s="17">
        <f t="shared" si="181"/>
        <v>9.5656380898000002</v>
      </c>
      <c r="CO86" s="17">
        <f t="shared" si="182"/>
        <v>9.8552144456999997</v>
      </c>
      <c r="CP86" s="17">
        <f t="shared" si="183"/>
        <v>10.153557019200001</v>
      </c>
      <c r="CQ86" s="17">
        <f t="shared" si="184"/>
        <v>10.4609311863</v>
      </c>
      <c r="CR86" s="17">
        <f t="shared" si="185"/>
        <v>10.7776103564</v>
      </c>
      <c r="CS86" s="17">
        <f t="shared" si="186"/>
        <v>11.1038762158</v>
      </c>
      <c r="CT86" s="17">
        <f t="shared" si="187"/>
        <v>11.440018978099999</v>
      </c>
      <c r="CU86" s="17">
        <f t="shared" si="188"/>
        <v>11.786337642399999</v>
      </c>
      <c r="CV86" s="17">
        <f t="shared" si="189"/>
        <v>12.143140259400001</v>
      </c>
      <c r="CW86" s="17">
        <f t="shared" si="190"/>
        <v>12.5107442051</v>
      </c>
      <c r="CX86" s="17">
        <f t="shared" si="191"/>
        <v>12.889476463399999</v>
      </c>
      <c r="CY86" s="17">
        <f t="shared" si="192"/>
        <v>13.2796739168</v>
      </c>
      <c r="CZ86" s="17">
        <f t="shared" si="193"/>
        <v>13.6816836462</v>
      </c>
      <c r="DA86" s="17">
        <f t="shared" si="194"/>
        <v>14.0958632393</v>
      </c>
      <c r="DB86" s="17">
        <f t="shared" si="195"/>
        <v>14.522581109100001</v>
      </c>
    </row>
    <row r="87" spans="1:106" x14ac:dyDescent="0.2">
      <c r="A87">
        <f t="shared" si="196"/>
        <v>3.7314645675925398E+19</v>
      </c>
      <c r="B87" s="71">
        <f t="shared" si="197"/>
        <v>1.4718032582955911E-11</v>
      </c>
      <c r="C87" s="71">
        <f t="shared" si="198"/>
        <v>1.2384394638897007E-11</v>
      </c>
      <c r="D87" s="177">
        <f t="shared" si="199"/>
        <v>83</v>
      </c>
      <c r="CJ87" s="18">
        <f>IF(CJ$3="","",ROUND(CI86*DownMove,RoundDigits))</f>
        <v>7.9984053095999998</v>
      </c>
      <c r="CK87" s="17">
        <f t="shared" si="178"/>
        <v>8.2405375165999999</v>
      </c>
      <c r="CL87" s="17">
        <f t="shared" si="179"/>
        <v>8.4899996854000008</v>
      </c>
      <c r="CM87" s="17">
        <f t="shared" si="180"/>
        <v>8.7470137127999994</v>
      </c>
      <c r="CN87" s="17">
        <f t="shared" si="181"/>
        <v>9.0118082128000001</v>
      </c>
      <c r="CO87" s="17">
        <f t="shared" si="182"/>
        <v>9.2846187202999992</v>
      </c>
      <c r="CP87" s="17">
        <f t="shared" si="183"/>
        <v>9.5656879003000004</v>
      </c>
      <c r="CQ87" s="17">
        <f t="shared" si="184"/>
        <v>9.8552657640000003</v>
      </c>
      <c r="CR87" s="17">
        <f t="shared" si="185"/>
        <v>10.1536098911</v>
      </c>
      <c r="CS87" s="17">
        <f t="shared" si="186"/>
        <v>10.4609856588</v>
      </c>
      <c r="CT87" s="17">
        <f t="shared" si="187"/>
        <v>10.7776664779</v>
      </c>
      <c r="CU87" s="17">
        <f t="shared" si="188"/>
        <v>11.1039340362</v>
      </c>
      <c r="CV87" s="17">
        <f t="shared" si="189"/>
        <v>11.440078548800001</v>
      </c>
      <c r="CW87" s="17">
        <f t="shared" si="190"/>
        <v>11.786399016500001</v>
      </c>
      <c r="CX87" s="17">
        <f t="shared" si="191"/>
        <v>12.1432034914</v>
      </c>
      <c r="CY87" s="17">
        <f t="shared" si="192"/>
        <v>12.510809351300001</v>
      </c>
      <c r="CZ87" s="17">
        <f t="shared" si="193"/>
        <v>12.8895435817</v>
      </c>
      <c r="DA87" s="17">
        <f t="shared" si="194"/>
        <v>13.279743067</v>
      </c>
      <c r="DB87" s="17">
        <f t="shared" si="195"/>
        <v>13.681754889700001</v>
      </c>
    </row>
    <row r="88" spans="1:106" x14ac:dyDescent="0.2">
      <c r="A88">
        <f t="shared" si="196"/>
        <v>7.9959955019840215E+18</v>
      </c>
      <c r="B88" s="71">
        <f t="shared" si="197"/>
        <v>3.153864124919127E-12</v>
      </c>
      <c r="C88" s="71">
        <f t="shared" si="198"/>
        <v>2.6397683656119068E-12</v>
      </c>
      <c r="D88" s="177">
        <f t="shared" si="199"/>
        <v>84</v>
      </c>
      <c r="CK88" s="18">
        <f>IF(CK$3="","",ROUND(CJ87*DownMove,RoundDigits))</f>
        <v>7.7634281135999998</v>
      </c>
      <c r="CL88" s="17">
        <f t="shared" si="179"/>
        <v>7.9984469592999998</v>
      </c>
      <c r="CM88" s="17">
        <f t="shared" si="180"/>
        <v>8.2405804271999994</v>
      </c>
      <c r="CN88" s="17">
        <f t="shared" si="181"/>
        <v>8.4900438950999995</v>
      </c>
      <c r="CO88" s="17">
        <f t="shared" si="182"/>
        <v>8.7470592608000004</v>
      </c>
      <c r="CP88" s="17">
        <f t="shared" si="183"/>
        <v>9.0118551396999997</v>
      </c>
      <c r="CQ88" s="17">
        <f t="shared" si="184"/>
        <v>9.2846670677999992</v>
      </c>
      <c r="CR88" s="17">
        <f t="shared" si="185"/>
        <v>9.5657377114000006</v>
      </c>
      <c r="CS88" s="17">
        <f t="shared" si="186"/>
        <v>9.8553170830999992</v>
      </c>
      <c r="CT88" s="17">
        <f t="shared" si="187"/>
        <v>10.1536627637</v>
      </c>
      <c r="CU88" s="17">
        <f t="shared" si="188"/>
        <v>10.461040131900001</v>
      </c>
      <c r="CV88" s="17">
        <f t="shared" si="189"/>
        <v>10.777722600100001</v>
      </c>
      <c r="CW88" s="17">
        <f t="shared" si="190"/>
        <v>11.1039918574</v>
      </c>
      <c r="CX88" s="17">
        <f t="shared" si="191"/>
        <v>11.4401381204</v>
      </c>
      <c r="CY88" s="17">
        <f t="shared" si="192"/>
        <v>11.7864603915</v>
      </c>
      <c r="CZ88" s="17">
        <f t="shared" si="193"/>
        <v>12.1432667244</v>
      </c>
      <c r="DA88" s="17">
        <f t="shared" si="194"/>
        <v>12.5108744985</v>
      </c>
      <c r="DB88" s="17">
        <f t="shared" si="195"/>
        <v>12.889610701100001</v>
      </c>
    </row>
    <row r="89" spans="1:106" x14ac:dyDescent="0.2">
      <c r="A89">
        <f t="shared" si="196"/>
        <v>1.5991991003968033E+18</v>
      </c>
      <c r="B89" s="71">
        <f t="shared" si="197"/>
        <v>6.3077282498382501E-13</v>
      </c>
      <c r="C89" s="71">
        <f t="shared" si="198"/>
        <v>5.2516241168427777E-13</v>
      </c>
      <c r="D89" s="177">
        <f t="shared" si="199"/>
        <v>85</v>
      </c>
      <c r="CL89" s="18">
        <f>IF(CL$3="","",ROUND(CK88*DownMove,RoundDigits))</f>
        <v>7.5353540790000002</v>
      </c>
      <c r="CM89" s="17">
        <f t="shared" si="180"/>
        <v>7.7634685396999998</v>
      </c>
      <c r="CN89" s="17">
        <f t="shared" si="181"/>
        <v>7.9984886091999998</v>
      </c>
      <c r="CO89" s="17">
        <f t="shared" si="182"/>
        <v>8.2406233379000007</v>
      </c>
      <c r="CP89" s="17">
        <f t="shared" si="183"/>
        <v>8.4900881047999999</v>
      </c>
      <c r="CQ89" s="17">
        <f t="shared" si="184"/>
        <v>8.7471048088999996</v>
      </c>
      <c r="CR89" s="17">
        <f t="shared" si="185"/>
        <v>9.0119020665999994</v>
      </c>
      <c r="CS89" s="17">
        <f t="shared" si="186"/>
        <v>9.2847154153000009</v>
      </c>
      <c r="CT89" s="17">
        <f t="shared" si="187"/>
        <v>9.5657875225000009</v>
      </c>
      <c r="CU89" s="17">
        <f t="shared" si="188"/>
        <v>9.8553684020999999</v>
      </c>
      <c r="CV89" s="17">
        <f t="shared" si="189"/>
        <v>10.153715636299999</v>
      </c>
      <c r="CW89" s="17">
        <f t="shared" si="190"/>
        <v>10.4610946051</v>
      </c>
      <c r="CX89" s="17">
        <f t="shared" si="191"/>
        <v>10.777778722300001</v>
      </c>
      <c r="CY89" s="17">
        <f t="shared" si="192"/>
        <v>11.104049678499999</v>
      </c>
      <c r="CZ89" s="17">
        <f t="shared" si="193"/>
        <v>11.4401976919</v>
      </c>
      <c r="DA89" s="17">
        <f t="shared" si="194"/>
        <v>11.7865217663</v>
      </c>
      <c r="DB89" s="17">
        <f t="shared" si="195"/>
        <v>12.143329957200001</v>
      </c>
    </row>
    <row r="90" spans="1:106" x14ac:dyDescent="0.2">
      <c r="A90">
        <f t="shared" si="196"/>
        <v>2.9752541402731226E+17</v>
      </c>
      <c r="B90" s="71">
        <f t="shared" si="197"/>
        <v>1.1735308371792093E-13</v>
      </c>
      <c r="C90" s="71">
        <f t="shared" si="198"/>
        <v>9.718807581185793E-14</v>
      </c>
      <c r="D90" s="177">
        <f t="shared" si="199"/>
        <v>86</v>
      </c>
      <c r="CM90" s="18">
        <f>IF(CM$3="","",ROUND(CL89*DownMove,RoundDigits))</f>
        <v>7.3139804046999997</v>
      </c>
      <c r="CN90" s="17">
        <f t="shared" si="181"/>
        <v>7.5353933174999996</v>
      </c>
      <c r="CO90" s="17">
        <f t="shared" si="182"/>
        <v>7.7635089660999999</v>
      </c>
      <c r="CP90" s="17">
        <f t="shared" si="183"/>
        <v>7.9985302593999998</v>
      </c>
      <c r="CQ90" s="17">
        <f t="shared" si="184"/>
        <v>8.2406662490000002</v>
      </c>
      <c r="CR90" s="17">
        <f t="shared" si="185"/>
        <v>8.4901323149000003</v>
      </c>
      <c r="CS90" s="17">
        <f t="shared" si="186"/>
        <v>8.7471503573000007</v>
      </c>
      <c r="CT90" s="17">
        <f t="shared" si="187"/>
        <v>9.0119489939000008</v>
      </c>
      <c r="CU90" s="17">
        <f t="shared" si="188"/>
        <v>9.2847637632000009</v>
      </c>
      <c r="CV90" s="17">
        <f t="shared" si="189"/>
        <v>9.5658373340999994</v>
      </c>
      <c r="CW90" s="17">
        <f t="shared" si="190"/>
        <v>9.8554197216000006</v>
      </c>
      <c r="CX90" s="17">
        <f t="shared" si="191"/>
        <v>10.153768509400001</v>
      </c>
      <c r="CY90" s="17">
        <f t="shared" si="192"/>
        <v>10.4611490788</v>
      </c>
      <c r="CZ90" s="17">
        <f t="shared" si="193"/>
        <v>10.777834845099999</v>
      </c>
      <c r="DA90" s="17">
        <f t="shared" si="194"/>
        <v>11.1041075003</v>
      </c>
      <c r="DB90" s="17">
        <f t="shared" si="195"/>
        <v>11.4402572641</v>
      </c>
    </row>
    <row r="91" spans="1:106" x14ac:dyDescent="0.2">
      <c r="A91">
        <f t="shared" si="196"/>
        <v>5.1297485177122792E+16</v>
      </c>
      <c r="B91" s="71">
        <f t="shared" si="197"/>
        <v>2.023329029619326E-14</v>
      </c>
      <c r="C91" s="71">
        <f t="shared" si="198"/>
        <v>1.6667973777547522E-14</v>
      </c>
      <c r="D91" s="177">
        <f t="shared" si="199"/>
        <v>87</v>
      </c>
      <c r="CN91" s="18">
        <f>IF(CN$3="","",ROUND(CM90*DownMove,RoundDigits))</f>
        <v>7.0991102473999996</v>
      </c>
      <c r="CO91" s="17">
        <f t="shared" si="182"/>
        <v>7.3140184903999996</v>
      </c>
      <c r="CP91" s="17">
        <f t="shared" si="183"/>
        <v>7.5354325562</v>
      </c>
      <c r="CQ91" s="17">
        <f t="shared" si="184"/>
        <v>7.7635493925999999</v>
      </c>
      <c r="CR91" s="17">
        <f t="shared" si="185"/>
        <v>7.9985719096999999</v>
      </c>
      <c r="CS91" s="17">
        <f t="shared" si="186"/>
        <v>8.2407091600999998</v>
      </c>
      <c r="CT91" s="17">
        <f t="shared" si="187"/>
        <v>8.4901765250000008</v>
      </c>
      <c r="CU91" s="17">
        <f t="shared" si="188"/>
        <v>8.7471959057999999</v>
      </c>
      <c r="CV91" s="17">
        <f t="shared" si="189"/>
        <v>9.0119959213000005</v>
      </c>
      <c r="CW91" s="17">
        <f t="shared" si="190"/>
        <v>9.2848121112000008</v>
      </c>
      <c r="CX91" s="17">
        <f t="shared" si="191"/>
        <v>9.5658871456999996</v>
      </c>
      <c r="CY91" s="17">
        <f t="shared" si="192"/>
        <v>9.8554710410999995</v>
      </c>
      <c r="CZ91" s="17">
        <f t="shared" si="193"/>
        <v>10.1538213824</v>
      </c>
      <c r="DA91" s="17">
        <f t="shared" si="194"/>
        <v>10.461203552400001</v>
      </c>
      <c r="DB91" s="17">
        <f t="shared" si="195"/>
        <v>10.777890967699999</v>
      </c>
    </row>
    <row r="92" spans="1:106" x14ac:dyDescent="0.2">
      <c r="A92">
        <f t="shared" si="196"/>
        <v>8160963550905900</v>
      </c>
      <c r="B92" s="71">
        <f t="shared" si="197"/>
        <v>3.2189325471216556E-15</v>
      </c>
      <c r="C92" s="71">
        <f t="shared" si="198"/>
        <v>2.6377035897680631E-15</v>
      </c>
      <c r="D92" s="177">
        <f t="shared" si="199"/>
        <v>88</v>
      </c>
      <c r="CO92" s="18">
        <f>IF(CO$3="","",ROUND(CN91*DownMove,RoundDigits))</f>
        <v>6.8905525468000004</v>
      </c>
      <c r="CP92" s="17">
        <f t="shared" si="183"/>
        <v>7.0991472143000003</v>
      </c>
      <c r="CQ92" s="17">
        <f t="shared" si="184"/>
        <v>7.3140565763999996</v>
      </c>
      <c r="CR92" s="17">
        <f t="shared" si="185"/>
        <v>7.5354717951000003</v>
      </c>
      <c r="CS92" s="17">
        <f t="shared" si="186"/>
        <v>7.7635898193999999</v>
      </c>
      <c r="CT92" s="17">
        <f t="shared" si="187"/>
        <v>7.9986135602999999</v>
      </c>
      <c r="CU92" s="17">
        <f t="shared" si="188"/>
        <v>8.2407520715999993</v>
      </c>
      <c r="CV92" s="17">
        <f t="shared" si="189"/>
        <v>8.4902207355999995</v>
      </c>
      <c r="CW92" s="17">
        <f t="shared" si="190"/>
        <v>8.7472414547999993</v>
      </c>
      <c r="CX92" s="17">
        <f t="shared" si="191"/>
        <v>9.0120428492000002</v>
      </c>
      <c r="CY92" s="17">
        <f t="shared" si="192"/>
        <v>9.2848604597000008</v>
      </c>
      <c r="CZ92" s="17">
        <f t="shared" si="193"/>
        <v>9.5659369578</v>
      </c>
      <c r="DA92" s="17">
        <f t="shared" si="194"/>
        <v>9.8555223612000002</v>
      </c>
      <c r="DB92" s="17">
        <f t="shared" si="195"/>
        <v>10.1538742561</v>
      </c>
    </row>
    <row r="93" spans="1:106" x14ac:dyDescent="0.2">
      <c r="A93">
        <f t="shared" si="196"/>
        <v>1192050855750300.2</v>
      </c>
      <c r="B93" s="71">
        <f t="shared" si="197"/>
        <v>4.7018115856833181E-16</v>
      </c>
      <c r="C93" s="71">
        <f t="shared" si="198"/>
        <v>3.832455796192146E-16</v>
      </c>
      <c r="D93" s="177">
        <f t="shared" si="199"/>
        <v>89</v>
      </c>
      <c r="CP93" s="18">
        <f>IF(CP$3="","",ROUND(CO92*DownMove,RoundDigits))</f>
        <v>6.6881218555000004</v>
      </c>
      <c r="CQ93" s="17">
        <f t="shared" si="184"/>
        <v>6.8905884276</v>
      </c>
      <c r="CR93" s="17">
        <f t="shared" si="185"/>
        <v>7.0991841813000001</v>
      </c>
      <c r="CS93" s="17">
        <f t="shared" si="186"/>
        <v>7.3140946624999996</v>
      </c>
      <c r="CT93" s="17">
        <f t="shared" si="187"/>
        <v>7.5355110341999998</v>
      </c>
      <c r="CU93" s="17">
        <f t="shared" si="188"/>
        <v>7.7636302463</v>
      </c>
      <c r="CV93" s="17">
        <f t="shared" si="189"/>
        <v>7.9986552111</v>
      </c>
      <c r="CW93" s="17">
        <f t="shared" si="190"/>
        <v>8.2407949833000007</v>
      </c>
      <c r="CX93" s="17">
        <f t="shared" si="191"/>
        <v>8.4902649462999999</v>
      </c>
      <c r="CY93" s="17">
        <f t="shared" si="192"/>
        <v>8.7472870038000003</v>
      </c>
      <c r="CZ93" s="17">
        <f t="shared" si="193"/>
        <v>9.0120897770999999</v>
      </c>
      <c r="DA93" s="17">
        <f t="shared" si="194"/>
        <v>9.2849088083000009</v>
      </c>
      <c r="DB93" s="17">
        <f t="shared" si="195"/>
        <v>9.5659867700000003</v>
      </c>
    </row>
    <row r="94" spans="1:106" x14ac:dyDescent="0.2">
      <c r="A94">
        <f t="shared" si="196"/>
        <v>158940114100040.06</v>
      </c>
      <c r="B94" s="71">
        <f t="shared" si="197"/>
        <v>6.2690821142444253E-17</v>
      </c>
      <c r="C94" s="71">
        <f t="shared" si="198"/>
        <v>5.0829250899952012E-17</v>
      </c>
      <c r="D94" s="177">
        <f t="shared" si="199"/>
        <v>90</v>
      </c>
      <c r="CQ94" s="18">
        <f>IF(CQ$3="","",ROUND(CP93*DownMove,RoundDigits))</f>
        <v>6.4916381742000002</v>
      </c>
      <c r="CR94" s="17">
        <f t="shared" si="185"/>
        <v>6.6881566822999998</v>
      </c>
      <c r="CS94" s="17">
        <f t="shared" si="186"/>
        <v>6.8906243086999996</v>
      </c>
      <c r="CT94" s="17">
        <f t="shared" si="187"/>
        <v>7.0992211485999999</v>
      </c>
      <c r="CU94" s="17">
        <f t="shared" si="188"/>
        <v>7.3141327488999996</v>
      </c>
      <c r="CV94" s="17">
        <f t="shared" si="189"/>
        <v>7.5355502736000002</v>
      </c>
      <c r="CW94" s="17">
        <f t="shared" si="190"/>
        <v>7.7636706736000001</v>
      </c>
      <c r="CX94" s="17">
        <f t="shared" si="191"/>
        <v>7.9986968622000001</v>
      </c>
      <c r="CY94" s="17">
        <f t="shared" si="192"/>
        <v>8.2408378953000003</v>
      </c>
      <c r="CZ94" s="17">
        <f t="shared" si="193"/>
        <v>8.4903091574000005</v>
      </c>
      <c r="DA94" s="17">
        <f t="shared" si="194"/>
        <v>8.7473325532999997</v>
      </c>
      <c r="DB94" s="17">
        <f t="shared" si="195"/>
        <v>9.0121367054999997</v>
      </c>
    </row>
    <row r="95" spans="1:106" x14ac:dyDescent="0.2">
      <c r="A95">
        <f t="shared" si="196"/>
        <v>19212541264840</v>
      </c>
      <c r="B95" s="71">
        <f t="shared" si="197"/>
        <v>7.5780113468888628E-18</v>
      </c>
      <c r="C95" s="71">
        <f t="shared" si="198"/>
        <v>6.1117111487461991E-18</v>
      </c>
      <c r="D95" s="177">
        <f t="shared" si="199"/>
        <v>91</v>
      </c>
      <c r="CR95" s="18">
        <f>IF(CR$3="","",ROUND(CQ94*DownMove,RoundDigits))</f>
        <v>6.3009267916000002</v>
      </c>
      <c r="CS95" s="17">
        <f t="shared" si="186"/>
        <v>6.4916719778000003</v>
      </c>
      <c r="CT95" s="17">
        <f t="shared" si="187"/>
        <v>6.6881915092000002</v>
      </c>
      <c r="CU95" s="17">
        <f t="shared" si="188"/>
        <v>6.8906601899000002</v>
      </c>
      <c r="CV95" s="17">
        <f t="shared" si="189"/>
        <v>7.0992581159999997</v>
      </c>
      <c r="CW95" s="17">
        <f t="shared" si="190"/>
        <v>7.3141708353999997</v>
      </c>
      <c r="CX95" s="17">
        <f t="shared" si="191"/>
        <v>7.5355895129999997</v>
      </c>
      <c r="CY95" s="17">
        <f t="shared" si="192"/>
        <v>7.7637111009000002</v>
      </c>
      <c r="CZ95" s="17">
        <f t="shared" si="193"/>
        <v>7.9987385133000002</v>
      </c>
      <c r="DA95" s="17">
        <f t="shared" si="194"/>
        <v>8.2408808071999999</v>
      </c>
      <c r="DB95" s="17">
        <f t="shared" si="195"/>
        <v>8.4903533682999992</v>
      </c>
    </row>
    <row r="96" spans="1:106" x14ac:dyDescent="0.2">
      <c r="A96">
        <f t="shared" si="196"/>
        <v>2088319702700</v>
      </c>
      <c r="B96" s="71">
        <f t="shared" si="197"/>
        <v>8.2369688553139813E-19</v>
      </c>
      <c r="C96" s="71">
        <f t="shared" si="198"/>
        <v>6.6080422553543262E-19</v>
      </c>
      <c r="D96" s="177">
        <f t="shared" si="199"/>
        <v>92</v>
      </c>
      <c r="CS96" s="18">
        <f>IF(CS$3="","",ROUND(CR95*DownMove,RoundDigits))</f>
        <v>6.115818129</v>
      </c>
      <c r="CT96" s="17">
        <f t="shared" si="187"/>
        <v>6.3009596020999998</v>
      </c>
      <c r="CU96" s="17">
        <f t="shared" si="188"/>
        <v>6.4917057816000003</v>
      </c>
      <c r="CV96" s="17">
        <f t="shared" si="189"/>
        <v>6.6882263362999996</v>
      </c>
      <c r="CW96" s="17">
        <f t="shared" si="190"/>
        <v>6.8906960712999998</v>
      </c>
      <c r="CX96" s="17">
        <f t="shared" si="191"/>
        <v>7.0992950836000004</v>
      </c>
      <c r="CY96" s="17">
        <f t="shared" si="192"/>
        <v>7.3142089220999997</v>
      </c>
      <c r="CZ96" s="17">
        <f t="shared" si="193"/>
        <v>7.5356287527000001</v>
      </c>
      <c r="DA96" s="17">
        <f t="shared" si="194"/>
        <v>7.7637515285000003</v>
      </c>
      <c r="DB96" s="17">
        <f t="shared" si="195"/>
        <v>7.9987801648000003</v>
      </c>
    </row>
    <row r="97" spans="1:106" x14ac:dyDescent="0.2">
      <c r="A97">
        <f t="shared" si="196"/>
        <v>202095455099.99994</v>
      </c>
      <c r="B97" s="71">
        <f t="shared" si="197"/>
        <v>7.9712601825619149E-20</v>
      </c>
      <c r="C97" s="71">
        <f t="shared" si="198"/>
        <v>6.3610702324164437E-20</v>
      </c>
      <c r="D97" s="177">
        <f t="shared" si="199"/>
        <v>93</v>
      </c>
      <c r="CT97" s="18">
        <f>IF(CT$3="","",ROUND(CS96*DownMove,RoundDigits))</f>
        <v>5.9361475897</v>
      </c>
      <c r="CU97" s="17">
        <f t="shared" si="188"/>
        <v>6.1158499754999998</v>
      </c>
      <c r="CV97" s="17">
        <f t="shared" si="189"/>
        <v>6.3009924126000003</v>
      </c>
      <c r="CW97" s="17">
        <f t="shared" si="190"/>
        <v>6.4917395853000004</v>
      </c>
      <c r="CX97" s="17">
        <f t="shared" si="191"/>
        <v>6.6882611633</v>
      </c>
      <c r="CY97" s="17">
        <f t="shared" si="192"/>
        <v>6.8907319526000004</v>
      </c>
      <c r="CZ97" s="17">
        <f t="shared" si="193"/>
        <v>7.0993320511000002</v>
      </c>
      <c r="DA97" s="17">
        <f t="shared" si="194"/>
        <v>7.3142470086999998</v>
      </c>
      <c r="DB97" s="17">
        <f t="shared" si="195"/>
        <v>7.5356679922999996</v>
      </c>
    </row>
    <row r="98" spans="1:106" x14ac:dyDescent="0.2">
      <c r="A98">
        <f t="shared" si="196"/>
        <v>17199613200</v>
      </c>
      <c r="B98" s="71">
        <f t="shared" si="197"/>
        <v>6.7840512192016318E-21</v>
      </c>
      <c r="C98" s="71">
        <f t="shared" si="198"/>
        <v>5.3850549881840646E-21</v>
      </c>
      <c r="D98" s="177">
        <f t="shared" si="199"/>
        <v>94</v>
      </c>
      <c r="CU98" s="18">
        <f>IF(CU$3="","",ROUND(CT97*DownMove,RoundDigits))</f>
        <v>5.7617554126000003</v>
      </c>
      <c r="CV98" s="17">
        <f t="shared" si="189"/>
        <v>5.9361785006999996</v>
      </c>
      <c r="CW98" s="17">
        <f t="shared" si="190"/>
        <v>6.1158818223000004</v>
      </c>
      <c r="CX98" s="17">
        <f t="shared" si="191"/>
        <v>6.3010252234999999</v>
      </c>
      <c r="CY98" s="17">
        <f t="shared" si="192"/>
        <v>6.4917733894999996</v>
      </c>
      <c r="CZ98" s="17">
        <f t="shared" si="193"/>
        <v>6.6882959909000004</v>
      </c>
      <c r="DA98" s="17">
        <f t="shared" si="194"/>
        <v>6.8907678346000001</v>
      </c>
      <c r="DB98" s="17">
        <f t="shared" si="195"/>
        <v>7.0993690194000001</v>
      </c>
    </row>
    <row r="99" spans="1:106" x14ac:dyDescent="0.2">
      <c r="A99">
        <f t="shared" si="196"/>
        <v>1267339920.0000002</v>
      </c>
      <c r="B99" s="71">
        <f t="shared" si="197"/>
        <v>4.9987745825696244E-22</v>
      </c>
      <c r="C99" s="71">
        <f t="shared" si="198"/>
        <v>3.9469570034637146E-22</v>
      </c>
      <c r="D99" s="177">
        <f t="shared" si="199"/>
        <v>95</v>
      </c>
      <c r="CV99" s="18">
        <f>IF(CV$3="","",ROUND(CU98*DownMove,RoundDigits))</f>
        <v>5.5924865298000004</v>
      </c>
      <c r="CW99" s="17">
        <f t="shared" si="190"/>
        <v>5.7617854155000003</v>
      </c>
      <c r="CX99" s="17">
        <f t="shared" si="191"/>
        <v>5.9362094119000002</v>
      </c>
      <c r="CY99" s="17">
        <f t="shared" si="192"/>
        <v>6.1159136693000002</v>
      </c>
      <c r="CZ99" s="17">
        <f t="shared" si="193"/>
        <v>6.3010580345999996</v>
      </c>
      <c r="DA99" s="17">
        <f t="shared" si="194"/>
        <v>6.4918071938999997</v>
      </c>
      <c r="DB99" s="17">
        <f t="shared" si="195"/>
        <v>6.6883308185999999</v>
      </c>
    </row>
    <row r="100" spans="1:106" x14ac:dyDescent="0.2">
      <c r="A100">
        <f t="shared" si="196"/>
        <v>79208745</v>
      </c>
      <c r="B100" s="71">
        <f t="shared" ref="B100:B104" si="200">IF(D100="","",A100/Paths)</f>
        <v>3.1242341141060146E-23</v>
      </c>
      <c r="C100" s="71">
        <f t="shared" ref="C100:C104" si="201">IF(D100="","",A100*UpProb^(Steps-D100)*DownProb^D100)</f>
        <v>2.4538060395697288E-23</v>
      </c>
      <c r="D100" s="177">
        <f t="shared" si="199"/>
        <v>96</v>
      </c>
      <c r="CW100" s="18">
        <f>IF(CW$3="","",ROUND(CV99*DownMove,RoundDigits))</f>
        <v>5.4281904291999998</v>
      </c>
      <c r="CX100" s="17">
        <f t="shared" si="191"/>
        <v>5.5925156513000003</v>
      </c>
      <c r="CY100" s="17">
        <f t="shared" si="192"/>
        <v>5.7618154186000003</v>
      </c>
      <c r="CZ100" s="17">
        <f t="shared" si="193"/>
        <v>5.9362403232999998</v>
      </c>
      <c r="DA100" s="17">
        <f t="shared" si="194"/>
        <v>6.1159455164000001</v>
      </c>
      <c r="DB100" s="17">
        <f t="shared" si="195"/>
        <v>6.3010908458000001</v>
      </c>
    </row>
    <row r="101" spans="1:106" x14ac:dyDescent="0.2">
      <c r="A101">
        <f t="shared" si="196"/>
        <v>4082925</v>
      </c>
      <c r="B101" s="71">
        <f t="shared" si="200"/>
        <v>1.6104299557247498E-24</v>
      </c>
      <c r="C101" s="71">
        <f t="shared" si="201"/>
        <v>1.258161291113277E-24</v>
      </c>
      <c r="D101" s="177">
        <f t="shared" si="199"/>
        <v>97</v>
      </c>
      <c r="CX101" s="18">
        <f>IF(CX$3="","",ROUND(CW100*DownMove,RoundDigits))</f>
        <v>5.2687210204000001</v>
      </c>
      <c r="CY101" s="17">
        <f t="shared" si="192"/>
        <v>5.4282186952</v>
      </c>
      <c r="CZ101" s="17">
        <f t="shared" si="193"/>
        <v>5.5925447730000002</v>
      </c>
      <c r="DA101" s="17">
        <f t="shared" si="194"/>
        <v>5.7618454219000004</v>
      </c>
      <c r="DB101" s="17">
        <f t="shared" si="195"/>
        <v>5.9362712349000004</v>
      </c>
    </row>
    <row r="102" spans="1:106" x14ac:dyDescent="0.2">
      <c r="A102">
        <f t="shared" si="196"/>
        <v>166650.00000000003</v>
      </c>
      <c r="B102" s="71">
        <f t="shared" si="200"/>
        <v>6.573183492754082E-26</v>
      </c>
      <c r="C102" s="71">
        <f t="shared" si="201"/>
        <v>5.108201889723128E-26</v>
      </c>
      <c r="D102" s="177">
        <f t="shared" si="199"/>
        <v>98</v>
      </c>
      <c r="CY102" s="18">
        <f>IF(CY$3="","",ROUND(CX101*DownMove,RoundDigits))</f>
        <v>5.1139365046999998</v>
      </c>
      <c r="CZ102" s="17">
        <f t="shared" si="193"/>
        <v>5.2687484559</v>
      </c>
      <c r="DA102" s="17">
        <f t="shared" si="194"/>
        <v>5.4282469612000002</v>
      </c>
      <c r="DB102" s="17">
        <f t="shared" si="195"/>
        <v>5.5925738946000001</v>
      </c>
    </row>
    <row r="103" spans="1:106" x14ac:dyDescent="0.2">
      <c r="A103">
        <f t="shared" si="196"/>
        <v>5050</v>
      </c>
      <c r="B103" s="71">
        <f t="shared" si="200"/>
        <v>1.9918737856830548E-27</v>
      </c>
      <c r="C103" s="71">
        <f t="shared" si="201"/>
        <v>1.5397560948584372E-27</v>
      </c>
      <c r="D103" s="177">
        <f t="shared" si="199"/>
        <v>99</v>
      </c>
      <c r="CZ103" s="18">
        <f>IF(CZ$3="","",ROUND(CY102*DownMove,RoundDigits))</f>
        <v>4.9636992494000003</v>
      </c>
      <c r="DA103" s="17">
        <f t="shared" si="194"/>
        <v>5.1139631341999996</v>
      </c>
      <c r="DB103" s="17">
        <f t="shared" si="195"/>
        <v>5.2687758914999998</v>
      </c>
    </row>
    <row r="104" spans="1:106" x14ac:dyDescent="0.2">
      <c r="A104">
        <f t="shared" si="196"/>
        <v>101</v>
      </c>
      <c r="B104" s="71">
        <f t="shared" si="200"/>
        <v>3.9837475713661096E-29</v>
      </c>
      <c r="C104" s="71">
        <f t="shared" si="201"/>
        <v>3.0632309816091825E-29</v>
      </c>
      <c r="D104" s="177">
        <f t="shared" si="199"/>
        <v>100</v>
      </c>
      <c r="DA104" s="18">
        <f>IF(DA$3="","",ROUND(CZ103*DownMove,RoundDigits))</f>
        <v>4.8178756649999999</v>
      </c>
      <c r="DB104" s="17">
        <f t="shared" si="195"/>
        <v>4.9637250966000002</v>
      </c>
    </row>
    <row r="105" spans="1:106" x14ac:dyDescent="0.2">
      <c r="A105">
        <f t="shared" ref="A105" si="202">IF(D105="","",COMBIN(Steps,Steps-D105))</f>
        <v>1</v>
      </c>
      <c r="B105" s="71">
        <f t="shared" ref="B105" si="203">IF(D105="","",A105/Paths)</f>
        <v>3.944304526105059E-31</v>
      </c>
      <c r="C105" s="71">
        <f t="shared" ref="C105" si="204">IF(D105="","",A105*UpProb^(Steps-D105)*DownProb^D105)</f>
        <v>3.0168671795395678E-31</v>
      </c>
      <c r="D105" s="177">
        <f t="shared" si="199"/>
        <v>101</v>
      </c>
      <c r="DB105" s="18">
        <f>IF(DB$3="","",ROUND(DA104*DownMove,RoundDigits))</f>
        <v>4.6763360867000001</v>
      </c>
    </row>
  </sheetData>
  <mergeCells count="2">
    <mergeCell ref="A1:D1"/>
    <mergeCell ref="E1:I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2EA46C-15C3-4F55-8902-467908FCF659}">
  <sheetPr codeName="Sheet4"/>
  <dimension ref="A1:DB105"/>
  <sheetViews>
    <sheetView workbookViewId="0">
      <pane xSplit="4" ySplit="3" topLeftCell="E4" activePane="bottomRight" state="frozen"/>
      <selection pane="topRight" activeCell="B1" sqref="B1"/>
      <selection pane="bottomLeft" activeCell="A3" sqref="A3"/>
      <selection pane="bottomRight" activeCell="F10" sqref="F10"/>
    </sheetView>
  </sheetViews>
  <sheetFormatPr baseColWidth="10" defaultColWidth="8.83203125" defaultRowHeight="15" x14ac:dyDescent="0.2"/>
  <cols>
    <col min="1" max="4" width="10.1640625" customWidth="1"/>
    <col min="11" max="11" width="8.83203125" customWidth="1"/>
  </cols>
  <sheetData>
    <row r="1" spans="1:106" ht="24" customHeight="1" x14ac:dyDescent="0.3">
      <c r="A1" s="207" t="s">
        <v>22</v>
      </c>
      <c r="B1" s="208"/>
      <c r="C1" s="208"/>
      <c r="D1" s="208"/>
      <c r="E1" s="202"/>
      <c r="F1" s="199"/>
      <c r="G1" s="199"/>
      <c r="H1" s="199"/>
      <c r="I1" s="199"/>
      <c r="J1" s="46"/>
      <c r="K1" s="46"/>
      <c r="L1" s="46"/>
      <c r="M1" s="46"/>
      <c r="N1" s="46"/>
      <c r="O1" s="46"/>
      <c r="P1" s="46"/>
      <c r="Q1" s="46"/>
      <c r="R1" s="46"/>
      <c r="S1" s="46"/>
      <c r="T1" s="46"/>
      <c r="U1" s="46"/>
      <c r="V1" s="46"/>
      <c r="W1" s="46"/>
      <c r="X1" s="46"/>
      <c r="Y1" s="46"/>
      <c r="Z1" s="46"/>
      <c r="AA1" s="46"/>
      <c r="AB1" s="46"/>
      <c r="AC1" s="46"/>
      <c r="AD1" s="46"/>
      <c r="AE1" s="46"/>
      <c r="AF1" s="46"/>
      <c r="AG1" s="46"/>
      <c r="AH1" s="46"/>
      <c r="AI1" s="46"/>
      <c r="AJ1" s="46"/>
      <c r="AK1" s="46"/>
      <c r="AL1" s="46"/>
      <c r="AM1" s="46"/>
      <c r="AN1" s="46"/>
      <c r="AO1" s="46"/>
      <c r="AP1" s="46"/>
      <c r="AQ1" s="46"/>
      <c r="AR1" s="46"/>
      <c r="AS1" s="46"/>
      <c r="AT1" s="46"/>
      <c r="AU1" s="46"/>
      <c r="AV1" s="46"/>
      <c r="AW1" s="46"/>
      <c r="AX1" s="46"/>
      <c r="AY1" s="46"/>
      <c r="AZ1" s="46"/>
      <c r="BA1" s="46"/>
      <c r="BB1" s="46"/>
      <c r="BC1" s="46"/>
      <c r="BD1" s="46"/>
      <c r="BE1" s="46"/>
      <c r="BF1" s="46"/>
      <c r="BG1" s="46"/>
      <c r="BH1" s="46"/>
      <c r="BI1" s="46"/>
      <c r="BJ1" s="46"/>
      <c r="BK1" s="46"/>
      <c r="BL1" s="46"/>
      <c r="BM1" s="46"/>
      <c r="BN1" s="46"/>
      <c r="BO1" s="46"/>
      <c r="BP1" s="46"/>
      <c r="BQ1" s="46"/>
      <c r="BR1" s="46"/>
      <c r="BS1" s="46"/>
      <c r="BT1" s="46"/>
      <c r="BU1" s="46"/>
      <c r="BV1" s="46"/>
      <c r="BW1" s="46"/>
      <c r="BX1" s="46"/>
      <c r="BY1" s="46"/>
      <c r="BZ1" s="46"/>
      <c r="CA1" s="46"/>
      <c r="CB1" s="46"/>
      <c r="CC1" s="46"/>
      <c r="CD1" s="46"/>
      <c r="CE1" s="46"/>
      <c r="CF1" s="46"/>
      <c r="CG1" s="46"/>
      <c r="CH1" s="46"/>
      <c r="CI1" s="46"/>
      <c r="CJ1" s="46"/>
      <c r="CK1" s="46"/>
      <c r="CL1" s="46"/>
      <c r="CM1" s="46"/>
      <c r="CN1" s="46"/>
      <c r="CO1" s="46"/>
      <c r="CP1" s="46"/>
      <c r="CQ1" s="46"/>
      <c r="CR1" s="46"/>
      <c r="CS1" s="46"/>
      <c r="CT1" s="46"/>
      <c r="CU1" s="46"/>
      <c r="CV1" s="46"/>
      <c r="CW1" s="46"/>
      <c r="CX1" s="46"/>
      <c r="CY1" s="46"/>
      <c r="CZ1" s="46"/>
      <c r="DA1" s="46"/>
      <c r="DB1" s="47"/>
    </row>
    <row r="2" spans="1:106" x14ac:dyDescent="0.2">
      <c r="A2" s="191">
        <f>Paths</f>
        <v>2.5353012004564588E+30</v>
      </c>
      <c r="B2" s="192">
        <f>ExDivTree!B2</f>
        <v>1</v>
      </c>
      <c r="C2" s="192">
        <f>ExDivTree!C2</f>
        <v>0.99999999999999778</v>
      </c>
      <c r="D2" s="20" t="s">
        <v>35</v>
      </c>
      <c r="E2" s="194">
        <f>ExDivTree!E2</f>
        <v>0</v>
      </c>
      <c r="F2" s="194">
        <f>ExDivTree!F2</f>
        <v>9.9281160992811621E-3</v>
      </c>
      <c r="G2" s="194">
        <f>ExDivTree!G2</f>
        <v>1.9856232198562324E-2</v>
      </c>
      <c r="H2" s="194">
        <f>ExDivTree!H2</f>
        <v>2.9784348297843488E-2</v>
      </c>
      <c r="I2" s="194">
        <f>ExDivTree!I2</f>
        <v>3.9712464397124649E-2</v>
      </c>
      <c r="J2" s="194">
        <f>ExDivTree!J2</f>
        <v>4.9640580496405809E-2</v>
      </c>
      <c r="K2" s="194">
        <f>ExDivTree!K2</f>
        <v>5.9568696595686976E-2</v>
      </c>
      <c r="L2" s="194">
        <f>ExDivTree!L2</f>
        <v>6.949681269496813E-2</v>
      </c>
      <c r="M2" s="194">
        <f>ExDivTree!M2</f>
        <v>7.9424928794249297E-2</v>
      </c>
      <c r="N2" s="194">
        <f>ExDivTree!N2</f>
        <v>8.9353044893530464E-2</v>
      </c>
      <c r="O2" s="194">
        <f>ExDivTree!O2</f>
        <v>9.9281160992811618E-2</v>
      </c>
      <c r="P2" s="194">
        <f>ExDivTree!P2</f>
        <v>0.10920927709209279</v>
      </c>
      <c r="Q2" s="194">
        <f>ExDivTree!Q2</f>
        <v>0.11913739319137395</v>
      </c>
      <c r="R2" s="194">
        <f>ExDivTree!R2</f>
        <v>0.12906550929065511</v>
      </c>
      <c r="S2" s="194">
        <f>ExDivTree!S2</f>
        <v>0.13899362538993626</v>
      </c>
      <c r="T2" s="194">
        <f>ExDivTree!T2</f>
        <v>0.14892174148921744</v>
      </c>
      <c r="U2" s="194">
        <f>ExDivTree!U2</f>
        <v>0.15884985758849859</v>
      </c>
      <c r="V2" s="194">
        <f>ExDivTree!V2</f>
        <v>0.16877797368777975</v>
      </c>
      <c r="W2" s="194">
        <f>ExDivTree!W2</f>
        <v>0.17870608978706093</v>
      </c>
      <c r="X2" s="194">
        <f>ExDivTree!X2</f>
        <v>0.18863420588634208</v>
      </c>
      <c r="Y2" s="194">
        <f>ExDivTree!Y2</f>
        <v>0.19856232198562324</v>
      </c>
      <c r="Z2" s="194">
        <f>ExDivTree!Z2</f>
        <v>0.20849043808490442</v>
      </c>
      <c r="AA2" s="194">
        <f>ExDivTree!AA2</f>
        <v>0.21841855418418557</v>
      </c>
      <c r="AB2" s="194">
        <f>ExDivTree!AB2</f>
        <v>0.22834667028346672</v>
      </c>
      <c r="AC2" s="194">
        <f>ExDivTree!AC2</f>
        <v>0.23827478638274791</v>
      </c>
      <c r="AD2" s="194">
        <f>ExDivTree!AD2</f>
        <v>0.24820290248202906</v>
      </c>
      <c r="AE2" s="194">
        <f>ExDivTree!AE2</f>
        <v>0.25813101858131021</v>
      </c>
      <c r="AF2" s="194">
        <f>ExDivTree!AF2</f>
        <v>0.26805913468059139</v>
      </c>
      <c r="AG2" s="194">
        <f>ExDivTree!AG2</f>
        <v>0.27798725077987252</v>
      </c>
      <c r="AH2" s="194">
        <f>ExDivTree!AH2</f>
        <v>0.2879153668791537</v>
      </c>
      <c r="AI2" s="194">
        <f>ExDivTree!AI2</f>
        <v>0.29784348297843488</v>
      </c>
      <c r="AJ2" s="194">
        <f>ExDivTree!AJ2</f>
        <v>0.30777159907771601</v>
      </c>
      <c r="AK2" s="194">
        <f>ExDivTree!AK2</f>
        <v>0.31769971517699719</v>
      </c>
      <c r="AL2" s="194">
        <f>ExDivTree!AL2</f>
        <v>0.32762783127627837</v>
      </c>
      <c r="AM2" s="194">
        <f>ExDivTree!AM2</f>
        <v>0.3375559473755595</v>
      </c>
      <c r="AN2" s="194">
        <f>ExDivTree!AN2</f>
        <v>0.34748406347484068</v>
      </c>
      <c r="AO2" s="194">
        <f>ExDivTree!AO2</f>
        <v>0.35741217957412186</v>
      </c>
      <c r="AP2" s="194">
        <f>ExDivTree!AP2</f>
        <v>0.36734029567340298</v>
      </c>
      <c r="AQ2" s="194">
        <f>ExDivTree!AQ2</f>
        <v>0.37726841177268416</v>
      </c>
      <c r="AR2" s="194">
        <f>ExDivTree!AR2</f>
        <v>0.38719652787196535</v>
      </c>
      <c r="AS2" s="194">
        <f>ExDivTree!AS2</f>
        <v>0.39712464397124647</v>
      </c>
      <c r="AT2" s="194">
        <f>ExDivTree!AT2</f>
        <v>0.40705276007052765</v>
      </c>
      <c r="AU2" s="194">
        <f>ExDivTree!AU2</f>
        <v>0.41698087616980883</v>
      </c>
      <c r="AV2" s="194">
        <f>ExDivTree!AV2</f>
        <v>0.42690899226908996</v>
      </c>
      <c r="AW2" s="194">
        <f>ExDivTree!AW2</f>
        <v>0.43683710836837114</v>
      </c>
      <c r="AX2" s="194">
        <f>ExDivTree!AX2</f>
        <v>0.44676522446765232</v>
      </c>
      <c r="AY2" s="194">
        <f>ExDivTree!AY2</f>
        <v>0.45669334056693345</v>
      </c>
      <c r="AZ2" s="194">
        <f>ExDivTree!AZ2</f>
        <v>0.46662145666621463</v>
      </c>
      <c r="BA2" s="194">
        <f>ExDivTree!BA2</f>
        <v>0.47654957276549581</v>
      </c>
      <c r="BB2" s="194">
        <f>ExDivTree!BB2</f>
        <v>0.48647768886477694</v>
      </c>
      <c r="BC2" s="194">
        <f>ExDivTree!BC2</f>
        <v>0.49640580496405812</v>
      </c>
      <c r="BD2" s="194">
        <f>ExDivTree!BD2</f>
        <v>0.5063339210633393</v>
      </c>
      <c r="BE2" s="194">
        <f>ExDivTree!BE2</f>
        <v>0.51626203716262042</v>
      </c>
      <c r="BF2" s="194">
        <f>ExDivTree!BF2</f>
        <v>0.52619015326190155</v>
      </c>
      <c r="BG2" s="194">
        <f>ExDivTree!BG2</f>
        <v>0.53611826936118279</v>
      </c>
      <c r="BH2" s="194">
        <f>ExDivTree!BH2</f>
        <v>0.54604638546046391</v>
      </c>
      <c r="BI2" s="194">
        <f>ExDivTree!BI2</f>
        <v>0.55597450155974504</v>
      </c>
      <c r="BJ2" s="194">
        <f>ExDivTree!BJ2</f>
        <v>0.56590261765902627</v>
      </c>
      <c r="BK2" s="194">
        <f>ExDivTree!BK2</f>
        <v>0.5758307337583074</v>
      </c>
      <c r="BL2" s="194">
        <f>ExDivTree!BL2</f>
        <v>0.58575884985758853</v>
      </c>
      <c r="BM2" s="194">
        <f>ExDivTree!BM2</f>
        <v>0.59568696595686976</v>
      </c>
      <c r="BN2" s="194">
        <f>ExDivTree!BN2</f>
        <v>0.60561508205615089</v>
      </c>
      <c r="BO2" s="194">
        <f>ExDivTree!BO2</f>
        <v>0.61554319815543201</v>
      </c>
      <c r="BP2" s="194">
        <f>ExDivTree!BP2</f>
        <v>0.62547131425471325</v>
      </c>
      <c r="BQ2" s="194">
        <f>ExDivTree!BQ2</f>
        <v>0.63539943035399438</v>
      </c>
      <c r="BR2" s="194">
        <f>ExDivTree!BR2</f>
        <v>0.6453275464532755</v>
      </c>
      <c r="BS2" s="194">
        <f>ExDivTree!BS2</f>
        <v>0.65525566255255674</v>
      </c>
      <c r="BT2" s="194">
        <f>ExDivTree!BT2</f>
        <v>0.66518377865183786</v>
      </c>
      <c r="BU2" s="194">
        <f>ExDivTree!BU2</f>
        <v>0.67511189475111899</v>
      </c>
      <c r="BV2" s="194">
        <f>ExDivTree!BV2</f>
        <v>0.68504001085040023</v>
      </c>
      <c r="BW2" s="194">
        <f>ExDivTree!BW2</f>
        <v>0.69496812694968135</v>
      </c>
      <c r="BX2" s="194">
        <f>ExDivTree!BX2</f>
        <v>0.70489624304896248</v>
      </c>
      <c r="BY2" s="194">
        <f>ExDivTree!BY2</f>
        <v>0.71482435914824372</v>
      </c>
      <c r="BZ2" s="194">
        <f>ExDivTree!BZ2</f>
        <v>0.72475247524752484</v>
      </c>
      <c r="CA2" s="194">
        <f>ExDivTree!CA2</f>
        <v>0.73468059134680597</v>
      </c>
      <c r="CB2" s="194">
        <f>ExDivTree!CB2</f>
        <v>0.7446087074460872</v>
      </c>
      <c r="CC2" s="194">
        <f>ExDivTree!CC2</f>
        <v>0.75453682354536833</v>
      </c>
      <c r="CD2" s="194">
        <f>ExDivTree!CD2</f>
        <v>0.76446493964464945</v>
      </c>
      <c r="CE2" s="194">
        <f>ExDivTree!CE2</f>
        <v>0.77439305574393069</v>
      </c>
      <c r="CF2" s="194">
        <f>ExDivTree!CF2</f>
        <v>0.78432117184321182</v>
      </c>
      <c r="CG2" s="194">
        <f>ExDivTree!CG2</f>
        <v>0.79424928794249294</v>
      </c>
      <c r="CH2" s="194">
        <f>ExDivTree!CH2</f>
        <v>0.80417740404177418</v>
      </c>
      <c r="CI2" s="194">
        <f>ExDivTree!CI2</f>
        <v>0.81410552014105531</v>
      </c>
      <c r="CJ2" s="194">
        <f>ExDivTree!CJ2</f>
        <v>0.82403363624033643</v>
      </c>
      <c r="CK2" s="194">
        <f>ExDivTree!CK2</f>
        <v>0.83396175233961767</v>
      </c>
      <c r="CL2" s="194">
        <f>ExDivTree!CL2</f>
        <v>0.84388986843889879</v>
      </c>
      <c r="CM2" s="194">
        <f>ExDivTree!CM2</f>
        <v>0.85381798453817992</v>
      </c>
      <c r="CN2" s="194">
        <f>ExDivTree!CN2</f>
        <v>0.86374610063746116</v>
      </c>
      <c r="CO2" s="194">
        <f>ExDivTree!CO2</f>
        <v>0.87367421673674228</v>
      </c>
      <c r="CP2" s="194">
        <f>ExDivTree!CP2</f>
        <v>0.88360233283602341</v>
      </c>
      <c r="CQ2" s="194">
        <f>ExDivTree!CQ2</f>
        <v>0.89353044893530464</v>
      </c>
      <c r="CR2" s="194">
        <f>ExDivTree!CR2</f>
        <v>0.90345856503458577</v>
      </c>
      <c r="CS2" s="194">
        <f>ExDivTree!CS2</f>
        <v>0.9133866811338669</v>
      </c>
      <c r="CT2" s="194">
        <f>ExDivTree!CT2</f>
        <v>0.92331479723314813</v>
      </c>
      <c r="CU2" s="194">
        <f>ExDivTree!CU2</f>
        <v>0.93324291333242926</v>
      </c>
      <c r="CV2" s="194">
        <f>ExDivTree!CV2</f>
        <v>0.94317102943171038</v>
      </c>
      <c r="CW2" s="194">
        <f>ExDivTree!CW2</f>
        <v>0.95309914553099162</v>
      </c>
      <c r="CX2" s="194">
        <f>ExDivTree!CX2</f>
        <v>0.96302726163027275</v>
      </c>
      <c r="CY2" s="194">
        <f>ExDivTree!CY2</f>
        <v>0.97295537772955387</v>
      </c>
      <c r="CZ2" s="194">
        <f>ExDivTree!CZ2</f>
        <v>0.982883493828835</v>
      </c>
      <c r="DA2" s="194">
        <f>ExDivTree!DA2</f>
        <v>0.99281160992811623</v>
      </c>
      <c r="DB2" s="195">
        <f>ExDivTree!DB2</f>
        <v>1.0027397260273974</v>
      </c>
    </row>
    <row r="3" spans="1:106" x14ac:dyDescent="0.2">
      <c r="A3" s="58" t="s">
        <v>18</v>
      </c>
      <c r="B3" s="3" t="s">
        <v>19</v>
      </c>
      <c r="C3" s="3" t="s">
        <v>20</v>
      </c>
      <c r="D3" s="20" t="s">
        <v>34</v>
      </c>
      <c r="E3" s="182">
        <f>ExDivTree!E3</f>
        <v>0</v>
      </c>
      <c r="F3" s="182">
        <f>ExDivTree!F3</f>
        <v>1</v>
      </c>
      <c r="G3" s="182">
        <f>ExDivTree!G3</f>
        <v>2</v>
      </c>
      <c r="H3" s="182">
        <f>ExDivTree!H3</f>
        <v>3</v>
      </c>
      <c r="I3" s="182">
        <f>ExDivTree!I3</f>
        <v>4</v>
      </c>
      <c r="J3" s="182">
        <f>ExDivTree!J3</f>
        <v>5</v>
      </c>
      <c r="K3" s="182">
        <f>ExDivTree!K3</f>
        <v>6</v>
      </c>
      <c r="L3" s="182">
        <f>ExDivTree!L3</f>
        <v>7</v>
      </c>
      <c r="M3" s="182">
        <f>ExDivTree!M3</f>
        <v>8</v>
      </c>
      <c r="N3" s="182">
        <f>ExDivTree!N3</f>
        <v>9</v>
      </c>
      <c r="O3" s="182">
        <f>ExDivTree!O3</f>
        <v>10</v>
      </c>
      <c r="P3" s="182">
        <f>ExDivTree!P3</f>
        <v>11</v>
      </c>
      <c r="Q3" s="182">
        <f>ExDivTree!Q3</f>
        <v>12</v>
      </c>
      <c r="R3" s="182">
        <f>ExDivTree!R3</f>
        <v>13</v>
      </c>
      <c r="S3" s="182">
        <f>ExDivTree!S3</f>
        <v>14</v>
      </c>
      <c r="T3" s="182">
        <f>ExDivTree!T3</f>
        <v>15</v>
      </c>
      <c r="U3" s="182">
        <f>ExDivTree!U3</f>
        <v>16</v>
      </c>
      <c r="V3" s="182">
        <f>ExDivTree!V3</f>
        <v>17</v>
      </c>
      <c r="W3" s="182">
        <f>ExDivTree!W3</f>
        <v>18</v>
      </c>
      <c r="X3" s="182">
        <f>ExDivTree!X3</f>
        <v>19</v>
      </c>
      <c r="Y3" s="182">
        <f>ExDivTree!Y3</f>
        <v>20</v>
      </c>
      <c r="Z3" s="182">
        <f>ExDivTree!Z3</f>
        <v>21</v>
      </c>
      <c r="AA3" s="182">
        <f>ExDivTree!AA3</f>
        <v>22</v>
      </c>
      <c r="AB3" s="182">
        <f>ExDivTree!AB3</f>
        <v>23</v>
      </c>
      <c r="AC3" s="182">
        <f>ExDivTree!AC3</f>
        <v>24</v>
      </c>
      <c r="AD3" s="182">
        <f>ExDivTree!AD3</f>
        <v>25</v>
      </c>
      <c r="AE3" s="182">
        <f>ExDivTree!AE3</f>
        <v>26</v>
      </c>
      <c r="AF3" s="182">
        <f>ExDivTree!AF3</f>
        <v>27</v>
      </c>
      <c r="AG3" s="182">
        <f>ExDivTree!AG3</f>
        <v>28</v>
      </c>
      <c r="AH3" s="182">
        <f>ExDivTree!AH3</f>
        <v>29</v>
      </c>
      <c r="AI3" s="182">
        <f>ExDivTree!AI3</f>
        <v>30</v>
      </c>
      <c r="AJ3" s="182">
        <f>ExDivTree!AJ3</f>
        <v>31</v>
      </c>
      <c r="AK3" s="182">
        <f>ExDivTree!AK3</f>
        <v>32</v>
      </c>
      <c r="AL3" s="182">
        <f>ExDivTree!AL3</f>
        <v>33</v>
      </c>
      <c r="AM3" s="182">
        <f>ExDivTree!AM3</f>
        <v>34</v>
      </c>
      <c r="AN3" s="182">
        <f>ExDivTree!AN3</f>
        <v>35</v>
      </c>
      <c r="AO3" s="182">
        <f>ExDivTree!AO3</f>
        <v>36</v>
      </c>
      <c r="AP3" s="182">
        <f>ExDivTree!AP3</f>
        <v>37</v>
      </c>
      <c r="AQ3" s="182">
        <f>ExDivTree!AQ3</f>
        <v>38</v>
      </c>
      <c r="AR3" s="182">
        <f>ExDivTree!AR3</f>
        <v>39</v>
      </c>
      <c r="AS3" s="182">
        <f>ExDivTree!AS3</f>
        <v>40</v>
      </c>
      <c r="AT3" s="182">
        <f>ExDivTree!AT3</f>
        <v>41</v>
      </c>
      <c r="AU3" s="182">
        <f>ExDivTree!AU3</f>
        <v>42</v>
      </c>
      <c r="AV3" s="182">
        <f>ExDivTree!AV3</f>
        <v>43</v>
      </c>
      <c r="AW3" s="182">
        <f>ExDivTree!AW3</f>
        <v>44</v>
      </c>
      <c r="AX3" s="182">
        <f>ExDivTree!AX3</f>
        <v>45</v>
      </c>
      <c r="AY3" s="182">
        <f>ExDivTree!AY3</f>
        <v>46</v>
      </c>
      <c r="AZ3" s="182">
        <f>ExDivTree!AZ3</f>
        <v>47</v>
      </c>
      <c r="BA3" s="182">
        <f>ExDivTree!BA3</f>
        <v>48</v>
      </c>
      <c r="BB3" s="182">
        <f>ExDivTree!BB3</f>
        <v>49</v>
      </c>
      <c r="BC3" s="182">
        <f>ExDivTree!BC3</f>
        <v>50</v>
      </c>
      <c r="BD3" s="182">
        <f>ExDivTree!BD3</f>
        <v>51</v>
      </c>
      <c r="BE3" s="182">
        <f>ExDivTree!BE3</f>
        <v>52</v>
      </c>
      <c r="BF3" s="182">
        <f>ExDivTree!BF3</f>
        <v>53</v>
      </c>
      <c r="BG3" s="182">
        <f>ExDivTree!BG3</f>
        <v>54</v>
      </c>
      <c r="BH3" s="182">
        <f>ExDivTree!BH3</f>
        <v>55</v>
      </c>
      <c r="BI3" s="182">
        <f>ExDivTree!BI3</f>
        <v>56</v>
      </c>
      <c r="BJ3" s="182">
        <f>ExDivTree!BJ3</f>
        <v>57</v>
      </c>
      <c r="BK3" s="182">
        <f>ExDivTree!BK3</f>
        <v>58</v>
      </c>
      <c r="BL3" s="182">
        <f>ExDivTree!BL3</f>
        <v>59</v>
      </c>
      <c r="BM3" s="182">
        <f>ExDivTree!BM3</f>
        <v>60</v>
      </c>
      <c r="BN3" s="182">
        <f>ExDivTree!BN3</f>
        <v>61</v>
      </c>
      <c r="BO3" s="182">
        <f>ExDivTree!BO3</f>
        <v>62</v>
      </c>
      <c r="BP3" s="182">
        <f>ExDivTree!BP3</f>
        <v>63</v>
      </c>
      <c r="BQ3" s="182">
        <f>ExDivTree!BQ3</f>
        <v>64</v>
      </c>
      <c r="BR3" s="182">
        <f>ExDivTree!BR3</f>
        <v>65</v>
      </c>
      <c r="BS3" s="182">
        <f>ExDivTree!BS3</f>
        <v>66</v>
      </c>
      <c r="BT3" s="182">
        <f>ExDivTree!BT3</f>
        <v>67</v>
      </c>
      <c r="BU3" s="182">
        <f>ExDivTree!BU3</f>
        <v>68</v>
      </c>
      <c r="BV3" s="182">
        <f>ExDivTree!BV3</f>
        <v>69</v>
      </c>
      <c r="BW3" s="182">
        <f>ExDivTree!BW3</f>
        <v>70</v>
      </c>
      <c r="BX3" s="182">
        <f>ExDivTree!BX3</f>
        <v>71</v>
      </c>
      <c r="BY3" s="182">
        <f>ExDivTree!BY3</f>
        <v>72</v>
      </c>
      <c r="BZ3" s="182">
        <f>ExDivTree!BZ3</f>
        <v>73</v>
      </c>
      <c r="CA3" s="182">
        <f>ExDivTree!CA3</f>
        <v>74</v>
      </c>
      <c r="CB3" s="182">
        <f>ExDivTree!CB3</f>
        <v>75</v>
      </c>
      <c r="CC3" s="182">
        <f>ExDivTree!CC3</f>
        <v>76</v>
      </c>
      <c r="CD3" s="182">
        <f>ExDivTree!CD3</f>
        <v>77</v>
      </c>
      <c r="CE3" s="182">
        <f>ExDivTree!CE3</f>
        <v>78</v>
      </c>
      <c r="CF3" s="182">
        <f>ExDivTree!CF3</f>
        <v>79</v>
      </c>
      <c r="CG3" s="182">
        <f>ExDivTree!CG3</f>
        <v>80</v>
      </c>
      <c r="CH3" s="182">
        <f>ExDivTree!CH3</f>
        <v>81</v>
      </c>
      <c r="CI3" s="182">
        <f>ExDivTree!CI3</f>
        <v>82</v>
      </c>
      <c r="CJ3" s="182">
        <f>ExDivTree!CJ3</f>
        <v>83</v>
      </c>
      <c r="CK3" s="182">
        <f>ExDivTree!CK3</f>
        <v>84</v>
      </c>
      <c r="CL3" s="182">
        <f>ExDivTree!CL3</f>
        <v>85</v>
      </c>
      <c r="CM3" s="182">
        <f>ExDivTree!CM3</f>
        <v>86</v>
      </c>
      <c r="CN3" s="182">
        <f>ExDivTree!CN3</f>
        <v>87</v>
      </c>
      <c r="CO3" s="182">
        <f>ExDivTree!CO3</f>
        <v>88</v>
      </c>
      <c r="CP3" s="182">
        <f>ExDivTree!CP3</f>
        <v>89</v>
      </c>
      <c r="CQ3" s="182">
        <f>ExDivTree!CQ3</f>
        <v>90</v>
      </c>
      <c r="CR3" s="182">
        <f>ExDivTree!CR3</f>
        <v>91</v>
      </c>
      <c r="CS3" s="182">
        <f>ExDivTree!CS3</f>
        <v>92</v>
      </c>
      <c r="CT3" s="182">
        <f>ExDivTree!CT3</f>
        <v>93</v>
      </c>
      <c r="CU3" s="182">
        <f>ExDivTree!CU3</f>
        <v>94</v>
      </c>
      <c r="CV3" s="182">
        <f>ExDivTree!CV3</f>
        <v>95</v>
      </c>
      <c r="CW3" s="182">
        <f>ExDivTree!CW3</f>
        <v>96</v>
      </c>
      <c r="CX3" s="182">
        <f>ExDivTree!CX3</f>
        <v>97</v>
      </c>
      <c r="CY3" s="182">
        <f>ExDivTree!CY3</f>
        <v>98</v>
      </c>
      <c r="CZ3" s="182">
        <f>ExDivTree!CZ3</f>
        <v>99</v>
      </c>
      <c r="DA3" s="182">
        <f>ExDivTree!DA3</f>
        <v>100</v>
      </c>
      <c r="DB3" s="193">
        <f>ExDivTree!DB3</f>
        <v>101</v>
      </c>
    </row>
    <row r="4" spans="1:106" x14ac:dyDescent="0.2">
      <c r="A4" s="69">
        <f>ExDivTree!A4</f>
        <v>1</v>
      </c>
      <c r="B4" s="70">
        <f>ExDivTree!B4</f>
        <v>3.944304526105059E-31</v>
      </c>
      <c r="C4" s="70">
        <f>ExDivTree!C4</f>
        <v>5.1531945648814299E-31</v>
      </c>
      <c r="D4" s="177">
        <f>ExDivTree!D4</f>
        <v>0</v>
      </c>
      <c r="E4" s="17">
        <f>IF(E$3="","",IF(AND(DivAs=2,E$2&lt;ExDivPct),ExDivTree!E4+DivAmount*EXP(IntRate*(E$2-ExDivPct)),ExDivTree!E4))</f>
        <v>100</v>
      </c>
      <c r="F4" s="17">
        <f>IF(F$3="","",IF(AND(DivAs=2,F$2&lt;ExDivPct),ExDivTree!F4+DivAmount*EXP(IntRate*(F$2-ExDivPct)),ExDivTree!F4))</f>
        <v>102.87930031955142</v>
      </c>
      <c r="G4" s="17">
        <f>IF(G$3="","",IF(AND(DivAs=2,G$2&lt;ExDivPct),ExDivTree!G4+DivAmount*EXP(IntRate*(G$2-ExDivPct)),ExDivTree!G4))</f>
        <v>105.84568655836613</v>
      </c>
      <c r="H4" s="17">
        <f>IF(H$3="","",IF(AND(DivAs=2,H$2&lt;ExDivPct),ExDivTree!H4+DivAmount*EXP(IntRate*(H$2-ExDivPct)),ExDivTree!H4))</f>
        <v>108.90179498909346</v>
      </c>
      <c r="I4" s="17">
        <f>IF(I$3="","",IF(AND(DivAs=2,I$2&lt;ExDivPct),ExDivTree!I4+DivAmount*EXP(IntRate*(I$2-ExDivPct)),ExDivTree!I4))</f>
        <v>112.05034169125908</v>
      </c>
      <c r="J4" s="17">
        <f>IF(J$3="","",IF(AND(DivAs=2,J$2&lt;ExDivPct),ExDivTree!J4+DivAmount*EXP(IntRate*(J$2-ExDivPct)),ExDivTree!J4))</f>
        <v>115.29412496698893</v>
      </c>
      <c r="K4" s="17">
        <f>IF(K$3="","",IF(AND(DivAs=2,K$2&lt;ExDivPct),ExDivTree!K4+DivAmount*EXP(IntRate*(K$2-ExDivPct)),ExDivTree!K4))</f>
        <v>118.63602783010941</v>
      </c>
      <c r="L4" s="17">
        <f>IF(L$3="","",IF(AND(DivAs=2,L$2&lt;ExDivPct),ExDivTree!L4+DivAmount*EXP(IntRate*(L$2-ExDivPct)),ExDivTree!L4))</f>
        <v>122.07902057064724</v>
      </c>
      <c r="M4" s="17">
        <f>IF(M$3="","",IF(AND(DivAs=2,M$2&lt;ExDivPct),ExDivTree!M4+DivAmount*EXP(IntRate*(M$2-ExDivPct)),ExDivTree!M4))</f>
        <v>125.62616339702954</v>
      </c>
      <c r="N4" s="17">
        <f>IF(N$3="","",IF(AND(DivAs=2,N$2&lt;ExDivPct),ExDivTree!N4+DivAmount*EXP(IntRate*(N$2-ExDivPct)),ExDivTree!N4))</f>
        <v>129.28060915778389</v>
      </c>
      <c r="O4" s="17">
        <f>IF(O$3="","",IF(AND(DivAs=2,O$2&lt;ExDivPct),ExDivTree!O4+DivAmount*EXP(IntRate*(O$2-ExDivPct)),ExDivTree!O4))</f>
        <v>128.04543362199999</v>
      </c>
      <c r="P4" s="17">
        <f>IF(P$3="","",IF(AND(DivAs=2,P$2&lt;ExDivPct),ExDivTree!P4+DivAmount*EXP(IntRate*(P$2-ExDivPct)),ExDivTree!P4))</f>
        <v>131.9216967321</v>
      </c>
      <c r="Q4" s="17">
        <f>IF(Q$3="","",IF(AND(DivAs=2,Q$2&lt;ExDivPct),ExDivTree!Q4+DivAmount*EXP(IntRate*(Q$2-ExDivPct)),ExDivTree!Q4))</f>
        <v>135.91530425089999</v>
      </c>
      <c r="R4" s="17">
        <f>IF(R$3="","",IF(AND(DivAs=2,R$2&lt;ExDivPct),ExDivTree!R4+DivAmount*EXP(IntRate*(R$2-ExDivPct)),ExDivTree!R4))</f>
        <v>140.0298084941</v>
      </c>
      <c r="S4" s="17">
        <f>IF(S$3="","",IF(AND(DivAs=2,S$2&lt;ExDivPct),ExDivTree!S4+DivAmount*EXP(IntRate*(S$2-ExDivPct)),ExDivTree!S4))</f>
        <v>144.26886931510001</v>
      </c>
      <c r="T4" s="17">
        <f>IF(T$3="","",IF(AND(DivAs=2,T$2&lt;ExDivPct),ExDivTree!T4+DivAmount*EXP(IntRate*(T$2-ExDivPct)),ExDivTree!T4))</f>
        <v>148.63625736040001</v>
      </c>
      <c r="U4" s="17">
        <f>IF(U$3="","",IF(AND(DivAs=2,U$2&lt;ExDivPct),ExDivTree!U4+DivAmount*EXP(IntRate*(U$2-ExDivPct)),ExDivTree!U4))</f>
        <v>153.13585742359999</v>
      </c>
      <c r="V4" s="17">
        <f>IF(V$3="","",IF(AND(DivAs=2,V$2&lt;ExDivPct),ExDivTree!V4+DivAmount*EXP(IntRate*(V$2-ExDivPct)),ExDivTree!V4))</f>
        <v>157.77167190110001</v>
      </c>
      <c r="W4" s="17">
        <f>IF(W$3="","",IF(AND(DivAs=2,W$2&lt;ExDivPct),ExDivTree!W4+DivAmount*EXP(IntRate*(W$2-ExDivPct)),ExDivTree!W4))</f>
        <v>162.5478243519</v>
      </c>
      <c r="X4" s="17">
        <f>IF(X$3="","",IF(AND(DivAs=2,X$2&lt;ExDivPct),ExDivTree!X4+DivAmount*EXP(IntRate*(X$2-ExDivPct)),ExDivTree!X4))</f>
        <v>167.4685631657</v>
      </c>
      <c r="Y4" s="17">
        <f>IF(Y$3="","",IF(AND(DivAs=2,Y$2&lt;ExDivPct),ExDivTree!Y4+DivAmount*EXP(IntRate*(Y$2-ExDivPct)),ExDivTree!Y4))</f>
        <v>172.53826534199999</v>
      </c>
      <c r="Z4" s="17">
        <f>IF(Z$3="","",IF(AND(DivAs=2,Z$2&lt;ExDivPct),ExDivTree!Z4+DivAmount*EXP(IntRate*(Z$2-ExDivPct)),ExDivTree!Z4))</f>
        <v>177.76144038309999</v>
      </c>
      <c r="AA4" s="17">
        <f>IF(AA$3="","",IF(AND(DivAs=2,AA$2&lt;ExDivPct),ExDivTree!AA4+DivAmount*EXP(IntRate*(AA$2-ExDivPct)),ExDivTree!AA4))</f>
        <v>183.1427343055</v>
      </c>
      <c r="AB4" s="17">
        <f>IF(AB$3="","",IF(AND(DivAs=2,AB$2&lt;ExDivPct),ExDivTree!AB4+DivAmount*EXP(IntRate*(AB$2-ExDivPct)),ExDivTree!AB4))</f>
        <v>188.6869337727</v>
      </c>
      <c r="AC4" s="17">
        <f>IF(AC$3="","",IF(AND(DivAs=2,AC$2&lt;ExDivPct),ExDivTree!AC4+DivAmount*EXP(IntRate*(AC$2-ExDivPct)),ExDivTree!AC4))</f>
        <v>194.39897035249999</v>
      </c>
      <c r="AD4" s="17">
        <f>IF(AD$3="","",IF(AND(DivAs=2,AD$2&lt;ExDivPct),ExDivTree!AD4+DivAmount*EXP(IntRate*(AD$2-ExDivPct)),ExDivTree!AD4))</f>
        <v>200.28392490409999</v>
      </c>
      <c r="AE4" s="17">
        <f>IF(AE$3="","",IF(AND(DivAs=2,AE$2&lt;ExDivPct),ExDivTree!AE4+DivAmount*EXP(IntRate*(AE$2-ExDivPct)),ExDivTree!AE4))</f>
        <v>206.34703209720001</v>
      </c>
      <c r="AF4" s="17">
        <f>IF(AF$3="","",IF(AND(DivAs=2,AF$2&lt;ExDivPct),ExDivTree!AF4+DivAmount*EXP(IntRate*(AF$2-ExDivPct)),ExDivTree!AF4))</f>
        <v>212.59368506839999</v>
      </c>
      <c r="AG4" s="17">
        <f>IF(AG$3="","",IF(AND(DivAs=2,AG$2&lt;ExDivPct),ExDivTree!AG4+DivAmount*EXP(IntRate*(AG$2-ExDivPct)),ExDivTree!AG4))</f>
        <v>219.02944021830001</v>
      </c>
      <c r="AH4" s="17">
        <f>IF(AH$3="","",IF(AND(DivAs=2,AH$2&lt;ExDivPct),ExDivTree!AH4+DivAmount*EXP(IntRate*(AH$2-ExDivPct)),ExDivTree!AH4))</f>
        <v>225.66002215410001</v>
      </c>
      <c r="AI4" s="17">
        <f>IF(AI$3="","",IF(AND(DivAs=2,AI$2&lt;ExDivPct),ExDivTree!AI4+DivAmount*EXP(IntRate*(AI$2-ExDivPct)),ExDivTree!AI4))</f>
        <v>232.49132878130001</v>
      </c>
      <c r="AJ4" s="17">
        <f>IF(AJ$3="","",IF(AND(DivAs=2,AJ$2&lt;ExDivPct),ExDivTree!AJ4+DivAmount*EXP(IntRate*(AJ$2-ExDivPct)),ExDivTree!AJ4))</f>
        <v>239.52943655030001</v>
      </c>
      <c r="AK4" s="17">
        <f>IF(AK$3="","",IF(AND(DivAs=2,AK$2&lt;ExDivPct),ExDivTree!AK4+DivAmount*EXP(IntRate*(AK$2-ExDivPct)),ExDivTree!AK4))</f>
        <v>246.78060586110001</v>
      </c>
      <c r="AL4" s="17">
        <f>IF(AL$3="","",IF(AND(DivAs=2,AL$2&lt;ExDivPct),ExDivTree!AL4+DivAmount*EXP(IntRate*(AL$2-ExDivPct)),ExDivTree!AL4))</f>
        <v>254.2512866321</v>
      </c>
      <c r="AM4" s="17">
        <f>IF(AM$3="","",IF(AND(DivAs=2,AM$2&lt;ExDivPct),ExDivTree!AM4+DivAmount*EXP(IntRate*(AM$2-ExDivPct)),ExDivTree!AM4))</f>
        <v>261.94812403719999</v>
      </c>
      <c r="AN4" s="17">
        <f>IF(AN$3="","",IF(AND(DivAs=2,AN$2&lt;ExDivPct),ExDivTree!AN4+DivAmount*EXP(IntRate*(AN$2-ExDivPct)),ExDivTree!AN4))</f>
        <v>269.87796441670002</v>
      </c>
      <c r="AO4" s="17">
        <f>IF(AO$3="","",IF(AND(DivAs=2,AO$2&lt;ExDivPct),ExDivTree!AO4+DivAmount*EXP(IntRate*(AO$2-ExDivPct)),ExDivTree!AO4))</f>
        <v>278.04786136730002</v>
      </c>
      <c r="AP4" s="17">
        <f>IF(AP$3="","",IF(AND(DivAs=2,AP$2&lt;ExDivPct),ExDivTree!AP4+DivAmount*EXP(IntRate*(AP$2-ExDivPct)),ExDivTree!AP4))</f>
        <v>286.46508201590001</v>
      </c>
      <c r="AQ4" s="17">
        <f>IF(AQ$3="","",IF(AND(DivAs=2,AQ$2&lt;ExDivPct),ExDivTree!AQ4+DivAmount*EXP(IntRate*(AQ$2-ExDivPct)),ExDivTree!AQ4))</f>
        <v>295.13711348419997</v>
      </c>
      <c r="AR4" s="17">
        <f>IF(AR$3="","",IF(AND(DivAs=2,AR$2&lt;ExDivPct),ExDivTree!AR4+DivAmount*EXP(IntRate*(AR$2-ExDivPct)),ExDivTree!AR4))</f>
        <v>304.07166954799999</v>
      </c>
      <c r="AS4" s="17">
        <f>IF(AS$3="","",IF(AND(DivAs=2,AS$2&lt;ExDivPct),ExDivTree!AS4+DivAmount*EXP(IntRate*(AS$2-ExDivPct)),ExDivTree!AS4))</f>
        <v>313.27669749889998</v>
      </c>
      <c r="AT4" s="17">
        <f>IF(AT$3="","",IF(AND(DivAs=2,AT$2&lt;ExDivPct),ExDivTree!AT4+DivAmount*EXP(IntRate*(AT$2-ExDivPct)),ExDivTree!AT4))</f>
        <v>322.7603852135</v>
      </c>
      <c r="AU4" s="17">
        <f>IF(AU$3="","",IF(AND(DivAs=2,AU$2&lt;ExDivPct),ExDivTree!AU4+DivAmount*EXP(IntRate*(AU$2-ExDivPct)),ExDivTree!AU4))</f>
        <v>332.53116843629999</v>
      </c>
      <c r="AV4" s="17">
        <f>IF(AV$3="","",IF(AND(DivAs=2,AV$2&lt;ExDivPct),ExDivTree!AV4+DivAmount*EXP(IntRate*(AV$2-ExDivPct)),ExDivTree!AV4))</f>
        <v>342.59773828329998</v>
      </c>
      <c r="AW4" s="17">
        <f>IF(AW$3="","",IF(AND(DivAs=2,AW$2&lt;ExDivPct),ExDivTree!AW4+DivAmount*EXP(IntRate*(AW$2-ExDivPct)),ExDivTree!AW4))</f>
        <v>352.96904897299999</v>
      </c>
      <c r="AX4" s="17">
        <f>IF(AX$3="","",IF(AND(DivAs=2,AX$2&lt;ExDivPct),ExDivTree!AX4+DivAmount*EXP(IntRate*(AX$2-ExDivPct)),ExDivTree!AX4))</f>
        <v>363.65432579089997</v>
      </c>
      <c r="AY4" s="17">
        <f>IF(AY$3="","",IF(AND(DivAs=2,AY$2&lt;ExDivPct),ExDivTree!AY4+DivAmount*EXP(IntRate*(AY$2-ExDivPct)),ExDivTree!AY4))</f>
        <v>374.66307329559999</v>
      </c>
      <c r="AZ4" s="17">
        <f>IF(AZ$3="","",IF(AND(DivAs=2,AZ$2&lt;ExDivPct),ExDivTree!AZ4+DivAmount*EXP(IntRate*(AZ$2-ExDivPct)),ExDivTree!AZ4))</f>
        <v>386.00508377289998</v>
      </c>
      <c r="BA4" s="17">
        <f>IF(BA$3="","",IF(AND(DivAs=2,BA$2&lt;ExDivPct),ExDivTree!BA4+DivAmount*EXP(IntRate*(BA$2-ExDivPct)),ExDivTree!BA4))</f>
        <v>397.69044594629997</v>
      </c>
      <c r="BB4" s="17">
        <f>IF(BB$3="","",IF(AND(DivAs=2,BB$2&lt;ExDivPct),ExDivTree!BB4+DivAmount*EXP(IntRate*(BB$2-ExDivPct)),ExDivTree!BB4))</f>
        <v>409.72955395069999</v>
      </c>
      <c r="BC4" s="17">
        <f>IF(BC$3="","",IF(AND(DivAs=2,BC$2&lt;ExDivPct),ExDivTree!BC4+DivAmount*EXP(IntRate*(BC$2-ExDivPct)),ExDivTree!BC4))</f>
        <v>422.133116578</v>
      </c>
      <c r="BD4" s="17">
        <f>IF(BD$3="","",IF(AND(DivAs=2,BD$2&lt;ExDivPct),ExDivTree!BD4+DivAmount*EXP(IntRate*(BD$2-ExDivPct)),ExDivTree!BD4))</f>
        <v>434.9121668029</v>
      </c>
      <c r="BE4" s="17">
        <f>IF(BE$3="","",IF(AND(DivAs=2,BE$2&lt;ExDivPct),ExDivTree!BE4+DivAmount*EXP(IntRate*(BE$2-ExDivPct)),ExDivTree!BE4))</f>
        <v>448.0780715962</v>
      </c>
      <c r="BF4" s="17">
        <f>IF(BF$3="","",IF(AND(DivAs=2,BF$2&lt;ExDivPct),ExDivTree!BF4+DivAmount*EXP(IntRate*(BF$2-ExDivPct)),ExDivTree!BF4))</f>
        <v>461.64254203629997</v>
      </c>
      <c r="BG4" s="17">
        <f>IF(BG$3="","",IF(AND(DivAs=2,BG$2&lt;ExDivPct),ExDivTree!BG4+DivAmount*EXP(IntRate*(BG$2-ExDivPct)),ExDivTree!BG4))</f>
        <v>475.61764372570002</v>
      </c>
      <c r="BH4" s="17">
        <f>IF(BH$3="","",IF(AND(DivAs=2,BH$2&lt;ExDivPct),ExDivTree!BH4+DivAmount*EXP(IntRate*(BH$2-ExDivPct)),ExDivTree!BH4))</f>
        <v>490.01580752360002</v>
      </c>
      <c r="BI4" s="17">
        <f>IF(BI$3="","",IF(AND(DivAs=2,BI$2&lt;ExDivPct),ExDivTree!BI4+DivAmount*EXP(IntRate*(BI$2-ExDivPct)),ExDivTree!BI4))</f>
        <v>504.84984060319999</v>
      </c>
      <c r="BJ4" s="17">
        <f>IF(BJ$3="","",IF(AND(DivAs=2,BJ$2&lt;ExDivPct),ExDivTree!BJ4+DivAmount*EXP(IntRate*(BJ$2-ExDivPct)),ExDivTree!BJ4))</f>
        <v>520.13293784370001</v>
      </c>
      <c r="BK4" s="17">
        <f>IF(BK$3="","",IF(AND(DivAs=2,BK$2&lt;ExDivPct),ExDivTree!BK4+DivAmount*EXP(IntRate*(BK$2-ExDivPct)),ExDivTree!BK4))</f>
        <v>535.87869356689998</v>
      </c>
      <c r="BL4" s="17">
        <f>IF(BL$3="","",IF(AND(DivAs=2,BL$2&lt;ExDivPct),ExDivTree!BL4+DivAmount*EXP(IntRate*(BL$2-ExDivPct)),ExDivTree!BL4))</f>
        <v>552.10111362969997</v>
      </c>
      <c r="BM4" s="17">
        <f>IF(BM$3="","",IF(AND(DivAs=2,BM$2&lt;ExDivPct),ExDivTree!BM4+DivAmount*EXP(IntRate*(BM$2-ExDivPct)),ExDivTree!BM4))</f>
        <v>568.81462788199997</v>
      </c>
      <c r="BN4" s="17">
        <f>IF(BN$3="","",IF(AND(DivAs=2,BN$2&lt;ExDivPct),ExDivTree!BN4+DivAmount*EXP(IntRate*(BN$2-ExDivPct)),ExDivTree!BN4))</f>
        <v>586.03410300229996</v>
      </c>
      <c r="BO4" s="17">
        <f>IF(BO$3="","",IF(AND(DivAs=2,BO$2&lt;ExDivPct),ExDivTree!BO4+DivAmount*EXP(IntRate*(BO$2-ExDivPct)),ExDivTree!BO4))</f>
        <v>603.77485572139994</v>
      </c>
      <c r="BP4" s="17">
        <f>IF(BP$3="","",IF(AND(DivAs=2,BP$2&lt;ExDivPct),ExDivTree!BP4+DivAmount*EXP(IntRate*(BP$2-ExDivPct)),ExDivTree!BP4))</f>
        <v>622.05266644690005</v>
      </c>
      <c r="BQ4" s="17">
        <f>IF(BQ$3="","",IF(AND(DivAs=2,BQ$2&lt;ExDivPct),ExDivTree!BQ4+DivAmount*EXP(IntRate*(BQ$2-ExDivPct)),ExDivTree!BQ4))</f>
        <v>640.88379329969996</v>
      </c>
      <c r="BR4" s="17">
        <f>IF(BR$3="","",IF(AND(DivAs=2,BR$2&lt;ExDivPct),ExDivTree!BR4+DivAmount*EXP(IntRate*(BR$2-ExDivPct)),ExDivTree!BR4))</f>
        <v>660.28498657559999</v>
      </c>
      <c r="BS4" s="17">
        <f>IF(BS$3="","",IF(AND(DivAs=2,BS$2&lt;ExDivPct),ExDivTree!BS4+DivAmount*EXP(IntRate*(BS$2-ExDivPct)),ExDivTree!BS4))</f>
        <v>680.27350364480003</v>
      </c>
      <c r="BT4" s="17">
        <f>IF(BT$3="","",IF(AND(DivAs=2,BT$2&lt;ExDivPct),ExDivTree!BT4+DivAmount*EXP(IntRate*(BT$2-ExDivPct)),ExDivTree!BT4))</f>
        <v>700.86712430219995</v>
      </c>
      <c r="BU4" s="17">
        <f>IF(BU$3="","",IF(AND(DivAs=2,BU$2&lt;ExDivPct),ExDivTree!BU4+DivAmount*EXP(IntRate*(BU$2-ExDivPct)),ExDivTree!BU4))</f>
        <v>722.08416658270005</v>
      </c>
      <c r="BV4" s="17">
        <f>IF(BV$3="","",IF(AND(DivAs=2,BV$2&lt;ExDivPct),ExDivTree!BV4+DivAmount*EXP(IntRate*(BV$2-ExDivPct)),ExDivTree!BV4))</f>
        <v>743.94350305490002</v>
      </c>
      <c r="BW4" s="17">
        <f>IF(BW$3="","",IF(AND(DivAs=2,BW$2&lt;ExDivPct),ExDivTree!BW4+DivAmount*EXP(IntRate*(BW$2-ExDivPct)),ExDivTree!BW4))</f>
        <v>766.46457760850001</v>
      </c>
      <c r="BX4" s="17">
        <f>IF(BX$3="","",IF(AND(DivAs=2,BX$2&lt;ExDivPct),ExDivTree!BX4+DivAmount*EXP(IntRate*(BX$2-ExDivPct)),ExDivTree!BX4))</f>
        <v>789.66742274950002</v>
      </c>
      <c r="BY4" s="17">
        <f>IF(BY$3="","",IF(AND(DivAs=2,BY$2&lt;ExDivPct),ExDivTree!BY4+DivAmount*EXP(IntRate*(BY$2-ExDivPct)),ExDivTree!BY4))</f>
        <v>813.57267741910005</v>
      </c>
      <c r="BZ4" s="17">
        <f>IF(BZ$3="","",IF(AND(DivAs=2,BZ$2&lt;ExDivPct),ExDivTree!BZ4+DivAmount*EXP(IntRate*(BZ$2-ExDivPct)),ExDivTree!BZ4))</f>
        <v>838.20160535210005</v>
      </c>
      <c r="CA4" s="17">
        <f>IF(CA$3="","",IF(AND(DivAs=2,CA$2&lt;ExDivPct),ExDivTree!CA4+DivAmount*EXP(IntRate*(CA$2-ExDivPct)),ExDivTree!CA4))</f>
        <v>863.57611399100006</v>
      </c>
      <c r="CB4" s="17">
        <f>IF(CB$3="","",IF(AND(DivAs=2,CB$2&lt;ExDivPct),ExDivTree!CB4+DivAmount*EXP(IntRate*(CB$2-ExDivPct)),ExDivTree!CB4))</f>
        <v>889.71877397269998</v>
      </c>
      <c r="CC4" s="17">
        <f>IF(CC$3="","",IF(AND(DivAs=2,CC$2&lt;ExDivPct),ExDivTree!CC4+DivAmount*EXP(IntRate*(CC$2-ExDivPct)),ExDivTree!CC4))</f>
        <v>916.65283920499996</v>
      </c>
      <c r="CD4" s="17">
        <f>IF(CD$3="","",IF(AND(DivAs=2,CD$2&lt;ExDivPct),ExDivTree!CD4+DivAmount*EXP(IntRate*(CD$2-ExDivPct)),ExDivTree!CD4))</f>
        <v>944.40226755109995</v>
      </c>
      <c r="CE4" s="17">
        <f>IF(CE$3="","",IF(AND(DivAs=2,CE$2&lt;ExDivPct),ExDivTree!CE4+DivAmount*EXP(IntRate*(CE$2-ExDivPct)),ExDivTree!CE4))</f>
        <v>972.99174214000004</v>
      </c>
      <c r="CF4" s="17">
        <f>IF(CF$3="","",IF(AND(DivAs=2,CF$2&lt;ExDivPct),ExDivTree!CF4+DivAmount*EXP(IntRate*(CF$2-ExDivPct)),ExDivTree!CF4))</f>
        <v>1002.4466933222</v>
      </c>
      <c r="CG4" s="17">
        <f>IF(CG$3="","",IF(AND(DivAs=2,CG$2&lt;ExDivPct),ExDivTree!CG4+DivAmount*EXP(IntRate*(CG$2-ExDivPct)),ExDivTree!CG4))</f>
        <v>1032.7933212901</v>
      </c>
      <c r="CH4" s="17">
        <f>IF(CH$3="","",IF(AND(DivAs=2,CH$2&lt;ExDivPct),ExDivTree!CH4+DivAmount*EXP(IntRate*(CH$2-ExDivPct)),ExDivTree!CH4))</f>
        <v>1064.058619383</v>
      </c>
      <c r="CI4" s="17">
        <f>IF(CI$3="","",IF(AND(DivAs=2,CI$2&lt;ExDivPct),ExDivTree!CI4+DivAmount*EXP(IntRate*(CI$2-ExDivPct)),ExDivTree!CI4))</f>
        <v>1096.2703980976</v>
      </c>
      <c r="CJ4" s="17">
        <f>IF(CJ$3="","",IF(AND(DivAs=2,CJ$2&lt;ExDivPct),ExDivTree!CJ4+DivAmount*EXP(IntRate*(CJ$2-ExDivPct)),ExDivTree!CJ4))</f>
        <v>1129.4573098256001</v>
      </c>
      <c r="CK4" s="17">
        <f>IF(CK$3="","",IF(AND(DivAs=2,CK$2&lt;ExDivPct),ExDivTree!CK4+DivAmount*EXP(IntRate*(CK$2-ExDivPct)),ExDivTree!CK4))</f>
        <v>1163.6488743399</v>
      </c>
      <c r="CL4" s="17">
        <f>IF(CL$3="","",IF(AND(DivAs=2,CL$2&lt;ExDivPct),ExDivTree!CL4+DivAmount*EXP(IntRate*(CL$2-ExDivPct)),ExDivTree!CL4))</f>
        <v>1198.8755050525999</v>
      </c>
      <c r="CM4" s="17">
        <f>IF(CM$3="","",IF(AND(DivAs=2,CM$2&lt;ExDivPct),ExDivTree!CM4+DivAmount*EXP(IntRate*(CM$2-ExDivPct)),ExDivTree!CM4))</f>
        <v>1235.1685360675999</v>
      </c>
      <c r="CN4" s="17">
        <f>IF(CN$3="","",IF(AND(DivAs=2,CN$2&lt;ExDivPct),ExDivTree!CN4+DivAmount*EXP(IntRate*(CN$2-ExDivPct)),ExDivTree!CN4))</f>
        <v>1272.5602500524001</v>
      </c>
      <c r="CO4" s="17">
        <f>IF(CO$3="","",IF(AND(DivAs=2,CO$2&lt;ExDivPct),ExDivTree!CO4+DivAmount*EXP(IntRate*(CO$2-ExDivPct)),ExDivTree!CO4))</f>
        <v>1311.0839069533999</v>
      </c>
      <c r="CP4" s="17">
        <f>IF(CP$3="","",IF(AND(DivAs=2,CP$2&lt;ExDivPct),ExDivTree!CP4+DivAmount*EXP(IntRate*(CP$2-ExDivPct)),ExDivTree!CP4))</f>
        <v>1350.7737735808</v>
      </c>
      <c r="CQ4" s="17">
        <f>IF(CQ$3="","",IF(AND(DivAs=2,CQ$2&lt;ExDivPct),ExDivTree!CQ4+DivAmount*EXP(IntRate*(CQ$2-ExDivPct)),ExDivTree!CQ4))</f>
        <v>1391.6651540887999</v>
      </c>
      <c r="CR4" s="17">
        <f>IF(CR$3="","",IF(AND(DivAs=2,CR$2&lt;ExDivPct),ExDivTree!CR4+DivAmount*EXP(IntRate*(CR$2-ExDivPct)),ExDivTree!CR4))</f>
        <v>1433.7944213789001</v>
      </c>
      <c r="CS4" s="17">
        <f>IF(CS$3="","",IF(AND(DivAs=2,CS$2&lt;ExDivPct),ExDivTree!CS4+DivAmount*EXP(IntRate*(CS$2-ExDivPct)),ExDivTree!CS4))</f>
        <v>1477.1990494532999</v>
      </c>
      <c r="CT4" s="17">
        <f>IF(CT$3="","",IF(AND(DivAs=2,CT$2&lt;ExDivPct),ExDivTree!CT4+DivAmount*EXP(IntRate*(CT$2-ExDivPct)),ExDivTree!CT4))</f>
        <v>1521.9176467482</v>
      </c>
      <c r="CU4" s="17">
        <f>IF(CU$3="","",IF(AND(DivAs=2,CU$2&lt;ExDivPct),ExDivTree!CU4+DivAmount*EXP(IntRate*(CU$2-ExDivPct)),ExDivTree!CU4))</f>
        <v>1567.9899904761</v>
      </c>
      <c r="CV4" s="17">
        <f>IF(CV$3="","",IF(AND(DivAs=2,CV$2&lt;ExDivPct),ExDivTree!CV4+DivAmount*EXP(IntRate*(CV$2-ExDivPct)),ExDivTree!CV4))</f>
        <v>1615.4570620075001</v>
      </c>
      <c r="CW4" s="17">
        <f>IF(CW$3="","",IF(AND(DivAs=2,CW$2&lt;ExDivPct),ExDivTree!CW4+DivAmount*EXP(IntRate*(CW$2-ExDivPct)),ExDivTree!CW4))</f>
        <v>1664.361083324</v>
      </c>
      <c r="CX4" s="17">
        <f>IF(CX$3="","",IF(AND(DivAs=2,CX$2&lt;ExDivPct),ExDivTree!CX4+DivAmount*EXP(IntRate*(CX$2-ExDivPct)),ExDivTree!CX4))</f>
        <v>1714.7455545746</v>
      </c>
      <c r="CY4" s="17">
        <f>IF(CY$3="","",IF(AND(DivAs=2,CY$2&lt;ExDivPct),ExDivTree!CY4+DivAmount*EXP(IntRate*(CY$2-ExDivPct)),ExDivTree!CY4))</f>
        <v>1766.6552927691</v>
      </c>
      <c r="CZ4" s="17">
        <f>IF(CZ$3="","",IF(AND(DivAs=2,CZ$2&lt;ExDivPct),ExDivTree!CZ4+DivAmount*EXP(IntRate*(CZ$2-ExDivPct)),ExDivTree!CZ4))</f>
        <v>1820.1364716431001</v>
      </c>
      <c r="DA4" s="17">
        <f>IF(DA$3="","",IF(AND(DivAs=2,DA$2&lt;ExDivPct),ExDivTree!DA4+DivAmount*EXP(IntRate*(DA$2-ExDivPct)),ExDivTree!DA4))</f>
        <v>1875.2366627293</v>
      </c>
      <c r="DB4" s="17">
        <f>IF(DB$3="","",IF(AND(DivAs=2,DB$2&lt;ExDivPct),ExDivTree!DB4+DivAmount*EXP(IntRate*(DB$2-ExDivPct)),ExDivTree!DB4))</f>
        <v>1932.0048776725</v>
      </c>
    </row>
    <row r="5" spans="1:106" x14ac:dyDescent="0.2">
      <c r="A5">
        <f>ExDivTree!A5</f>
        <v>101</v>
      </c>
      <c r="B5" s="71">
        <f>ExDivTree!B5</f>
        <v>3.9837475713661096E-29</v>
      </c>
      <c r="C5" s="71">
        <f>ExDivTree!C5</f>
        <v>5.1772094135872507E-29</v>
      </c>
      <c r="D5" s="177">
        <f>ExDivTree!D5</f>
        <v>1</v>
      </c>
      <c r="F5" s="17">
        <f>IF(F$3="","",IF(AND(DivAs=2,F$2&lt;ExDivPct),ExDivTree!F5+DivAmount*EXP(IntRate*(F$2-ExDivPct)),ExDivTree!F5))</f>
        <v>97.210941541051426</v>
      </c>
      <c r="G5" s="17">
        <f>IF(G$3="","",IF(AND(DivAs=2,G$2&lt;ExDivPct),ExDivTree!G5+DivAmount*EXP(IntRate*(G$2-ExDivPct)),ExDivTree!G5))</f>
        <v>100.00573204696612</v>
      </c>
      <c r="H5" s="17">
        <f>IF(H$3="","",IF(AND(DivAs=2,H$2&lt;ExDivPct),ExDivTree!H5+DivAmount*EXP(IntRate*(H$2-ExDivPct)),ExDivTree!H5))</f>
        <v>102.88505010259347</v>
      </c>
      <c r="I5" s="17">
        <f>IF(I$3="","",IF(AND(DivAs=2,I$2&lt;ExDivPct),ExDivTree!I5+DivAmount*EXP(IntRate*(I$2-ExDivPct)),ExDivTree!I5))</f>
        <v>105.85145453235907</v>
      </c>
      <c r="J5" s="17">
        <f>IF(J$3="","",IF(AND(DivAs=2,J$2&lt;ExDivPct),ExDivTree!J5+DivAmount*EXP(IntRate*(J$2-ExDivPct)),ExDivTree!J5))</f>
        <v>108.90758162278894</v>
      </c>
      <c r="K5" s="17">
        <f>IF(K$3="","",IF(AND(DivAs=2,K$2&lt;ExDivPct),ExDivTree!K5+DivAmount*EXP(IntRate*(K$2-ExDivPct)),ExDivTree!K5))</f>
        <v>112.0561474674094</v>
      </c>
      <c r="L5" s="17">
        <f>IF(L$3="","",IF(AND(DivAs=2,L$2&lt;ExDivPct),ExDivTree!L5+DivAmount*EXP(IntRate*(L$2-ExDivPct)),ExDivTree!L5))</f>
        <v>115.29995038294724</v>
      </c>
      <c r="M5" s="17">
        <f>IF(M$3="","",IF(AND(DivAs=2,M$2&lt;ExDivPct),ExDivTree!M5+DivAmount*EXP(IntRate*(M$2-ExDivPct)),ExDivTree!M5))</f>
        <v>118.64187339822955</v>
      </c>
      <c r="N5" s="17">
        <f>IF(N$3="","",IF(AND(DivAs=2,N$2&lt;ExDivPct),ExDivTree!N5+DivAmount*EXP(IntRate*(N$2-ExDivPct)),ExDivTree!N5))</f>
        <v>122.08488681888389</v>
      </c>
      <c r="O5" s="17">
        <f>IF(O$3="","",IF(AND(DivAs=2,O$2&lt;ExDivPct),ExDivTree!O5+DivAmount*EXP(IntRate*(O$2-ExDivPct)),ExDivTree!O5))</f>
        <v>120.6318783447</v>
      </c>
      <c r="P5" s="17">
        <f>IF(P$3="","",IF(AND(DivAs=2,P$2&lt;ExDivPct),ExDivTree!P5+DivAmount*EXP(IntRate*(P$2-ExDivPct)),ExDivTree!P5))</f>
        <v>124.28371415559999</v>
      </c>
      <c r="Q5" s="17">
        <f>IF(Q$3="","",IF(AND(DivAs=2,Q$2&lt;ExDivPct),ExDivTree!Q5+DivAmount*EXP(IntRate*(Q$2-ExDivPct)),ExDivTree!Q5))</f>
        <v>128.0461003863</v>
      </c>
      <c r="R5" s="17">
        <f>IF(R$3="","",IF(AND(DivAs=2,R$2&lt;ExDivPct),ExDivTree!R5+DivAmount*EXP(IntRate*(R$2-ExDivPct)),ExDivTree!R5))</f>
        <v>131.92238368100001</v>
      </c>
      <c r="S5" s="17">
        <f>IF(S$3="","",IF(AND(DivAs=2,S$2&lt;ExDivPct),ExDivTree!S5+DivAmount*EXP(IntRate*(S$2-ExDivPct)),ExDivTree!S5))</f>
        <v>135.91601199550001</v>
      </c>
      <c r="T5" s="17">
        <f>IF(T$3="","",IF(AND(DivAs=2,T$2&lt;ExDivPct),ExDivTree!T5+DivAmount*EXP(IntRate*(T$2-ExDivPct)),ExDivTree!T5))</f>
        <v>140.03053766389999</v>
      </c>
      <c r="U5" s="17">
        <f>IF(U$3="","",IF(AND(DivAs=2,U$2&lt;ExDivPct),ExDivTree!U5+DivAmount*EXP(IntRate*(U$2-ExDivPct)),ExDivTree!U5))</f>
        <v>144.26962055870001</v>
      </c>
      <c r="V5" s="17">
        <f>IF(V$3="","",IF(AND(DivAs=2,V$2&lt;ExDivPct),ExDivTree!V5+DivAmount*EXP(IntRate*(V$2-ExDivPct)),ExDivTree!V5))</f>
        <v>148.6370313461</v>
      </c>
      <c r="W5" s="17">
        <f>IF(W$3="","",IF(AND(DivAs=2,W$2&lt;ExDivPct),ExDivTree!W5+DivAmount*EXP(IntRate*(W$2-ExDivPct)),ExDivTree!W5))</f>
        <v>153.13665483989999</v>
      </c>
      <c r="X5" s="17">
        <f>IF(X$3="","",IF(AND(DivAs=2,X$2&lt;ExDivPct),ExDivTree!X5+DivAmount*EXP(IntRate*(X$2-ExDivPct)),ExDivTree!X5))</f>
        <v>157.7724934572</v>
      </c>
      <c r="Y5" s="17">
        <f>IF(Y$3="","",IF(AND(DivAs=2,Y$2&lt;ExDivPct),ExDivTree!Y5+DivAmount*EXP(IntRate*(Y$2-ExDivPct)),ExDivTree!Y5))</f>
        <v>162.54867077860001</v>
      </c>
      <c r="Z5" s="17">
        <f>IF(Z$3="","",IF(AND(DivAs=2,Z$2&lt;ExDivPct),ExDivTree!Z5+DivAmount*EXP(IntRate*(Z$2-ExDivPct)),ExDivTree!Z5))</f>
        <v>167.46943521590001</v>
      </c>
      <c r="AA5" s="17">
        <f>IF(AA$3="","",IF(AND(DivAs=2,AA$2&lt;ExDivPct),ExDivTree!AA5+DivAmount*EXP(IntRate*(AA$2-ExDivPct)),ExDivTree!AA5))</f>
        <v>172.53916379130001</v>
      </c>
      <c r="AB5" s="17">
        <f>IF(AB$3="","",IF(AND(DivAs=2,AB$2&lt;ExDivPct),ExDivTree!AB5+DivAmount*EXP(IntRate*(AB$2-ExDivPct)),ExDivTree!AB5))</f>
        <v>177.76236603070001</v>
      </c>
      <c r="AC5" s="17">
        <f>IF(AC$3="","",IF(AND(DivAs=2,AC$2&lt;ExDivPct),ExDivTree!AC5+DivAmount*EXP(IntRate*(AC$2-ExDivPct)),ExDivTree!AC5))</f>
        <v>183.14368797489999</v>
      </c>
      <c r="AD5" s="17">
        <f>IF(AD$3="","",IF(AND(DivAs=2,AD$2&lt;ExDivPct),ExDivTree!AD5+DivAmount*EXP(IntRate*(AD$2-ExDivPct)),ExDivTree!AD5))</f>
        <v>188.68791631209999</v>
      </c>
      <c r="AE5" s="17">
        <f>IF(AE$3="","",IF(AND(DivAs=2,AE$2&lt;ExDivPct),ExDivTree!AE5+DivAmount*EXP(IntRate*(AE$2-ExDivPct)),ExDivTree!AE5))</f>
        <v>194.39998263589999</v>
      </c>
      <c r="AF5" s="17">
        <f>IF(AF$3="","",IF(AND(DivAs=2,AF$2&lt;ExDivPct),ExDivTree!AF5+DivAmount*EXP(IntRate*(AF$2-ExDivPct)),ExDivTree!AF5))</f>
        <v>200.28496783189999</v>
      </c>
      <c r="AG5" s="17">
        <f>IF(AG$3="","",IF(AND(DivAs=2,AG$2&lt;ExDivPct),ExDivTree!AG5+DivAmount*EXP(IntRate*(AG$2-ExDivPct)),ExDivTree!AG5))</f>
        <v>206.34810659710001</v>
      </c>
      <c r="AH5" s="17">
        <f>IF(AH$3="","",IF(AND(DivAs=2,AH$2&lt;ExDivPct),ExDivTree!AH5+DivAmount*EXP(IntRate*(AH$2-ExDivPct)),ExDivTree!AH5))</f>
        <v>212.5947920962</v>
      </c>
      <c r="AI5" s="17">
        <f>IF(AI$3="","",IF(AND(DivAs=2,AI$2&lt;ExDivPct),ExDivTree!AI5+DivAmount*EXP(IntRate*(AI$2-ExDivPct)),ExDivTree!AI5))</f>
        <v>219.03058075870001</v>
      </c>
      <c r="AJ5" s="17">
        <f>IF(AJ$3="","",IF(AND(DivAs=2,AJ$2&lt;ExDivPct),ExDivTree!AJ5+DivAmount*EXP(IntRate*(AJ$2-ExDivPct)),ExDivTree!AJ5))</f>
        <v>225.66119722159999</v>
      </c>
      <c r="AK5" s="17">
        <f>IF(AK$3="","",IF(AND(DivAs=2,AK$2&lt;ExDivPct),ExDivTree!AK5+DivAmount*EXP(IntRate*(AK$2-ExDivPct)),ExDivTree!AK5))</f>
        <v>232.49253942109999</v>
      </c>
      <c r="AL5" s="17">
        <f>IF(AL$3="","",IF(AND(DivAs=2,AL$2&lt;ExDivPct),ExDivTree!AL5+DivAmount*EXP(IntRate*(AL$2-ExDivPct)),ExDivTree!AL5))</f>
        <v>239.5306838393</v>
      </c>
      <c r="AM5" s="17">
        <f>IF(AM$3="","",IF(AND(DivAs=2,AM$2&lt;ExDivPct),ExDivTree!AM5+DivAmount*EXP(IntRate*(AM$2-ExDivPct)),ExDivTree!AM5))</f>
        <v>246.78189090879999</v>
      </c>
      <c r="AN5" s="17">
        <f>IF(AN$3="","",IF(AND(DivAs=2,AN$2&lt;ExDivPct),ExDivTree!AN5+DivAmount*EXP(IntRate*(AN$2-ExDivPct)),ExDivTree!AN5))</f>
        <v>254.25261058149999</v>
      </c>
      <c r="AO5" s="17">
        <f>IF(AO$3="","",IF(AND(DivAs=2,AO$2&lt;ExDivPct),ExDivTree!AO5+DivAmount*EXP(IntRate*(AO$2-ExDivPct)),ExDivTree!AO5))</f>
        <v>261.94948806590003</v>
      </c>
      <c r="AP5" s="17">
        <f>IF(AP$3="","",IF(AND(DivAs=2,AP$2&lt;ExDivPct),ExDivTree!AP5+DivAmount*EXP(IntRate*(AP$2-ExDivPct)),ExDivTree!AP5))</f>
        <v>269.87936973810002</v>
      </c>
      <c r="AQ5" s="17">
        <f>IF(AQ$3="","",IF(AND(DivAs=2,AQ$2&lt;ExDivPct),ExDivTree!AQ5+DivAmount*EXP(IntRate*(AQ$2-ExDivPct)),ExDivTree!AQ5))</f>
        <v>278.0493092314</v>
      </c>
      <c r="AR5" s="17">
        <f>IF(AR$3="","",IF(AND(DivAs=2,AR$2&lt;ExDivPct),ExDivTree!AR5+DivAmount*EXP(IntRate*(AR$2-ExDivPct)),ExDivTree!AR5))</f>
        <v>286.46657371060002</v>
      </c>
      <c r="AS5" s="17">
        <f>IF(AS$3="","",IF(AND(DivAs=2,AS$2&lt;ExDivPct),ExDivTree!AS5+DivAmount*EXP(IntRate*(AS$2-ExDivPct)),ExDivTree!AS5))</f>
        <v>295.13865033629997</v>
      </c>
      <c r="AT5" s="17">
        <f>IF(AT$3="","",IF(AND(DivAs=2,AT$2&lt;ExDivPct),ExDivTree!AT5+DivAmount*EXP(IntRate*(AT$2-ExDivPct)),ExDivTree!AT5))</f>
        <v>304.07325292450003</v>
      </c>
      <c r="AU5" s="17">
        <f>IF(AU$3="","",IF(AND(DivAs=2,AU$2&lt;ExDivPct),ExDivTree!AU5+DivAmount*EXP(IntRate*(AU$2-ExDivPct)),ExDivTree!AU5))</f>
        <v>313.27832880829999</v>
      </c>
      <c r="AV5" s="17">
        <f>IF(AV$3="","",IF(AND(DivAs=2,AV$2&lt;ExDivPct),ExDivTree!AV5+DivAmount*EXP(IntRate*(AV$2-ExDivPct)),ExDivTree!AV5))</f>
        <v>322.76206590679999</v>
      </c>
      <c r="AW5" s="17">
        <f>IF(AW$3="","",IF(AND(DivAs=2,AW$2&lt;ExDivPct),ExDivTree!AW5+DivAmount*EXP(IntRate*(AW$2-ExDivPct)),ExDivTree!AW5))</f>
        <v>332.53290000850001</v>
      </c>
      <c r="AX5" s="17">
        <f>IF(AX$3="","",IF(AND(DivAs=2,AX$2&lt;ExDivPct),ExDivTree!AX5+DivAmount*EXP(IntRate*(AX$2-ExDivPct)),ExDivTree!AX5))</f>
        <v>342.59952227470001</v>
      </c>
      <c r="AY5" s="17">
        <f>IF(AY$3="","",IF(AND(DivAs=2,AY$2&lt;ExDivPct),ExDivTree!AY5+DivAmount*EXP(IntRate*(AY$2-ExDivPct)),ExDivTree!AY5))</f>
        <v>352.97088697039999</v>
      </c>
      <c r="AZ5" s="17">
        <f>IF(AZ$3="","",IF(AND(DivAs=2,AZ$2&lt;ExDivPct),ExDivTree!AZ5+DivAmount*EXP(IntRate*(AZ$2-ExDivPct)),ExDivTree!AZ5))</f>
        <v>363.65621942920001</v>
      </c>
      <c r="BA5" s="17">
        <f>IF(BA$3="","",IF(AND(DivAs=2,BA$2&lt;ExDivPct),ExDivTree!BA5+DivAmount*EXP(IntRate*(BA$2-ExDivPct)),ExDivTree!BA5))</f>
        <v>374.66502425919998</v>
      </c>
      <c r="BB5" s="17">
        <f>IF(BB$3="","",IF(AND(DivAs=2,BB$2&lt;ExDivPct),ExDivTree!BB5+DivAmount*EXP(IntRate*(BB$2-ExDivPct)),ExDivTree!BB5))</f>
        <v>386.00709379720001</v>
      </c>
      <c r="BC5" s="17">
        <f>IF(BC$3="","",IF(AND(DivAs=2,BC$2&lt;ExDivPct),ExDivTree!BC5+DivAmount*EXP(IntRate*(BC$2-ExDivPct)),ExDivTree!BC5))</f>
        <v>397.69251681920002</v>
      </c>
      <c r="BD5" s="17">
        <f>IF(BD$3="","",IF(AND(DivAs=2,BD$2&lt;ExDivPct),ExDivTree!BD5+DivAmount*EXP(IntRate*(BD$2-ExDivPct)),ExDivTree!BD5))</f>
        <v>409.73168751420002</v>
      </c>
      <c r="BE5" s="17">
        <f>IF(BE$3="","",IF(AND(DivAs=2,BE$2&lt;ExDivPct),ExDivTree!BE5+DivAmount*EXP(IntRate*(BE$2-ExDivPct)),ExDivTree!BE5))</f>
        <v>422.13531473</v>
      </c>
      <c r="BF5" s="17">
        <f>IF(BF$3="","",IF(AND(DivAs=2,BF$2&lt;ExDivPct),ExDivTree!BF5+DivAmount*EXP(IntRate*(BF$2-ExDivPct)),ExDivTree!BF5))</f>
        <v>434.91443149859998</v>
      </c>
      <c r="BG5" s="17">
        <f>IF(BG$3="","",IF(AND(DivAs=2,BG$2&lt;ExDivPct),ExDivTree!BG5+DivAmount*EXP(IntRate*(BG$2-ExDivPct)),ExDivTree!BG5))</f>
        <v>448.08040485010002</v>
      </c>
      <c r="BH5" s="17">
        <f>IF(BH$3="","",IF(AND(DivAs=2,BH$2&lt;ExDivPct),ExDivTree!BH5+DivAmount*EXP(IntRate*(BH$2-ExDivPct)),ExDivTree!BH5))</f>
        <v>461.64494592369999</v>
      </c>
      <c r="BI5" s="17">
        <f>IF(BI$3="","",IF(AND(DivAs=2,BI$2&lt;ExDivPct),ExDivTree!BI5+DivAmount*EXP(IntRate*(BI$2-ExDivPct)),ExDivTree!BI5))</f>
        <v>475.62012038490002</v>
      </c>
      <c r="BJ5" s="17">
        <f>IF(BJ$3="","",IF(AND(DivAs=2,BJ$2&lt;ExDivPct),ExDivTree!BJ5+DivAmount*EXP(IntRate*(BJ$2-ExDivPct)),ExDivTree!BJ5))</f>
        <v>490.0183591576</v>
      </c>
      <c r="BK5" s="17">
        <f>IF(BK$3="","",IF(AND(DivAs=2,BK$2&lt;ExDivPct),ExDivTree!BK5+DivAmount*EXP(IntRate*(BK$2-ExDivPct)),ExDivTree!BK5))</f>
        <v>504.85246948169998</v>
      </c>
      <c r="BL5" s="17">
        <f>IF(BL$3="","",IF(AND(DivAs=2,BL$2&lt;ExDivPct),ExDivTree!BL5+DivAmount*EXP(IntRate*(BL$2-ExDivPct)),ExDivTree!BL5))</f>
        <v>520.13564630509995</v>
      </c>
      <c r="BM5" s="17">
        <f>IF(BM$3="","",IF(AND(DivAs=2,BM$2&lt;ExDivPct),ExDivTree!BM5+DivAmount*EXP(IntRate*(BM$2-ExDivPct)),ExDivTree!BM5))</f>
        <v>535.88148402039997</v>
      </c>
      <c r="BN5" s="17">
        <f>IF(BN$3="","",IF(AND(DivAs=2,BN$2&lt;ExDivPct),ExDivTree!BN5+DivAmount*EXP(IntRate*(BN$2-ExDivPct)),ExDivTree!BN5))</f>
        <v>552.1039885573</v>
      </c>
      <c r="BO5" s="17">
        <f>IF(BO$3="","",IF(AND(DivAs=2,BO$2&lt;ExDivPct),ExDivTree!BO5+DivAmount*EXP(IntRate*(BO$2-ExDivPct)),ExDivTree!BO5))</f>
        <v>568.81758984099997</v>
      </c>
      <c r="BP5" s="17">
        <f>IF(BP$3="","",IF(AND(DivAs=2,BP$2&lt;ExDivPct),ExDivTree!BP5+DivAmount*EXP(IntRate*(BP$2-ExDivPct)),ExDivTree!BP5))</f>
        <v>586.03715462729997</v>
      </c>
      <c r="BQ5" s="17">
        <f>IF(BQ$3="","",IF(AND(DivAs=2,BQ$2&lt;ExDivPct),ExDivTree!BQ5+DivAmount*EXP(IntRate*(BQ$2-ExDivPct)),ExDivTree!BQ5))</f>
        <v>603.77799972690002</v>
      </c>
      <c r="BR5" s="17">
        <f>IF(BR$3="","",IF(AND(DivAs=2,BR$2&lt;ExDivPct),ExDivTree!BR5+DivAmount*EXP(IntRate*(BR$2-ExDivPct)),ExDivTree!BR5))</f>
        <v>622.05590562949999</v>
      </c>
      <c r="BS5" s="17">
        <f>IF(BS$3="","",IF(AND(DivAs=2,BS$2&lt;ExDivPct),ExDivTree!BS5+DivAmount*EXP(IntRate*(BS$2-ExDivPct)),ExDivTree!BS5))</f>
        <v>640.88713054059997</v>
      </c>
      <c r="BT5" s="17">
        <f>IF(BT$3="","",IF(AND(DivAs=2,BT$2&lt;ExDivPct),ExDivTree!BT5+DivAmount*EXP(IntRate*(BT$2-ExDivPct)),ExDivTree!BT5))</f>
        <v>660.28842484330005</v>
      </c>
      <c r="BU5" s="17">
        <f>IF(BU$3="","",IF(AND(DivAs=2,BU$2&lt;ExDivPct),ExDivTree!BU5+DivAmount*EXP(IntRate*(BU$2-ExDivPct)),ExDivTree!BU5))</f>
        <v>680.2770459976</v>
      </c>
      <c r="BV5" s="17">
        <f>IF(BV$3="","",IF(AND(DivAs=2,BV$2&lt;ExDivPct),ExDivTree!BV5+DivAmount*EXP(IntRate*(BV$2-ExDivPct)),ExDivTree!BV5))</f>
        <v>700.87077389110004</v>
      </c>
      <c r="BW5" s="17">
        <f>IF(BW$3="","",IF(AND(DivAs=2,BW$2&lt;ExDivPct),ExDivTree!BW5+DivAmount*EXP(IntRate*(BW$2-ExDivPct)),ExDivTree!BW5))</f>
        <v>722.08792665399994</v>
      </c>
      <c r="BX5" s="17">
        <f>IF(BX$3="","",IF(AND(DivAs=2,BX$2&lt;ExDivPct),ExDivTree!BX5+DivAmount*EXP(IntRate*(BX$2-ExDivPct)),ExDivTree!BX5))</f>
        <v>743.94737695319998</v>
      </c>
      <c r="BY5" s="17">
        <f>IF(BY$3="","",IF(AND(DivAs=2,BY$2&lt;ExDivPct),ExDivTree!BY5+DivAmount*EXP(IntRate*(BY$2-ExDivPct)),ExDivTree!BY5))</f>
        <v>766.46856877970004</v>
      </c>
      <c r="BZ5" s="17">
        <f>IF(BZ$3="","",IF(AND(DivAs=2,BZ$2&lt;ExDivPct),ExDivTree!BZ5+DivAmount*EXP(IntRate*(BZ$2-ExDivPct)),ExDivTree!BZ5))</f>
        <v>789.67153474370002</v>
      </c>
      <c r="CA5" s="17">
        <f>IF(CA$3="","",IF(AND(DivAs=2,CA$2&lt;ExDivPct),ExDivTree!CA5+DivAmount*EXP(IntRate*(CA$2-ExDivPct)),ExDivTree!CA5))</f>
        <v>813.57691389390004</v>
      </c>
      <c r="CB5" s="17">
        <f>IF(CB$3="","",IF(AND(DivAs=2,CB$2&lt;ExDivPct),ExDivTree!CB5+DivAmount*EXP(IntRate*(CB$2-ExDivPct)),ExDivTree!CB5))</f>
        <v>838.2059700758</v>
      </c>
      <c r="CC5" s="17">
        <f>IF(CC$3="","",IF(AND(DivAs=2,CC$2&lt;ExDivPct),ExDivTree!CC5+DivAmount*EXP(IntRate*(CC$2-ExDivPct)),ExDivTree!CC5))</f>
        <v>863.58061084600001</v>
      </c>
      <c r="CD5" s="17">
        <f>IF(CD$3="","",IF(AND(DivAs=2,CD$2&lt;ExDivPct),ExDivTree!CD5+DivAmount*EXP(IntRate*(CD$2-ExDivPct)),ExDivTree!CD5))</f>
        <v>889.72340695900004</v>
      </c>
      <c r="CE5" s="17">
        <f>IF(CE$3="","",IF(AND(DivAs=2,CE$2&lt;ExDivPct),ExDivTree!CE5+DivAmount*EXP(IntRate*(CE$2-ExDivPct)),ExDivTree!CE5))</f>
        <v>916.65761244359999</v>
      </c>
      <c r="CF5" s="17">
        <f>IF(CF$3="","",IF(AND(DivAs=2,CF$2&lt;ExDivPct),ExDivTree!CF5+DivAmount*EXP(IntRate*(CF$2-ExDivPct)),ExDivTree!CF5))</f>
        <v>944.40718528779996</v>
      </c>
      <c r="CG5" s="17">
        <f>IF(CG$3="","",IF(AND(DivAs=2,CG$2&lt;ExDivPct),ExDivTree!CG5+DivAmount*EXP(IntRate*(CG$2-ExDivPct)),ExDivTree!CG5))</f>
        <v>972.99680874909996</v>
      </c>
      <c r="CH5" s="17">
        <f>IF(CH$3="","",IF(AND(DivAs=2,CH$2&lt;ExDivPct),ExDivTree!CH5+DivAmount*EXP(IntRate*(CH$2-ExDivPct)),ExDivTree!CH5))</f>
        <v>1002.4519133105</v>
      </c>
      <c r="CI5" s="17">
        <f>IF(CI$3="","",IF(AND(DivAs=2,CI$2&lt;ExDivPct),ExDivTree!CI5+DivAmount*EXP(IntRate*(CI$2-ExDivPct)),ExDivTree!CI5))</f>
        <v>1032.7986993008001</v>
      </c>
      <c r="CJ5" s="17">
        <f>IF(CJ$3="","",IF(AND(DivAs=2,CJ$2&lt;ExDivPct),ExDivTree!CJ5+DivAmount*EXP(IntRate*(CJ$2-ExDivPct)),ExDivTree!CJ5))</f>
        <v>1064.0641601998</v>
      </c>
      <c r="CK5" s="17">
        <f>IF(CK$3="","",IF(AND(DivAs=2,CK$2&lt;ExDivPct),ExDivTree!CK5+DivAmount*EXP(IntRate*(CK$2-ExDivPct)),ExDivTree!CK5))</f>
        <v>1096.2761066491</v>
      </c>
      <c r="CL5" s="17">
        <f>IF(CL$3="","",IF(AND(DivAs=2,CL$2&lt;ExDivPct),ExDivTree!CL5+DivAmount*EXP(IntRate*(CL$2-ExDivPct)),ExDivTree!CL5))</f>
        <v>1129.4631911895999</v>
      </c>
      <c r="CM5" s="17">
        <f>IF(CM$3="","",IF(AND(DivAs=2,CM$2&lt;ExDivPct),ExDivTree!CM5+DivAmount*EXP(IntRate*(CM$2-ExDivPct)),ExDivTree!CM5))</f>
        <v>1163.6549337479</v>
      </c>
      <c r="CN5" s="17">
        <f>IF(CN$3="","",IF(AND(DivAs=2,CN$2&lt;ExDivPct),ExDivTree!CN5+DivAmount*EXP(IntRate*(CN$2-ExDivPct)),ExDivTree!CN5))</f>
        <v>1198.8817478944</v>
      </c>
      <c r="CO5" s="17">
        <f>IF(CO$3="","",IF(AND(DivAs=2,CO$2&lt;ExDivPct),ExDivTree!CO5+DivAmount*EXP(IntRate*(CO$2-ExDivPct)),ExDivTree!CO5))</f>
        <v>1235.1749678962999</v>
      </c>
      <c r="CP5" s="17">
        <f>IF(CP$3="","",IF(AND(DivAs=2,CP$2&lt;ExDivPct),ExDivTree!CP5+DivAmount*EXP(IntRate*(CP$2-ExDivPct)),ExDivTree!CP5))</f>
        <v>1272.566876589</v>
      </c>
      <c r="CQ5" s="17">
        <f>IF(CQ$3="","",IF(AND(DivAs=2,CQ$2&lt;ExDivPct),ExDivTree!CQ5+DivAmount*EXP(IntRate*(CQ$2-ExDivPct)),ExDivTree!CQ5))</f>
        <v>1311.0907340921999</v>
      </c>
      <c r="CR5" s="17">
        <f>IF(CR$3="","",IF(AND(DivAs=2,CR$2&lt;ExDivPct),ExDivTree!CR5+DivAmount*EXP(IntRate*(CR$2-ExDivPct)),ExDivTree!CR5))</f>
        <v>1350.7808073946001</v>
      </c>
      <c r="CS5" s="17">
        <f>IF(CS$3="","",IF(AND(DivAs=2,CS$2&lt;ExDivPct),ExDivTree!CS5+DivAmount*EXP(IntRate*(CS$2-ExDivPct)),ExDivTree!CS5))</f>
        <v>1391.6724008342001</v>
      </c>
      <c r="CT5" s="17">
        <f>IF(CT$3="","",IF(AND(DivAs=2,CT$2&lt;ExDivPct),ExDivTree!CT5+DivAmount*EXP(IntRate*(CT$2-ExDivPct)),ExDivTree!CT5))</f>
        <v>1433.8018875017999</v>
      </c>
      <c r="CU5" s="17">
        <f>IF(CU$3="","",IF(AND(DivAs=2,CU$2&lt;ExDivPct),ExDivTree!CU5+DivAmount*EXP(IntRate*(CU$2-ExDivPct)),ExDivTree!CU5))</f>
        <v>1477.2067415948</v>
      </c>
      <c r="CV5" s="17">
        <f>IF(CV$3="","",IF(AND(DivAs=2,CV$2&lt;ExDivPct),ExDivTree!CV5+DivAmount*EXP(IntRate*(CV$2-ExDivPct)),ExDivTree!CV5))</f>
        <v>1521.9255717506001</v>
      </c>
      <c r="CW5" s="17">
        <f>IF(CW$3="","",IF(AND(DivAs=2,CW$2&lt;ExDivPct),ExDivTree!CW5+DivAmount*EXP(IntRate*(CW$2-ExDivPct)),ExDivTree!CW5))</f>
        <v>1567.9981553886</v>
      </c>
      <c r="CX5" s="17">
        <f>IF(CX$3="","",IF(AND(DivAs=2,CX$2&lt;ExDivPct),ExDivTree!CX5+DivAmount*EXP(IntRate*(CX$2-ExDivPct)),ExDivTree!CX5))</f>
        <v>1615.4654740929</v>
      </c>
      <c r="CY5" s="17">
        <f>IF(CY$3="","",IF(AND(DivAs=2,CY$2&lt;ExDivPct),ExDivTree!CY5+DivAmount*EXP(IntRate*(CY$2-ExDivPct)),ExDivTree!CY5))</f>
        <v>1664.3697500648</v>
      </c>
      <c r="CZ5" s="17">
        <f>IF(CZ$3="","",IF(AND(DivAs=2,CZ$2&lt;ExDivPct),ExDivTree!CZ5+DivAmount*EXP(IntRate*(CZ$2-ExDivPct)),ExDivTree!CZ5))</f>
        <v>1714.7544836797999</v>
      </c>
      <c r="DA5" s="17">
        <f>IF(DA$3="","",IF(AND(DivAs=2,DA$2&lt;ExDivPct),ExDivTree!DA5+DivAmount*EXP(IntRate*(DA$2-ExDivPct)),ExDivTree!DA5))</f>
        <v>1766.6644921812001</v>
      </c>
      <c r="DB5" s="17">
        <f>IF(DB$3="","",IF(AND(DivAs=2,DB$2&lt;ExDivPct),ExDivTree!DB5+DivAmount*EXP(IntRate*(DB$2-ExDivPct)),ExDivTree!DB5))</f>
        <v>1820.1459495449001</v>
      </c>
    </row>
    <row r="6" spans="1:106" x14ac:dyDescent="0.2">
      <c r="A6">
        <f>ExDivTree!A6</f>
        <v>5050</v>
      </c>
      <c r="B6" s="71">
        <f>ExDivTree!B6</f>
        <v>1.9918737856830548E-27</v>
      </c>
      <c r="C6" s="71">
        <f>ExDivTree!C6</f>
        <v>2.5749188989956923E-27</v>
      </c>
      <c r="D6" s="177">
        <f>ExDivTree!D6</f>
        <v>2</v>
      </c>
      <c r="G6" s="17">
        <f>IF(G$3="","",IF(AND(DivAs=2,G$2&lt;ExDivPct),ExDivTree!G6+DivAmount*EXP(IntRate*(G$2-ExDivPct)),ExDivTree!G6))</f>
        <v>94.503898344366121</v>
      </c>
      <c r="H6" s="17">
        <f>IF(H$3="","",IF(AND(DivAs=2,H$2&lt;ExDivPct),ExDivTree!H6+DivAmount*EXP(IntRate*(H$2-ExDivPct)),ExDivTree!H6))</f>
        <v>97.216661807493466</v>
      </c>
      <c r="I6" s="17">
        <f>IF(I$3="","",IF(AND(DivAs=2,I$2&lt;ExDivPct),ExDivTree!I6+DivAmount*EXP(IntRate*(I$2-ExDivPct)),ExDivTree!I6))</f>
        <v>100.01146961085908</v>
      </c>
      <c r="J6" s="17">
        <f>IF(J$3="","",IF(AND(DivAs=2,J$2&lt;ExDivPct),ExDivTree!J6+DivAmount*EXP(IntRate*(J$2-ExDivPct)),ExDivTree!J6))</f>
        <v>102.89080540558894</v>
      </c>
      <c r="K6" s="17">
        <f>IF(K$3="","",IF(AND(DivAs=2,K$2&lt;ExDivPct),ExDivTree!K6+DivAmount*EXP(IntRate*(K$2-ExDivPct)),ExDivTree!K6))</f>
        <v>105.85722802940941</v>
      </c>
      <c r="L6" s="17">
        <f>IF(L$3="","",IF(AND(DivAs=2,L$2&lt;ExDivPct),ExDivTree!L6+DivAmount*EXP(IntRate*(L$2-ExDivPct)),ExDivTree!L6))</f>
        <v>108.91337378244724</v>
      </c>
      <c r="M6" s="17">
        <f>IF(M$3="","",IF(AND(DivAs=2,M$2&lt;ExDivPct),ExDivTree!M6+DivAmount*EXP(IntRate*(M$2-ExDivPct)),ExDivTree!M6))</f>
        <v>112.06195877252955</v>
      </c>
      <c r="N6" s="17">
        <f>IF(N$3="","",IF(AND(DivAs=2,N$2&lt;ExDivPct),ExDivTree!N6+DivAmount*EXP(IntRate*(N$2-ExDivPct)),ExDivTree!N6))</f>
        <v>115.30578133088389</v>
      </c>
      <c r="O6" s="17">
        <f>IF(O$3="","",IF(AND(DivAs=2,O$2&lt;ExDivPct),ExDivTree!O6+DivAmount*EXP(IntRate*(O$2-ExDivPct)),ExDivTree!O6))</f>
        <v>113.64755197709999</v>
      </c>
      <c r="P6" s="17">
        <f>IF(P$3="","",IF(AND(DivAs=2,P$2&lt;ExDivPct),ExDivTree!P6+DivAmount*EXP(IntRate*(P$2-ExDivPct)),ExDivTree!P6))</f>
        <v>117.08795434690001</v>
      </c>
      <c r="Q6" s="17">
        <f>IF(Q$3="","",IF(AND(DivAs=2,Q$2&lt;ExDivPct),ExDivTree!Q6+DivAmount*EXP(IntRate*(Q$2-ExDivPct)),ExDivTree!Q6))</f>
        <v>120.63250650489999</v>
      </c>
      <c r="R6" s="17">
        <f>IF(R$3="","",IF(AND(DivAs=2,R$2&lt;ExDivPct),ExDivTree!R6+DivAmount*EXP(IntRate*(R$2-ExDivPct)),ExDivTree!R6))</f>
        <v>124.2843613318</v>
      </c>
      <c r="S6" s="17">
        <f>IF(S$3="","",IF(AND(DivAs=2,S$2&lt;ExDivPct),ExDivTree!S6+DivAmount*EXP(IntRate*(S$2-ExDivPct)),ExDivTree!S6))</f>
        <v>128.04676715420001</v>
      </c>
      <c r="T6" s="17">
        <f>IF(T$3="","",IF(AND(DivAs=2,T$2&lt;ExDivPct),ExDivTree!T6+DivAmount*EXP(IntRate*(T$2-ExDivPct)),ExDivTree!T6))</f>
        <v>131.92307063370001</v>
      </c>
      <c r="U6" s="17">
        <f>IF(U$3="","",IF(AND(DivAs=2,U$2&lt;ExDivPct),ExDivTree!U6+DivAmount*EXP(IntRate*(U$2-ExDivPct)),ExDivTree!U6))</f>
        <v>135.91671974400001</v>
      </c>
      <c r="V6" s="17">
        <f>IF(V$3="","",IF(AND(DivAs=2,V$2&lt;ExDivPct),ExDivTree!V6+DivAmount*EXP(IntRate*(V$2-ExDivPct)),ExDivTree!V6))</f>
        <v>140.03126683779999</v>
      </c>
      <c r="W6" s="17">
        <f>IF(W$3="","",IF(AND(DivAs=2,W$2&lt;ExDivPct),ExDivTree!W6+DivAmount*EXP(IntRate*(W$2-ExDivPct)),ExDivTree!W6))</f>
        <v>144.2703718066</v>
      </c>
      <c r="X6" s="17">
        <f>IF(X$3="","",IF(AND(DivAs=2,X$2&lt;ExDivPct),ExDivTree!X6+DivAmount*EXP(IntRate*(X$2-ExDivPct)),ExDivTree!X6))</f>
        <v>148.63780533619999</v>
      </c>
      <c r="Y6" s="17">
        <f>IF(Y$3="","",IF(AND(DivAs=2,Y$2&lt;ExDivPct),ExDivTree!Y6+DivAmount*EXP(IntRate*(Y$2-ExDivPct)),ExDivTree!Y6))</f>
        <v>153.13745226060001</v>
      </c>
      <c r="Z6" s="17">
        <f>IF(Z$3="","",IF(AND(DivAs=2,Z$2&lt;ExDivPct),ExDivTree!Z6+DivAmount*EXP(IntRate*(Z$2-ExDivPct)),ExDivTree!Z6))</f>
        <v>157.77331501789999</v>
      </c>
      <c r="AA6" s="17">
        <f>IF(AA$3="","",IF(AND(DivAs=2,AA$2&lt;ExDivPct),ExDivTree!AA6+DivAmount*EXP(IntRate*(AA$2-ExDivPct)),ExDivTree!AA6))</f>
        <v>162.54951721</v>
      </c>
      <c r="AB6" s="17">
        <f>IF(AB$3="","",IF(AND(DivAs=2,AB$2&lt;ExDivPct),ExDivTree!AB6+DivAmount*EXP(IntRate*(AB$2-ExDivPct)),ExDivTree!AB6))</f>
        <v>167.470307271</v>
      </c>
      <c r="AC6" s="17">
        <f>IF(AC$3="","",IF(AND(DivAs=2,AC$2&lt;ExDivPct),ExDivTree!AC6+DivAmount*EXP(IntRate*(AC$2-ExDivPct)),ExDivTree!AC6))</f>
        <v>172.54006224579999</v>
      </c>
      <c r="AD6" s="17">
        <f>IF(AD$3="","",IF(AND(DivAs=2,AD$2&lt;ExDivPct),ExDivTree!AD6+DivAmount*EXP(IntRate*(AD$2-ExDivPct)),ExDivTree!AD6))</f>
        <v>177.7632916837</v>
      </c>
      <c r="AE6" s="17">
        <f>IF(AE$3="","",IF(AND(DivAs=2,AE$2&lt;ExDivPct),ExDivTree!AE6+DivAmount*EXP(IntRate*(AE$2-ExDivPct)),ExDivTree!AE6))</f>
        <v>183.14464164980001</v>
      </c>
      <c r="AF6" s="17">
        <f>IF(AF$3="","",IF(AND(DivAs=2,AF$2&lt;ExDivPct),ExDivTree!AF6+DivAmount*EXP(IntRate*(AF$2-ExDivPct)),ExDivTree!AF6))</f>
        <v>188.6888988572</v>
      </c>
      <c r="AG6" s="17">
        <f>IF(AG$3="","",IF(AND(DivAs=2,AG$2&lt;ExDivPct),ExDivTree!AG6+DivAmount*EXP(IntRate*(AG$2-ExDivPct)),ExDivTree!AG6))</f>
        <v>194.4009949252</v>
      </c>
      <c r="AH6" s="17">
        <f>IF(AH$3="","",IF(AND(DivAs=2,AH$2&lt;ExDivPct),ExDivTree!AH6+DivAmount*EXP(IntRate*(AH$2-ExDivPct)),ExDivTree!AH6))</f>
        <v>200.2860107658</v>
      </c>
      <c r="AI6" s="17">
        <f>IF(AI$3="","",IF(AND(DivAs=2,AI$2&lt;ExDivPct),ExDivTree!AI6+DivAmount*EXP(IntRate*(AI$2-ExDivPct)),ExDivTree!AI6))</f>
        <v>206.3491811033</v>
      </c>
      <c r="AJ6" s="17">
        <f>IF(AJ$3="","",IF(AND(DivAs=2,AJ$2&lt;ExDivPct),ExDivTree!AJ6+DivAmount*EXP(IntRate*(AJ$2-ExDivPct)),ExDivTree!AJ6))</f>
        <v>212.5958991304</v>
      </c>
      <c r="AK6" s="17">
        <f>IF(AK$3="","",IF(AND(DivAs=2,AK$2&lt;ExDivPct),ExDivTree!AK6+DivAmount*EXP(IntRate*(AK$2-ExDivPct)),ExDivTree!AK6))</f>
        <v>219.03172130569999</v>
      </c>
      <c r="AL6" s="17">
        <f>IF(AL$3="","",IF(AND(DivAs=2,AL$2&lt;ExDivPct),ExDivTree!AL6+DivAmount*EXP(IntRate*(AL$2-ExDivPct)),ExDivTree!AL6))</f>
        <v>225.6623722958</v>
      </c>
      <c r="AM6" s="17">
        <f>IF(AM$3="","",IF(AND(DivAs=2,AM$2&lt;ExDivPct),ExDivTree!AM6+DivAmount*EXP(IntRate*(AM$2-ExDivPct)),ExDivTree!AM6))</f>
        <v>232.49375006779999</v>
      </c>
      <c r="AN6" s="17">
        <f>IF(AN$3="","",IF(AND(DivAs=2,AN$2&lt;ExDivPct),ExDivTree!AN6+DivAmount*EXP(IntRate*(AN$2-ExDivPct)),ExDivTree!AN6))</f>
        <v>239.53193113539999</v>
      </c>
      <c r="AO6" s="17">
        <f>IF(AO$3="","",IF(AND(DivAs=2,AO$2&lt;ExDivPct),ExDivTree!AO6+DivAmount*EXP(IntRate*(AO$2-ExDivPct)),ExDivTree!AO6))</f>
        <v>246.78317596369999</v>
      </c>
      <c r="AP6" s="17">
        <f>IF(AP$3="","",IF(AND(DivAs=2,AP$2&lt;ExDivPct),ExDivTree!AP6+DivAmount*EXP(IntRate*(AP$2-ExDivPct)),ExDivTree!AP6))</f>
        <v>254.2539345383</v>
      </c>
      <c r="AQ6" s="17">
        <f>IF(AQ$3="","",IF(AND(DivAs=2,AQ$2&lt;ExDivPct),ExDivTree!AQ6+DivAmount*EXP(IntRate*(AQ$2-ExDivPct)),ExDivTree!AQ6))</f>
        <v>261.95085210230002</v>
      </c>
      <c r="AR6" s="17">
        <f>IF(AR$3="","",IF(AND(DivAs=2,AR$2&lt;ExDivPct),ExDivTree!AR6+DivAmount*EXP(IntRate*(AR$2-ExDivPct)),ExDivTree!AR6))</f>
        <v>269.88077506740001</v>
      </c>
      <c r="AS6" s="17">
        <f>IF(AS$3="","",IF(AND(DivAs=2,AS$2&lt;ExDivPct),ExDivTree!AS6+DivAmount*EXP(IntRate*(AS$2-ExDivPct)),ExDivTree!AS6))</f>
        <v>278.05075710360001</v>
      </c>
      <c r="AT6" s="17">
        <f>IF(AT$3="","",IF(AND(DivAs=2,AT$2&lt;ExDivPct),ExDivTree!AT6+DivAmount*EXP(IntRate*(AT$2-ExDivPct)),ExDivTree!AT6))</f>
        <v>286.46806541360002</v>
      </c>
      <c r="AU6" s="17">
        <f>IF(AU$3="","",IF(AND(DivAs=2,AU$2&lt;ExDivPct),ExDivTree!AU6+DivAmount*EXP(IntRate*(AU$2-ExDivPct)),ExDivTree!AU6))</f>
        <v>295.1401871969</v>
      </c>
      <c r="AV6" s="17">
        <f>IF(AV$3="","",IF(AND(DivAs=2,AV$2&lt;ExDivPct),ExDivTree!AV6+DivAmount*EXP(IntRate*(AV$2-ExDivPct)),ExDivTree!AV6))</f>
        <v>304.07483630979999</v>
      </c>
      <c r="AW6" s="17">
        <f>IF(AW$3="","",IF(AND(DivAs=2,AW$2&lt;ExDivPct),ExDivTree!AW6+DivAmount*EXP(IntRate*(AW$2-ExDivPct)),ExDivTree!AW6))</f>
        <v>313.27996012670002</v>
      </c>
      <c r="AX6" s="17">
        <f>IF(AX$3="","",IF(AND(DivAs=2,AX$2&lt;ExDivPct),ExDivTree!AX6+DivAmount*EXP(IntRate*(AX$2-ExDivPct)),ExDivTree!AX6))</f>
        <v>322.76374660940002</v>
      </c>
      <c r="AY6" s="17">
        <f>IF(AY$3="","",IF(AND(DivAs=2,AY$2&lt;ExDivPct),ExDivTree!AY6+DivAmount*EXP(IntRate*(AY$2-ExDivPct)),ExDivTree!AY6))</f>
        <v>332.53463159019998</v>
      </c>
      <c r="AZ6" s="17">
        <f>IF(AZ$3="","",IF(AND(DivAs=2,AZ$2&lt;ExDivPct),ExDivTree!AZ6+DivAmount*EXP(IntRate*(AZ$2-ExDivPct)),ExDivTree!AZ6))</f>
        <v>342.60130627580003</v>
      </c>
      <c r="BA6" s="17">
        <f>IF(BA$3="","",IF(AND(DivAs=2,BA$2&lt;ExDivPct),ExDivTree!BA6+DivAmount*EXP(IntRate*(BA$2-ExDivPct)),ExDivTree!BA6))</f>
        <v>352.9727249778</v>
      </c>
      <c r="BB6" s="17">
        <f>IF(BB$3="","",IF(AND(DivAs=2,BB$2&lt;ExDivPct),ExDivTree!BB6+DivAmount*EXP(IntRate*(BB$2-ExDivPct)),ExDivTree!BB6))</f>
        <v>363.65811307780001</v>
      </c>
      <c r="BC6" s="17">
        <f>IF(BC$3="","",IF(AND(DivAs=2,BC$2&lt;ExDivPct),ExDivTree!BC6+DivAmount*EXP(IntRate*(BC$2-ExDivPct)),ExDivTree!BC6))</f>
        <v>374.66697523340002</v>
      </c>
      <c r="BD6" s="17">
        <f>IF(BD$3="","",IF(AND(DivAs=2,BD$2&lt;ExDivPct),ExDivTree!BD6+DivAmount*EXP(IntRate*(BD$2-ExDivPct)),ExDivTree!BD6))</f>
        <v>386.0091038324</v>
      </c>
      <c r="BE6" s="17">
        <f>IF(BE$3="","",IF(AND(DivAs=2,BE$2&lt;ExDivPct),ExDivTree!BE6+DivAmount*EXP(IntRate*(BE$2-ExDivPct)),ExDivTree!BE6))</f>
        <v>397.69458770329999</v>
      </c>
      <c r="BF6" s="17">
        <f>IF(BF$3="","",IF(AND(DivAs=2,BF$2&lt;ExDivPct),ExDivTree!BF6+DivAmount*EXP(IntRate*(BF$2-ExDivPct)),ExDivTree!BF6))</f>
        <v>409.73382108930002</v>
      </c>
      <c r="BG6" s="17">
        <f>IF(BG$3="","",IF(AND(DivAs=2,BG$2&lt;ExDivPct),ExDivTree!BG6+DivAmount*EXP(IntRate*(BG$2-ExDivPct)),ExDivTree!BG6))</f>
        <v>422.13751289390001</v>
      </c>
      <c r="BH6" s="17">
        <f>IF(BH$3="","",IF(AND(DivAs=2,BH$2&lt;ExDivPct),ExDivTree!BH6+DivAmount*EXP(IntRate*(BH$2-ExDivPct)),ExDivTree!BH6))</f>
        <v>434.91669620649998</v>
      </c>
      <c r="BI6" s="17">
        <f>IF(BI$3="","",IF(AND(DivAs=2,BI$2&lt;ExDivPct),ExDivTree!BI6+DivAmount*EXP(IntRate*(BI$2-ExDivPct)),ExDivTree!BI6))</f>
        <v>448.08273811650002</v>
      </c>
      <c r="BJ6" s="17">
        <f>IF(BJ$3="","",IF(AND(DivAs=2,BJ$2&lt;ExDivPct),ExDivTree!BJ6+DivAmount*EXP(IntRate*(BJ$2-ExDivPct)),ExDivTree!BJ6))</f>
        <v>461.64734982409999</v>
      </c>
      <c r="BK6" s="17">
        <f>IF(BK$3="","",IF(AND(DivAs=2,BK$2&lt;ExDivPct),ExDivTree!BK6+DivAmount*EXP(IntRate*(BK$2-ExDivPct)),ExDivTree!BK6))</f>
        <v>475.6225970575</v>
      </c>
      <c r="BL6" s="17">
        <f>IF(BL$3="","",IF(AND(DivAs=2,BL$2&lt;ExDivPct),ExDivTree!BL6+DivAmount*EXP(IntRate*(BL$2-ExDivPct)),ExDivTree!BL6))</f>
        <v>490.02091080539998</v>
      </c>
      <c r="BM6" s="17">
        <f>IF(BM$3="","",IF(AND(DivAs=2,BM$2&lt;ExDivPct),ExDivTree!BM6+DivAmount*EXP(IntRate*(BM$2-ExDivPct)),ExDivTree!BM6))</f>
        <v>504.85509837439997</v>
      </c>
      <c r="BN6" s="17">
        <f>IF(BN$3="","",IF(AND(DivAs=2,BN$2&lt;ExDivPct),ExDivTree!BN6+DivAmount*EXP(IntRate*(BN$2-ExDivPct)),ExDivTree!BN6))</f>
        <v>520.13835478110002</v>
      </c>
      <c r="BO6" s="17">
        <f>IF(BO$3="","",IF(AND(DivAs=2,BO$2&lt;ExDivPct),ExDivTree!BO6+DivAmount*EXP(IntRate*(BO$2-ExDivPct)),ExDivTree!BO6))</f>
        <v>535.88427448890002</v>
      </c>
      <c r="BP6" s="17">
        <f>IF(BP$3="","",IF(AND(DivAs=2,BP$2&lt;ExDivPct),ExDivTree!BP6+DivAmount*EXP(IntRate*(BP$2-ExDivPct)),ExDivTree!BP6))</f>
        <v>552.10686350050003</v>
      </c>
      <c r="BQ6" s="17">
        <f>IF(BQ$3="","",IF(AND(DivAs=2,BQ$2&lt;ExDivPct),ExDivTree!BQ6+DivAmount*EXP(IntRate*(BQ$2-ExDivPct)),ExDivTree!BQ6))</f>
        <v>568.82055181609996</v>
      </c>
      <c r="BR6" s="17">
        <f>IF(BR$3="","",IF(AND(DivAs=2,BR$2&lt;ExDivPct),ExDivTree!BR6+DivAmount*EXP(IntRate*(BR$2-ExDivPct)),ExDivTree!BR6))</f>
        <v>586.04020626900001</v>
      </c>
      <c r="BS6" s="17">
        <f>IF(BS$3="","",IF(AND(DivAs=2,BS$2&lt;ExDivPct),ExDivTree!BS6+DivAmount*EXP(IntRate*(BS$2-ExDivPct)),ExDivTree!BS6))</f>
        <v>603.78114374960001</v>
      </c>
      <c r="BT6" s="17">
        <f>IF(BT$3="","",IF(AND(DivAs=2,BT$2&lt;ExDivPct),ExDivTree!BT6+DivAmount*EXP(IntRate*(BT$2-ExDivPct)),ExDivTree!BT6))</f>
        <v>622.05914482979995</v>
      </c>
      <c r="BU6" s="17">
        <f>IF(BU$3="","",IF(AND(DivAs=2,BU$2&lt;ExDivPct),ExDivTree!BU6+DivAmount*EXP(IntRate*(BU$2-ExDivPct)),ExDivTree!BU6))</f>
        <v>640.89046779980004</v>
      </c>
      <c r="BV6" s="17">
        <f>IF(BV$3="","",IF(AND(DivAs=2,BV$2&lt;ExDivPct),ExDivTree!BV6+DivAmount*EXP(IntRate*(BV$2-ExDivPct)),ExDivTree!BV6))</f>
        <v>660.29186312989998</v>
      </c>
      <c r="BW6" s="17">
        <f>IF(BW$3="","",IF(AND(DivAs=2,BW$2&lt;ExDivPct),ExDivTree!BW6+DivAmount*EXP(IntRate*(BW$2-ExDivPct)),ExDivTree!BW6))</f>
        <v>680.28058837000003</v>
      </c>
      <c r="BX6" s="17">
        <f>IF(BX$3="","",IF(AND(DivAs=2,BX$2&lt;ExDivPct),ExDivTree!BX6+DivAmount*EXP(IntRate*(BX$2-ExDivPct)),ExDivTree!BX6))</f>
        <v>700.87442350020001</v>
      </c>
      <c r="BY6" s="17">
        <f>IF(BY$3="","",IF(AND(DivAs=2,BY$2&lt;ExDivPct),ExDivTree!BY6+DivAmount*EXP(IntRate*(BY$2-ExDivPct)),ExDivTree!BY6))</f>
        <v>722.09168674609998</v>
      </c>
      <c r="BZ6" s="17">
        <f>IF(BZ$3="","",IF(AND(DivAs=2,BZ$2&lt;ExDivPct),ExDivTree!BZ6+DivAmount*EXP(IntRate*(BZ$2-ExDivPct)),ExDivTree!BZ6))</f>
        <v>743.9512508729</v>
      </c>
      <c r="CA6" s="17">
        <f>IF(CA$3="","",IF(AND(DivAs=2,CA$2&lt;ExDivPct),ExDivTree!CA6+DivAmount*EXP(IntRate*(CA$2-ExDivPct)),ExDivTree!CA6))</f>
        <v>766.47255997280001</v>
      </c>
      <c r="CB6" s="17">
        <f>IF(CB$3="","",IF(AND(DivAs=2,CB$2&lt;ExDivPct),ExDivTree!CB6+DivAmount*EXP(IntRate*(CB$2-ExDivPct)),ExDivTree!CB6))</f>
        <v>789.67564676040001</v>
      </c>
      <c r="CC6" s="17">
        <f>IF(CC$3="","",IF(AND(DivAs=2,CC$2&lt;ExDivPct),ExDivTree!CC6+DivAmount*EXP(IntRate*(CC$2-ExDivPct)),ExDivTree!CC6))</f>
        <v>813.5811503919</v>
      </c>
      <c r="CD6" s="17">
        <f>IF(CD$3="","",IF(AND(DivAs=2,CD$2&lt;ExDivPct),ExDivTree!CD6+DivAmount*EXP(IntRate*(CD$2-ExDivPct)),ExDivTree!CD6))</f>
        <v>838.21033482350003</v>
      </c>
      <c r="CE6" s="17">
        <f>IF(CE$3="","",IF(AND(DivAs=2,CE$2&lt;ExDivPct),ExDivTree!CE6+DivAmount*EXP(IntRate*(CE$2-ExDivPct)),ExDivTree!CE6))</f>
        <v>863.58510772579996</v>
      </c>
      <c r="CF6" s="17">
        <f>IF(CF$3="","",IF(AND(DivAs=2,CF$2&lt;ExDivPct),ExDivTree!CF6+DivAmount*EXP(IntRate*(CF$2-ExDivPct)),ExDivTree!CF6))</f>
        <v>889.72803997079995</v>
      </c>
      <c r="CG6" s="17">
        <f>IF(CG$3="","",IF(AND(DivAs=2,CG$2&lt;ExDivPct),ExDivTree!CG6+DivAmount*EXP(IntRate*(CG$2-ExDivPct)),ExDivTree!CG6))</f>
        <v>916.66238570860003</v>
      </c>
      <c r="CH6" s="17">
        <f>IF(CH$3="","",IF(AND(DivAs=2,CH$2&lt;ExDivPct),ExDivTree!CH6+DivAmount*EXP(IntRate*(CH$2-ExDivPct)),ExDivTree!CH6))</f>
        <v>944.41210305180005</v>
      </c>
      <c r="CI6" s="17">
        <f>IF(CI$3="","",IF(AND(DivAs=2,CI$2&lt;ExDivPct),ExDivTree!CI6+DivAmount*EXP(IntRate*(CI$2-ExDivPct)),ExDivTree!CI6))</f>
        <v>973.0018753864</v>
      </c>
      <c r="CJ6" s="17">
        <f>IF(CJ$3="","",IF(AND(DivAs=2,CJ$2&lt;ExDivPct),ExDivTree!CJ6+DivAmount*EXP(IntRate*(CJ$2-ExDivPct)),ExDivTree!CJ6))</f>
        <v>1002.4571333279</v>
      </c>
      <c r="CK6" s="17">
        <f>IF(CK$3="","",IF(AND(DivAs=2,CK$2&lt;ExDivPct),ExDivTree!CK6+DivAmount*EXP(IntRate*(CK$2-ExDivPct)),ExDivTree!CK6))</f>
        <v>1032.8040773415</v>
      </c>
      <c r="CL6" s="17">
        <f>IF(CL$3="","",IF(AND(DivAs=2,CL$2&lt;ExDivPct),ExDivTree!CL6+DivAmount*EXP(IntRate*(CL$2-ExDivPct)),ExDivTree!CL6))</f>
        <v>1064.0697010475999</v>
      </c>
      <c r="CM6" s="17">
        <f>IF(CM$3="","",IF(AND(DivAs=2,CM$2&lt;ExDivPct),ExDivTree!CM6+DivAmount*EXP(IntRate*(CM$2-ExDivPct)),ExDivTree!CM6))</f>
        <v>1096.2818152325999</v>
      </c>
      <c r="CN6" s="17">
        <f>IF(CN$3="","",IF(AND(DivAs=2,CN$2&lt;ExDivPct),ExDivTree!CN6+DivAmount*EXP(IntRate*(CN$2-ExDivPct)),ExDivTree!CN6))</f>
        <v>1129.4690725865</v>
      </c>
      <c r="CO6" s="17">
        <f>IF(CO$3="","",IF(AND(DivAs=2,CO$2&lt;ExDivPct),ExDivTree!CO6+DivAmount*EXP(IntRate*(CO$2-ExDivPct)),ExDivTree!CO6))</f>
        <v>1163.6609931897001</v>
      </c>
      <c r="CP6" s="17">
        <f>IF(CP$3="","",IF(AND(DivAs=2,CP$2&lt;ExDivPct),ExDivTree!CP6+DivAmount*EXP(IntRate*(CP$2-ExDivPct)),ExDivTree!CP6))</f>
        <v>1198.8879907711</v>
      </c>
      <c r="CQ6" s="17">
        <f>IF(CQ$3="","",IF(AND(DivAs=2,CQ$2&lt;ExDivPct),ExDivTree!CQ6+DivAmount*EXP(IntRate*(CQ$2-ExDivPct)),ExDivTree!CQ6))</f>
        <v>1235.1813997608001</v>
      </c>
      <c r="CR6" s="17">
        <f>IF(CR$3="","",IF(AND(DivAs=2,CR$2&lt;ExDivPct),ExDivTree!CR6+DivAmount*EXP(IntRate*(CR$2-ExDivPct)),ExDivTree!CR6))</f>
        <v>1272.5735031624999</v>
      </c>
      <c r="CS6" s="17">
        <f>IF(CS$3="","",IF(AND(DivAs=2,CS$2&lt;ExDivPct),ExDivTree!CS6+DivAmount*EXP(IntRate*(CS$2-ExDivPct)),ExDivTree!CS6))</f>
        <v>1311.0975612691</v>
      </c>
      <c r="CT6" s="17">
        <f>IF(CT$3="","",IF(AND(DivAs=2,CT$2&lt;ExDivPct),ExDivTree!CT6+DivAmount*EXP(IntRate*(CT$2-ExDivPct)),ExDivTree!CT6))</f>
        <v>1350.7878412476</v>
      </c>
      <c r="CU6" s="17">
        <f>IF(CU$3="","",IF(AND(DivAs=2,CU$2&lt;ExDivPct),ExDivTree!CU6+DivAmount*EXP(IntRate*(CU$2-ExDivPct)),ExDivTree!CU6))</f>
        <v>1391.6796476198999</v>
      </c>
      <c r="CV6" s="17">
        <f>IF(CV$3="","",IF(AND(DivAs=2,CV$2&lt;ExDivPct),ExDivTree!CV6+DivAmount*EXP(IntRate*(CV$2-ExDivPct)),ExDivTree!CV6))</f>
        <v>1433.8093536663</v>
      </c>
      <c r="CW6" s="17">
        <f>IF(CW$3="","",IF(AND(DivAs=2,CW$2&lt;ExDivPct),ExDivTree!CW6+DivAmount*EXP(IntRate*(CW$2-ExDivPct)),ExDivTree!CW6))</f>
        <v>1477.2144337793</v>
      </c>
      <c r="CX6" s="17">
        <f>IF(CX$3="","",IF(AND(DivAs=2,CX$2&lt;ExDivPct),ExDivTree!CX6+DivAmount*EXP(IntRate*(CX$2-ExDivPct)),ExDivTree!CX6))</f>
        <v>1521.9334967972</v>
      </c>
      <c r="CY6" s="17">
        <f>IF(CY$3="","",IF(AND(DivAs=2,CY$2&lt;ExDivPct),ExDivTree!CY6+DivAmount*EXP(IntRate*(CY$2-ExDivPct)),ExDivTree!CY6))</f>
        <v>1568.0063203467</v>
      </c>
      <c r="CZ6" s="17">
        <f>IF(CZ$3="","",IF(AND(DivAs=2,CZ$2&lt;ExDivPct),ExDivTree!CZ6+DivAmount*EXP(IntRate*(CZ$2-ExDivPct)),ExDivTree!CZ6))</f>
        <v>1615.4738862250999</v>
      </c>
      <c r="DA6" s="17">
        <f>IF(DA$3="","",IF(AND(DivAs=2,DA$2&lt;ExDivPct),ExDivTree!DA6+DivAmount*EXP(IntRate*(DA$2-ExDivPct)),ExDivTree!DA6))</f>
        <v>1664.3784168536999</v>
      </c>
      <c r="DB6" s="17">
        <f>IF(DB$3="","",IF(AND(DivAs=2,DB$2&lt;ExDivPct),ExDivTree!DB6+DivAmount*EXP(IntRate*(DB$2-ExDivPct)),ExDivTree!DB6))</f>
        <v>1714.7634128346001</v>
      </c>
    </row>
    <row r="7" spans="1:106" x14ac:dyDescent="0.2">
      <c r="A7">
        <f>ExDivTree!A7</f>
        <v>166650.00000000003</v>
      </c>
      <c r="B7" s="71">
        <f>ExDivTree!B7</f>
        <v>6.573183492754082E-26</v>
      </c>
      <c r="C7" s="71">
        <f>ExDivTree!C7</f>
        <v>8.4523079760750282E-26</v>
      </c>
      <c r="D7" s="177">
        <f>ExDivTree!D7</f>
        <v>3</v>
      </c>
      <c r="H7" s="17">
        <f>IF(H$3="","",IF(AND(DivAs=2,H$2&lt;ExDivPct),ExDivTree!H7+DivAmount*EXP(IntRate*(H$2-ExDivPct)),ExDivTree!H7))</f>
        <v>91.876461006293468</v>
      </c>
      <c r="I7" s="17">
        <f>IF(I$3="","",IF(AND(DivAs=2,I$2&lt;ExDivPct),ExDivTree!I7+DivAmount*EXP(IntRate*(I$2-ExDivPct)),ExDivTree!I7))</f>
        <v>94.509607258859077</v>
      </c>
      <c r="J7" s="17">
        <f>IF(J$3="","",IF(AND(DivAs=2,J$2&lt;ExDivPct),ExDivTree!J7+DivAmount*EXP(IntRate*(J$2-ExDivPct)),ExDivTree!J7))</f>
        <v>97.222387593788937</v>
      </c>
      <c r="K7" s="17">
        <f>IF(K$3="","",IF(AND(DivAs=2,K$2&lt;ExDivPct),ExDivTree!K7+DivAmount*EXP(IntRate*(K$2-ExDivPct)),ExDivTree!K7))</f>
        <v>100.01721269760941</v>
      </c>
      <c r="L7" s="17">
        <f>IF(L$3="","",IF(AND(DivAs=2,L$2&lt;ExDivPct),ExDivTree!L7+DivAmount*EXP(IntRate*(L$2-ExDivPct)),ExDivTree!L7))</f>
        <v>102.89656623444723</v>
      </c>
      <c r="M7" s="17">
        <f>IF(M$3="","",IF(AND(DivAs=2,M$2&lt;ExDivPct),ExDivTree!M7+DivAmount*EXP(IntRate*(M$2-ExDivPct)),ExDivTree!M7))</f>
        <v>105.86300705522955</v>
      </c>
      <c r="N7" s="17">
        <f>IF(N$3="","",IF(AND(DivAs=2,N$2&lt;ExDivPct),ExDivTree!N7+DivAmount*EXP(IntRate*(N$2-ExDivPct)),ExDivTree!N7))</f>
        <v>108.91917147398389</v>
      </c>
      <c r="O7" s="17">
        <f>IF(O$3="","",IF(AND(DivAs=2,O$2&lt;ExDivPct),ExDivTree!O7+DivAmount*EXP(IntRate*(O$2-ExDivPct)),ExDivTree!O7))</f>
        <v>107.0676030882</v>
      </c>
      <c r="P7" s="17">
        <f>IF(P$3="","",IF(AND(DivAs=2,P$2&lt;ExDivPct),ExDivTree!P7+DivAmount*EXP(IntRate*(P$2-ExDivPct)),ExDivTree!P7))</f>
        <v>110.30881355850001</v>
      </c>
      <c r="Q7" s="17">
        <f>IF(Q$3="","",IF(AND(DivAs=2,Q$2&lt;ExDivPct),ExDivTree!Q7+DivAmount*EXP(IntRate*(Q$2-ExDivPct)),ExDivTree!Q7))</f>
        <v>113.6481437682</v>
      </c>
      <c r="R7" s="17">
        <f>IF(R$3="","",IF(AND(DivAs=2,R$2&lt;ExDivPct),ExDivTree!R7+DivAmount*EXP(IntRate*(R$2-ExDivPct)),ExDivTree!R7))</f>
        <v>117.088564053</v>
      </c>
      <c r="S7" s="17">
        <f>IF(S$3="","",IF(AND(DivAs=2,S$2&lt;ExDivPct),ExDivTree!S7+DivAmount*EXP(IntRate*(S$2-ExDivPct)),ExDivTree!S7))</f>
        <v>120.6331346684</v>
      </c>
      <c r="T7" s="17">
        <f>IF(T$3="","",IF(AND(DivAs=2,T$2&lt;ExDivPct),ExDivTree!T7+DivAmount*EXP(IntRate*(T$2-ExDivPct)),ExDivTree!T7))</f>
        <v>124.28500851139999</v>
      </c>
      <c r="U7" s="17">
        <f>IF(U$3="","",IF(AND(DivAs=2,U$2&lt;ExDivPct),ExDivTree!U7+DivAmount*EXP(IntRate*(U$2-ExDivPct)),ExDivTree!U7))</f>
        <v>128.0474339255</v>
      </c>
      <c r="V7" s="17">
        <f>IF(V$3="","",IF(AND(DivAs=2,V$2&lt;ExDivPct),ExDivTree!V7+DivAmount*EXP(IntRate*(V$2-ExDivPct)),ExDivTree!V7))</f>
        <v>131.92375758989999</v>
      </c>
      <c r="W7" s="17">
        <f>IF(W$3="","",IF(AND(DivAs=2,W$2&lt;ExDivPct),ExDivTree!W7+DivAmount*EXP(IntRate*(W$2-ExDivPct)),ExDivTree!W7))</f>
        <v>135.9174274961</v>
      </c>
      <c r="X7" s="17">
        <f>IF(X$3="","",IF(AND(DivAs=2,X$2&lt;ExDivPct),ExDivTree!X7+DivAmount*EXP(IntRate*(X$2-ExDivPct)),ExDivTree!X7))</f>
        <v>140.03199601540001</v>
      </c>
      <c r="Y7" s="17">
        <f>IF(Y$3="","",IF(AND(DivAs=2,Y$2&lt;ExDivPct),ExDivTree!Y7+DivAmount*EXP(IntRate*(Y$2-ExDivPct)),ExDivTree!Y7))</f>
        <v>144.27112305829999</v>
      </c>
      <c r="Z7" s="17">
        <f>IF(Z$3="","",IF(AND(DivAs=2,Z$2&lt;ExDivPct),ExDivTree!Z7+DivAmount*EXP(IntRate*(Z$2-ExDivPct)),ExDivTree!Z7))</f>
        <v>148.6385793302</v>
      </c>
      <c r="AA7" s="17">
        <f>IF(AA$3="","",IF(AND(DivAs=2,AA$2&lt;ExDivPct),ExDivTree!AA7+DivAmount*EXP(IntRate*(AA$2-ExDivPct)),ExDivTree!AA7))</f>
        <v>153.13824968540001</v>
      </c>
      <c r="AB7" s="17">
        <f>IF(AB$3="","",IF(AND(DivAs=2,AB$2&lt;ExDivPct),ExDivTree!AB7+DivAmount*EXP(IntRate*(AB$2-ExDivPct)),ExDivTree!AB7))</f>
        <v>157.77413658270001</v>
      </c>
      <c r="AC7" s="17">
        <f>IF(AC$3="","",IF(AND(DivAs=2,AC$2&lt;ExDivPct),ExDivTree!AC7+DivAmount*EXP(IntRate*(AC$2-ExDivPct)),ExDivTree!AC7))</f>
        <v>162.5503636457</v>
      </c>
      <c r="AD7" s="17">
        <f>IF(AD$3="","",IF(AND(DivAs=2,AD$2&lt;ExDivPct),ExDivTree!AD7+DivAmount*EXP(IntRate*(AD$2-ExDivPct)),ExDivTree!AD7))</f>
        <v>167.47117933039999</v>
      </c>
      <c r="AE7" s="17">
        <f>IF(AE$3="","",IF(AND(DivAs=2,AE$2&lt;ExDivPct),ExDivTree!AE7+DivAmount*EXP(IntRate*(AE$2-ExDivPct)),ExDivTree!AE7))</f>
        <v>172.54096070470001</v>
      </c>
      <c r="AF7" s="17">
        <f>IF(AF$3="","",IF(AND(DivAs=2,AF$2&lt;ExDivPct),ExDivTree!AF7+DivAmount*EXP(IntRate*(AF$2-ExDivPct)),ExDivTree!AF7))</f>
        <v>177.7642173413</v>
      </c>
      <c r="AG7" s="17">
        <f>IF(AG$3="","",IF(AND(DivAs=2,AG$2&lt;ExDivPct),ExDivTree!AG7+DivAmount*EXP(IntRate*(AG$2-ExDivPct)),ExDivTree!AG7))</f>
        <v>183.14559532940001</v>
      </c>
      <c r="AH7" s="17">
        <f>IF(AH$3="","",IF(AND(DivAs=2,AH$2&lt;ExDivPct),ExDivTree!AH7+DivAmount*EXP(IntRate*(AH$2-ExDivPct)),ExDivTree!AH7))</f>
        <v>188.68988140709999</v>
      </c>
      <c r="AI7" s="17">
        <f>IF(AI$3="","",IF(AND(DivAs=2,AI$2&lt;ExDivPct),ExDivTree!AI7+DivAmount*EXP(IntRate*(AI$2-ExDivPct)),ExDivTree!AI7))</f>
        <v>194.40200721939999</v>
      </c>
      <c r="AJ7" s="17">
        <f>IF(AJ$3="","",IF(AND(DivAs=2,AJ$2&lt;ExDivPct),ExDivTree!AJ7+DivAmount*EXP(IntRate*(AJ$2-ExDivPct)),ExDivTree!AJ7))</f>
        <v>200.2870537048</v>
      </c>
      <c r="AK7" s="17">
        <f>IF(AK$3="","",IF(AND(DivAs=2,AK$2&lt;ExDivPct),ExDivTree!AK7+DivAmount*EXP(IntRate*(AK$2-ExDivPct)),ExDivTree!AK7))</f>
        <v>206.35025561469999</v>
      </c>
      <c r="AL7" s="17">
        <f>IF(AL$3="","",IF(AND(DivAs=2,AL$2&lt;ExDivPct),ExDivTree!AL7+DivAmount*EXP(IntRate*(AL$2-ExDivPct)),ExDivTree!AL7))</f>
        <v>212.5970061701</v>
      </c>
      <c r="AM7" s="17">
        <f>IF(AM$3="","",IF(AND(DivAs=2,AM$2&lt;ExDivPct),ExDivTree!AM7+DivAmount*EXP(IntRate*(AM$2-ExDivPct)),ExDivTree!AM7))</f>
        <v>219.03286185830001</v>
      </c>
      <c r="AN7" s="17">
        <f>IF(AN$3="","",IF(AND(DivAs=2,AN$2&lt;ExDivPct),ExDivTree!AN7+DivAmount*EXP(IntRate*(AN$2-ExDivPct)),ExDivTree!AN7))</f>
        <v>225.66354737590001</v>
      </c>
      <c r="AO7" s="17">
        <f>IF(AO$3="","",IF(AND(DivAs=2,AO$2&lt;ExDivPct),ExDivTree!AO7+DivAmount*EXP(IntRate*(AO$2-ExDivPct)),ExDivTree!AO7))</f>
        <v>232.49496072060001</v>
      </c>
      <c r="AP7" s="17">
        <f>IF(AP$3="","",IF(AND(DivAs=2,AP$2&lt;ExDivPct),ExDivTree!AP7+DivAmount*EXP(IntRate*(AP$2-ExDivPct)),ExDivTree!AP7))</f>
        <v>239.5331784377</v>
      </c>
      <c r="AQ7" s="17">
        <f>IF(AQ$3="","",IF(AND(DivAs=2,AQ$2&lt;ExDivPct),ExDivTree!AQ7+DivAmount*EXP(IntRate*(AQ$2-ExDivPct)),ExDivTree!AQ7))</f>
        <v>246.78446102500001</v>
      </c>
      <c r="AR7" s="17">
        <f>IF(AR$3="","",IF(AND(DivAs=2,AR$2&lt;ExDivPct),ExDivTree!AR7+DivAmount*EXP(IntRate*(AR$2-ExDivPct)),ExDivTree!AR7))</f>
        <v>254.25525850170001</v>
      </c>
      <c r="AS7" s="17">
        <f>IF(AS$3="","",IF(AND(DivAs=2,AS$2&lt;ExDivPct),ExDivTree!AS7+DivAmount*EXP(IntRate*(AS$2-ExDivPct)),ExDivTree!AS7))</f>
        <v>261.95221614550002</v>
      </c>
      <c r="AT7" s="17">
        <f>IF(AT$3="","",IF(AND(DivAs=2,AT$2&lt;ExDivPct),ExDivTree!AT7+DivAmount*EXP(IntRate*(AT$2-ExDivPct)),ExDivTree!AT7))</f>
        <v>269.88218040359999</v>
      </c>
      <c r="AU7" s="17">
        <f>IF(AU$3="","",IF(AND(DivAs=2,AU$2&lt;ExDivPct),ExDivTree!AU7+DivAmount*EXP(IntRate*(AU$2-ExDivPct)),ExDivTree!AU7))</f>
        <v>278.05220498289998</v>
      </c>
      <c r="AV7" s="17">
        <f>IF(AV$3="","",IF(AND(DivAs=2,AV$2&lt;ExDivPct),ExDivTree!AV7+DivAmount*EXP(IntRate*(AV$2-ExDivPct)),ExDivTree!AV7))</f>
        <v>286.46955712390002</v>
      </c>
      <c r="AW7" s="17">
        <f>IF(AW$3="","",IF(AND(DivAs=2,AW$2&lt;ExDivPct),ExDivTree!AW7+DivAmount*EXP(IntRate*(AW$2-ExDivPct)),ExDivTree!AW7))</f>
        <v>295.14172406509999</v>
      </c>
      <c r="AX7" s="17">
        <f>IF(AX$3="","",IF(AND(DivAs=2,AX$2&lt;ExDivPct),ExDivTree!AX7+DivAmount*EXP(IntRate*(AX$2-ExDivPct)),ExDivTree!AX7))</f>
        <v>304.076419703</v>
      </c>
      <c r="AY7" s="17">
        <f>IF(AY$3="","",IF(AND(DivAs=2,AY$2&lt;ExDivPct),ExDivTree!AY7+DivAmount*EXP(IntRate*(AY$2-ExDivPct)),ExDivTree!AY7))</f>
        <v>313.2815914533</v>
      </c>
      <c r="AZ7" s="17">
        <f>IF(AZ$3="","",IF(AND(DivAs=2,AZ$2&lt;ExDivPct),ExDivTree!AZ7+DivAmount*EXP(IntRate*(AZ$2-ExDivPct)),ExDivTree!AZ7))</f>
        <v>322.76542732040002</v>
      </c>
      <c r="BA7" s="17">
        <f>IF(BA$3="","",IF(AND(DivAs=2,BA$2&lt;ExDivPct),ExDivTree!BA7+DivAmount*EXP(IntRate*(BA$2-ExDivPct)),ExDivTree!BA7))</f>
        <v>332.53636318069999</v>
      </c>
      <c r="BB7" s="17">
        <f>IF(BB$3="","",IF(AND(DivAs=2,BB$2&lt;ExDivPct),ExDivTree!BB7+DivAmount*EXP(IntRate*(BB$2-ExDivPct)),ExDivTree!BB7))</f>
        <v>342.603090286</v>
      </c>
      <c r="BC7" s="17">
        <f>IF(BC$3="","",IF(AND(DivAs=2,BC$2&lt;ExDivPct),ExDivTree!BC7+DivAmount*EXP(IntRate*(BC$2-ExDivPct)),ExDivTree!BC7))</f>
        <v>352.97456299449999</v>
      </c>
      <c r="BD7" s="17">
        <f>IF(BD$3="","",IF(AND(DivAs=2,BD$2&lt;ExDivPct),ExDivTree!BD7+DivAmount*EXP(IntRate*(BD$2-ExDivPct)),ExDivTree!BD7))</f>
        <v>363.66000673600001</v>
      </c>
      <c r="BE7" s="17">
        <f>IF(BE$3="","",IF(AND(DivAs=2,BE$2&lt;ExDivPct),ExDivTree!BE7+DivAmount*EXP(IntRate*(BE$2-ExDivPct)),ExDivTree!BE7))</f>
        <v>374.66892621739999</v>
      </c>
      <c r="BF7" s="17">
        <f>IF(BF$3="","",IF(AND(DivAs=2,BF$2&lt;ExDivPct),ExDivTree!BF7+DivAmount*EXP(IntRate*(BF$2-ExDivPct)),ExDivTree!BF7))</f>
        <v>386.0111138776</v>
      </c>
      <c r="BG7" s="17">
        <f>IF(BG$3="","",IF(AND(DivAs=2,BG$2&lt;ExDivPct),ExDivTree!BG7+DivAmount*EXP(IntRate*(BG$2-ExDivPct)),ExDivTree!BG7))</f>
        <v>397.69665859769998</v>
      </c>
      <c r="BH7" s="17">
        <f>IF(BH$3="","",IF(AND(DivAs=2,BH$2&lt;ExDivPct),ExDivTree!BH7+DivAmount*EXP(IntRate*(BH$2-ExDivPct)),ExDivTree!BH7))</f>
        <v>409.73595467489997</v>
      </c>
      <c r="BI7" s="17">
        <f>IF(BI$3="","",IF(AND(DivAs=2,BI$2&lt;ExDivPct),ExDivTree!BI7+DivAmount*EXP(IntRate*(BI$2-ExDivPct)),ExDivTree!BI7))</f>
        <v>422.13971106859998</v>
      </c>
      <c r="BJ7" s="17">
        <f>IF(BJ$3="","",IF(AND(DivAs=2,BJ$2&lt;ExDivPct),ExDivTree!BJ7+DivAmount*EXP(IntRate*(BJ$2-ExDivPct)),ExDivTree!BJ7))</f>
        <v>434.9189609256</v>
      </c>
      <c r="BK7" s="17">
        <f>IF(BK$3="","",IF(AND(DivAs=2,BK$2&lt;ExDivPct),ExDivTree!BK7+DivAmount*EXP(IntRate*(BK$2-ExDivPct)),ExDivTree!BK7))</f>
        <v>448.08507139440002</v>
      </c>
      <c r="BL7" s="17">
        <f>IF(BL$3="","",IF(AND(DivAs=2,BL$2&lt;ExDivPct),ExDivTree!BL7+DivAmount*EXP(IntRate*(BL$2-ExDivPct)),ExDivTree!BL7))</f>
        <v>461.6497537363</v>
      </c>
      <c r="BM7" s="17">
        <f>IF(BM$3="","",IF(AND(DivAs=2,BM$2&lt;ExDivPct),ExDivTree!BM7+DivAmount*EXP(IntRate*(BM$2-ExDivPct)),ExDivTree!BM7))</f>
        <v>475.6250737423</v>
      </c>
      <c r="BN7" s="17">
        <f>IF(BN$3="","",IF(AND(DivAs=2,BN$2&lt;ExDivPct),ExDivTree!BN7+DivAmount*EXP(IntRate*(BN$2-ExDivPct)),ExDivTree!BN7))</f>
        <v>490.02346246579998</v>
      </c>
      <c r="BO7" s="17">
        <f>IF(BO$3="","",IF(AND(DivAs=2,BO$2&lt;ExDivPct),ExDivTree!BO7+DivAmount*EXP(IntRate*(BO$2-ExDivPct)),ExDivTree!BO7))</f>
        <v>504.85772728009999</v>
      </c>
      <c r="BP7" s="17">
        <f>IF(BP$3="","",IF(AND(DivAs=2,BP$2&lt;ExDivPct),ExDivTree!BP7+DivAmount*EXP(IntRate*(BP$2-ExDivPct)),ExDivTree!BP7))</f>
        <v>520.14106327050001</v>
      </c>
      <c r="BQ7" s="17">
        <f>IF(BQ$3="","",IF(AND(DivAs=2,BQ$2&lt;ExDivPct),ExDivTree!BQ7+DivAmount*EXP(IntRate*(BQ$2-ExDivPct)),ExDivTree!BQ7))</f>
        <v>535.88706497119995</v>
      </c>
      <c r="BR7" s="17">
        <f>IF(BR$3="","",IF(AND(DivAs=2,BR$2&lt;ExDivPct),ExDivTree!BR7+DivAmount*EXP(IntRate*(BR$2-ExDivPct)),ExDivTree!BR7))</f>
        <v>552.10973845779995</v>
      </c>
      <c r="BS7" s="17">
        <f>IF(BS$3="","",IF(AND(DivAs=2,BS$2&lt;ExDivPct),ExDivTree!BS7+DivAmount*EXP(IntRate*(BS$2-ExDivPct)),ExDivTree!BS7))</f>
        <v>568.82351380570003</v>
      </c>
      <c r="BT7" s="17">
        <f>IF(BT$3="","",IF(AND(DivAs=2,BT$2&lt;ExDivPct),ExDivTree!BT7+DivAmount*EXP(IntRate*(BT$2-ExDivPct)),ExDivTree!BT7))</f>
        <v>586.04325792559996</v>
      </c>
      <c r="BU7" s="17">
        <f>IF(BU$3="","",IF(AND(DivAs=2,BU$2&lt;ExDivPct),ExDivTree!BU7+DivAmount*EXP(IntRate*(BU$2-ExDivPct)),ExDivTree!BU7))</f>
        <v>603.78428778770001</v>
      </c>
      <c r="BV7" s="17">
        <f>IF(BV$3="","",IF(AND(DivAs=2,BV$2&lt;ExDivPct),ExDivTree!BV7+DivAmount*EXP(IntRate*(BV$2-ExDivPct)),ExDivTree!BV7))</f>
        <v>622.06238404600003</v>
      </c>
      <c r="BW7" s="17">
        <f>IF(BW$3="","",IF(AND(DivAs=2,BW$2&lt;ExDivPct),ExDivTree!BW7+DivAmount*EXP(IntRate*(BW$2-ExDivPct)),ExDivTree!BW7))</f>
        <v>640.8938050754</v>
      </c>
      <c r="BX7" s="17">
        <f>IF(BX$3="","",IF(AND(DivAs=2,BX$2&lt;ExDivPct),ExDivTree!BX7+DivAmount*EXP(IntRate*(BX$2-ExDivPct)),ExDivTree!BX7))</f>
        <v>660.29530143340003</v>
      </c>
      <c r="BY7" s="17">
        <f>IF(BY$3="","",IF(AND(DivAs=2,BY$2&lt;ExDivPct),ExDivTree!BY7+DivAmount*EXP(IntRate*(BY$2-ExDivPct)),ExDivTree!BY7))</f>
        <v>680.28413075970002</v>
      </c>
      <c r="BZ7" s="17">
        <f>IF(BZ$3="","",IF(AND(DivAs=2,BZ$2&lt;ExDivPct),ExDivTree!BZ7+DivAmount*EXP(IntRate*(BZ$2-ExDivPct)),ExDivTree!BZ7))</f>
        <v>700.87807312710004</v>
      </c>
      <c r="CA7" s="17">
        <f>IF(CA$3="","",IF(AND(DivAs=2,CA$2&lt;ExDivPct),ExDivTree!CA7+DivAmount*EXP(IntRate*(CA$2-ExDivPct)),ExDivTree!CA7))</f>
        <v>722.09544685649996</v>
      </c>
      <c r="CB7" s="17">
        <f>IF(CB$3="","",IF(AND(DivAs=2,CB$2&lt;ExDivPct),ExDivTree!CB7+DivAmount*EXP(IntRate*(CB$2-ExDivPct)),ExDivTree!CB7))</f>
        <v>743.95512481150001</v>
      </c>
      <c r="CC7" s="17">
        <f>IF(CC$3="","",IF(AND(DivAs=2,CC$2&lt;ExDivPct),ExDivTree!CC7+DivAmount*EXP(IntRate*(CC$2-ExDivPct)),ExDivTree!CC7))</f>
        <v>766.47655118550006</v>
      </c>
      <c r="CD7" s="17">
        <f>IF(CD$3="","",IF(AND(DivAs=2,CD$2&lt;ExDivPct),ExDivTree!CD7+DivAmount*EXP(IntRate*(CD$2-ExDivPct)),ExDivTree!CD7))</f>
        <v>789.6797587973</v>
      </c>
      <c r="CE7" s="17">
        <f>IF(CE$3="","",IF(AND(DivAs=2,CE$2&lt;ExDivPct),ExDivTree!CE7+DivAmount*EXP(IntRate*(CE$2-ExDivPct)),ExDivTree!CE7))</f>
        <v>813.58538691060005</v>
      </c>
      <c r="CF7" s="17">
        <f>IF(CF$3="","",IF(AND(DivAs=2,CF$2&lt;ExDivPct),ExDivTree!CF7+DivAmount*EXP(IntRate*(CF$2-ExDivPct)),ExDivTree!CF7))</f>
        <v>838.21469959240005</v>
      </c>
      <c r="CG7" s="17">
        <f>IF(CG$3="","",IF(AND(DivAs=2,CG$2&lt;ExDivPct),ExDivTree!CG7+DivAmount*EXP(IntRate*(CG$2-ExDivPct)),ExDivTree!CG7))</f>
        <v>863.58960462749997</v>
      </c>
      <c r="CH7" s="17">
        <f>IF(CH$3="","",IF(AND(DivAs=2,CH$2&lt;ExDivPct),ExDivTree!CH7+DivAmount*EXP(IntRate*(CH$2-ExDivPct)),ExDivTree!CH7))</f>
        <v>889.73267300529994</v>
      </c>
      <c r="CI7" s="17">
        <f>IF(CI$3="","",IF(AND(DivAs=2,CI$2&lt;ExDivPct),ExDivTree!CI7+DivAmount*EXP(IntRate*(CI$2-ExDivPct)),ExDivTree!CI7))</f>
        <v>916.66715899689996</v>
      </c>
      <c r="CJ7" s="17">
        <f>IF(CJ$3="","",IF(AND(DivAs=2,CJ$2&lt;ExDivPct),ExDivTree!CJ7+DivAmount*EXP(IntRate*(CJ$2-ExDivPct)),ExDivTree!CJ7))</f>
        <v>944.41702083969994</v>
      </c>
      <c r="CK7" s="17">
        <f>IF(CK$3="","",IF(AND(DivAs=2,CK$2&lt;ExDivPct),ExDivTree!CK7+DivAmount*EXP(IntRate*(CK$2-ExDivPct)),ExDivTree!CK7))</f>
        <v>973.00694204839999</v>
      </c>
      <c r="CL7" s="17">
        <f>IF(CL$3="","",IF(AND(DivAs=2,CL$2&lt;ExDivPct),ExDivTree!CL7+DivAmount*EXP(IntRate*(CL$2-ExDivPct)),ExDivTree!CL7))</f>
        <v>1002.4623533708</v>
      </c>
      <c r="CM7" s="17">
        <f>IF(CM$3="","",IF(AND(DivAs=2,CM$2&lt;ExDivPct),ExDivTree!CM7+DivAmount*EXP(IntRate*(CM$2-ExDivPct)),ExDivTree!CM7))</f>
        <v>1032.8094554085001</v>
      </c>
      <c r="CN7" s="17">
        <f>IF(CN$3="","",IF(AND(DivAs=2,CN$2&lt;ExDivPct),ExDivTree!CN7+DivAmount*EXP(IntRate*(CN$2-ExDivPct)),ExDivTree!CN7))</f>
        <v>1064.0752419224</v>
      </c>
      <c r="CO7" s="17">
        <f>IF(CO$3="","",IF(AND(DivAs=2,CO$2&lt;ExDivPct),ExDivTree!CO7+DivAmount*EXP(IntRate*(CO$2-ExDivPct)),ExDivTree!CO7))</f>
        <v>1096.2875238438</v>
      </c>
      <c r="CP7" s="17">
        <f>IF(CP$3="","",IF(AND(DivAs=2,CP$2&lt;ExDivPct),ExDivTree!CP7+DivAmount*EXP(IntRate*(CP$2-ExDivPct)),ExDivTree!CP7))</f>
        <v>1129.4749540119999</v>
      </c>
      <c r="CQ7" s="17">
        <f>IF(CQ$3="","",IF(AND(DivAs=2,CQ$2&lt;ExDivPct),ExDivTree!CQ7+DivAmount*EXP(IntRate*(CQ$2-ExDivPct)),ExDivTree!CQ7))</f>
        <v>1163.6670526610001</v>
      </c>
      <c r="CR7" s="17">
        <f>IF(CR$3="","",IF(AND(DivAs=2,CR$2&lt;ExDivPct),ExDivTree!CR7+DivAmount*EXP(IntRate*(CR$2-ExDivPct)),ExDivTree!CR7))</f>
        <v>1198.8942336780999</v>
      </c>
      <c r="CS7" s="17">
        <f>IF(CS$3="","",IF(AND(DivAs=2,CS$2&lt;ExDivPct),ExDivTree!CS7+DivAmount*EXP(IntRate*(CS$2-ExDivPct)),ExDivTree!CS7))</f>
        <v>1235.1878316566001</v>
      </c>
      <c r="CT7" s="17">
        <f>IF(CT$3="","",IF(AND(DivAs=2,CT$2&lt;ExDivPct),ExDivTree!CT7+DivAmount*EXP(IntRate*(CT$2-ExDivPct)),ExDivTree!CT7))</f>
        <v>1272.5801297682999</v>
      </c>
      <c r="CU7" s="17">
        <f>IF(CU$3="","",IF(AND(DivAs=2,CU$2&lt;ExDivPct),ExDivTree!CU7+DivAmount*EXP(IntRate*(CU$2-ExDivPct)),ExDivTree!CU7))</f>
        <v>1311.1043884792</v>
      </c>
      <c r="CV7" s="17">
        <f>IF(CV$3="","",IF(AND(DivAs=2,CV$2&lt;ExDivPct),ExDivTree!CV7+DivAmount*EXP(IntRate*(CV$2-ExDivPct)),ExDivTree!CV7))</f>
        <v>1350.7948751347999</v>
      </c>
      <c r="CW7" s="17">
        <f>IF(CW$3="","",IF(AND(DivAs=2,CW$2&lt;ExDivPct),ExDivTree!CW7+DivAmount*EXP(IntRate*(CW$2-ExDivPct)),ExDivTree!CW7))</f>
        <v>1391.6868944409</v>
      </c>
      <c r="CX7" s="17">
        <f>IF(CX$3="","",IF(AND(DivAs=2,CX$2&lt;ExDivPct),ExDivTree!CX7+DivAmount*EXP(IntRate*(CX$2-ExDivPct)),ExDivTree!CX7))</f>
        <v>1433.8168198671001</v>
      </c>
      <c r="CY7" s="17">
        <f>IF(CY$3="","",IF(AND(DivAs=2,CY$2&lt;ExDivPct),ExDivTree!CY7+DivAmount*EXP(IntRate*(CY$2-ExDivPct)),ExDivTree!CY7))</f>
        <v>1477.2221260010999</v>
      </c>
      <c r="CZ7" s="17">
        <f>IF(CZ$3="","",IF(AND(DivAs=2,CZ$2&lt;ExDivPct),ExDivTree!CZ7+DivAmount*EXP(IntRate*(CZ$2-ExDivPct)),ExDivTree!CZ7))</f>
        <v>1521.9414218822001</v>
      </c>
      <c r="DA7" s="17">
        <f>IF(DA$3="","",IF(AND(DivAs=2,DA$2&lt;ExDivPct),ExDivTree!DA7+DivAmount*EXP(IntRate*(DA$2-ExDivPct)),ExDivTree!DA7))</f>
        <v>1568.0144853443001</v>
      </c>
      <c r="DB7" s="17">
        <f>IF(DB$3="","",IF(AND(DivAs=2,DB$2&lt;ExDivPct),ExDivTree!DB7+DivAmount*EXP(IntRate*(DB$2-ExDivPct)),ExDivTree!DB7))</f>
        <v>1615.4822983981001</v>
      </c>
    </row>
    <row r="8" spans="1:106" x14ac:dyDescent="0.2">
      <c r="A8">
        <f>ExDivTree!A8</f>
        <v>4082925</v>
      </c>
      <c r="B8" s="71">
        <f>ExDivTree!B8</f>
        <v>1.6104299557247498E-24</v>
      </c>
      <c r="C8" s="71">
        <f>ExDivTree!C8</f>
        <v>2.0598671690580257E-24</v>
      </c>
      <c r="D8" s="177">
        <f>ExDivTree!D8</f>
        <v>4</v>
      </c>
      <c r="I8" s="17">
        <f>IF(I$3="","",IF(AND(DivAs=2,I$2&lt;ExDivPct),ExDivTree!I8+DivAmount*EXP(IntRate*(I$2-ExDivPct)),ExDivTree!I8))</f>
        <v>89.326290906659082</v>
      </c>
      <c r="J8" s="17">
        <f>IF(J$3="","",IF(AND(DivAs=2,J$2&lt;ExDivPct),ExDivTree!J8+DivAmount*EXP(IntRate*(J$2-ExDivPct)),ExDivTree!J8))</f>
        <v>91.882158984788944</v>
      </c>
      <c r="K8" s="17">
        <f>IF(K$3="","",IF(AND(DivAs=2,K$2&lt;ExDivPct),ExDivTree!K8+DivAmount*EXP(IntRate*(K$2-ExDivPct)),ExDivTree!K8))</f>
        <v>94.515321696009408</v>
      </c>
      <c r="L8" s="17">
        <f>IF(L$3="","",IF(AND(DivAs=2,L$2&lt;ExDivPct),ExDivTree!L8+DivAmount*EXP(IntRate*(L$2-ExDivPct)),ExDivTree!L8))</f>
        <v>97.228118905747237</v>
      </c>
      <c r="M8" s="17">
        <f>IF(M$3="","",IF(AND(DivAs=2,M$2&lt;ExDivPct),ExDivTree!M8+DivAmount*EXP(IntRate*(M$2-ExDivPct)),ExDivTree!M8))</f>
        <v>100.02296131302955</v>
      </c>
      <c r="N8" s="17">
        <f>IF(N$3="","",IF(AND(DivAs=2,N$2&lt;ExDivPct),ExDivTree!N8+DivAmount*EXP(IntRate*(N$2-ExDivPct)),ExDivTree!N8))</f>
        <v>102.90233259488389</v>
      </c>
      <c r="O8" s="17">
        <f>IF(O$3="","",IF(AND(DivAs=2,O$2&lt;ExDivPct),ExDivTree!O8+DivAmount*EXP(IntRate*(O$2-ExDivPct)),ExDivTree!O8))</f>
        <v>100.8686190913</v>
      </c>
      <c r="P8" s="17">
        <f>IF(P$3="","",IF(AND(DivAs=2,P$2&lt;ExDivPct),ExDivTree!P8+DivAmount*EXP(IntRate*(P$2-ExDivPct)),ExDivTree!P8))</f>
        <v>103.9221704448</v>
      </c>
      <c r="Q8" s="17">
        <f>IF(Q$3="","",IF(AND(DivAs=2,Q$2&lt;ExDivPct),ExDivTree!Q8+DivAmount*EXP(IntRate*(Q$2-ExDivPct)),ExDivTree!Q8))</f>
        <v>107.0681606158</v>
      </c>
      <c r="R8" s="17">
        <f>IF(R$3="","",IF(AND(DivAs=2,R$2&lt;ExDivPct),ExDivTree!R8+DivAmount*EXP(IntRate*(R$2-ExDivPct)),ExDivTree!R8))</f>
        <v>110.30938796389999</v>
      </c>
      <c r="S8" s="17">
        <f>IF(S$3="","",IF(AND(DivAs=2,S$2&lt;ExDivPct),ExDivTree!S8+DivAmount*EXP(IntRate*(S$2-ExDivPct)),ExDivTree!S8))</f>
        <v>113.6487355623</v>
      </c>
      <c r="T8" s="17">
        <f>IF(T$3="","",IF(AND(DivAs=2,T$2&lt;ExDivPct),ExDivTree!T8+DivAmount*EXP(IntRate*(T$2-ExDivPct)),ExDivTree!T8))</f>
        <v>117.08917376230001</v>
      </c>
      <c r="U8" s="17">
        <f>IF(U$3="","",IF(AND(DivAs=2,U$2&lt;ExDivPct),ExDivTree!U8+DivAmount*EXP(IntRate*(U$2-ExDivPct)),ExDivTree!U8))</f>
        <v>120.6337628351</v>
      </c>
      <c r="V8" s="17">
        <f>IF(V$3="","",IF(AND(DivAs=2,V$2&lt;ExDivPct),ExDivTree!V8+DivAmount*EXP(IntRate*(V$2-ExDivPct)),ExDivTree!V8))</f>
        <v>124.28565569440001</v>
      </c>
      <c r="W8" s="17">
        <f>IF(W$3="","",IF(AND(DivAs=2,W$2&lt;ExDivPct),ExDivTree!W8+DivAmount*EXP(IntRate*(W$2-ExDivPct)),ExDivTree!W8))</f>
        <v>128.0481007004</v>
      </c>
      <c r="X8" s="17">
        <f>IF(X$3="","",IF(AND(DivAs=2,X$2&lt;ExDivPct),ExDivTree!X8+DivAmount*EXP(IntRate*(X$2-ExDivPct)),ExDivTree!X8))</f>
        <v>131.92444454970001</v>
      </c>
      <c r="Y8" s="17">
        <f>IF(Y$3="","",IF(AND(DivAs=2,Y$2&lt;ExDivPct),ExDivTree!Y8+DivAmount*EXP(IntRate*(Y$2-ExDivPct)),ExDivTree!Y8))</f>
        <v>135.91813525200001</v>
      </c>
      <c r="Z8" s="17">
        <f>IF(Z$3="","",IF(AND(DivAs=2,Z$2&lt;ExDivPct),ExDivTree!Z8+DivAmount*EXP(IntRate*(Z$2-ExDivPct)),ExDivTree!Z8))</f>
        <v>140.03272519679999</v>
      </c>
      <c r="AA8" s="17">
        <f>IF(AA$3="","",IF(AND(DivAs=2,AA$2&lt;ExDivPct),ExDivTree!AA8+DivAmount*EXP(IntRate*(AA$2-ExDivPct)),ExDivTree!AA8))</f>
        <v>144.2718743138</v>
      </c>
      <c r="AB8" s="17">
        <f>IF(AB$3="","",IF(AND(DivAs=2,AB$2&lt;ExDivPct),ExDivTree!AB8+DivAmount*EXP(IntRate*(AB$2-ExDivPct)),ExDivTree!AB8))</f>
        <v>148.63935332809999</v>
      </c>
      <c r="AC8" s="17">
        <f>IF(AC$3="","",IF(AND(DivAs=2,AC$2&lt;ExDivPct),ExDivTree!AC8+DivAmount*EXP(IntRate*(AC$2-ExDivPct)),ExDivTree!AC8))</f>
        <v>153.1390471142</v>
      </c>
      <c r="AD8" s="17">
        <f>IF(AD$3="","",IF(AND(DivAs=2,AD$2&lt;ExDivPct),ExDivTree!AD8+DivAmount*EXP(IntRate*(AD$2-ExDivPct)),ExDivTree!AD8))</f>
        <v>157.77495815180001</v>
      </c>
      <c r="AE8" s="17">
        <f>IF(AE$3="","",IF(AND(DivAs=2,AE$2&lt;ExDivPct),ExDivTree!AE8+DivAmount*EXP(IntRate*(AE$2-ExDivPct)),ExDivTree!AE8))</f>
        <v>162.55121008579999</v>
      </c>
      <c r="AF8" s="17">
        <f>IF(AF$3="","",IF(AND(DivAs=2,AF$2&lt;ExDivPct),ExDivTree!AF8+DivAmount*EXP(IntRate*(AF$2-ExDivPct)),ExDivTree!AF8))</f>
        <v>167.47205139440001</v>
      </c>
      <c r="AG8" s="17">
        <f>IF(AG$3="","",IF(AND(DivAs=2,AG$2&lt;ExDivPct),ExDivTree!AG8+DivAmount*EXP(IntRate*(AG$2-ExDivPct)),ExDivTree!AG8))</f>
        <v>172.54185916829999</v>
      </c>
      <c r="AH8" s="17">
        <f>IF(AH$3="","",IF(AND(DivAs=2,AH$2&lt;ExDivPct),ExDivTree!AH8+DivAmount*EXP(IntRate*(AH$2-ExDivPct)),ExDivTree!AH8))</f>
        <v>177.76514300369999</v>
      </c>
      <c r="AI8" s="17">
        <f>IF(AI$3="","",IF(AND(DivAs=2,AI$2&lt;ExDivPct),ExDivTree!AI8+DivAmount*EXP(IntRate*(AI$2-ExDivPct)),ExDivTree!AI8))</f>
        <v>183.1465490139</v>
      </c>
      <c r="AJ8" s="17">
        <f>IF(AJ$3="","",IF(AND(DivAs=2,AJ$2&lt;ExDivPct),ExDivTree!AJ8+DivAmount*EXP(IntRate*(AJ$2-ExDivPct)),ExDivTree!AJ8))</f>
        <v>188.6908639621</v>
      </c>
      <c r="AK8" s="17">
        <f>IF(AK$3="","",IF(AND(DivAs=2,AK$2&lt;ExDivPct),ExDivTree!AK8+DivAmount*EXP(IntRate*(AK$2-ExDivPct)),ExDivTree!AK8))</f>
        <v>194.40301951879999</v>
      </c>
      <c r="AL8" s="17">
        <f>IF(AL$3="","",IF(AND(DivAs=2,AL$2&lt;ExDivPct),ExDivTree!AL8+DivAmount*EXP(IntRate*(AL$2-ExDivPct)),ExDivTree!AL8))</f>
        <v>200.2880966491</v>
      </c>
      <c r="AM8" s="17">
        <f>IF(AM$3="","",IF(AND(DivAs=2,AM$2&lt;ExDivPct),ExDivTree!AM8+DivAmount*EXP(IntRate*(AM$2-ExDivPct)),ExDivTree!AM8))</f>
        <v>206.35133013160001</v>
      </c>
      <c r="AN8" s="17">
        <f>IF(AN$3="","",IF(AND(DivAs=2,AN$2&lt;ExDivPct),ExDivTree!AN8+DivAmount*EXP(IntRate*(AN$2-ExDivPct)),ExDivTree!AN8))</f>
        <v>212.5981132153</v>
      </c>
      <c r="AO8" s="17">
        <f>IF(AO$3="","",IF(AND(DivAs=2,AO$2&lt;ExDivPct),ExDivTree!AO8+DivAmount*EXP(IntRate*(AO$2-ExDivPct)),ExDivTree!AO8))</f>
        <v>219.0340024166</v>
      </c>
      <c r="AP8" s="17">
        <f>IF(AP$3="","",IF(AND(DivAs=2,AP$2&lt;ExDivPct),ExDivTree!AP8+DivAmount*EXP(IntRate*(AP$2-ExDivPct)),ExDivTree!AP8))</f>
        <v>225.66472246180001</v>
      </c>
      <c r="AQ8" s="17">
        <f>IF(AQ$3="","",IF(AND(DivAs=2,AQ$2&lt;ExDivPct),ExDivTree!AQ8+DivAmount*EXP(IntRate*(AQ$2-ExDivPct)),ExDivTree!AQ8))</f>
        <v>232.49617137940001</v>
      </c>
      <c r="AR8" s="17">
        <f>IF(AR$3="","",IF(AND(DivAs=2,AR$2&lt;ExDivPct),ExDivTree!AR8+DivAmount*EXP(IntRate*(AR$2-ExDivPct)),ExDivTree!AR8))</f>
        <v>239.5344257463</v>
      </c>
      <c r="AS8" s="17">
        <f>IF(AS$3="","",IF(AND(DivAs=2,AS$2&lt;ExDivPct),ExDivTree!AS8+DivAmount*EXP(IntRate*(AS$2-ExDivPct)),ExDivTree!AS8))</f>
        <v>246.78574609290001</v>
      </c>
      <c r="AT8" s="17">
        <f>IF(AT$3="","",IF(AND(DivAs=2,AT$2&lt;ExDivPct),ExDivTree!AT8+DivAmount*EXP(IntRate*(AT$2-ExDivPct)),ExDivTree!AT8))</f>
        <v>254.2565824719</v>
      </c>
      <c r="AU8" s="17">
        <f>IF(AU$3="","",IF(AND(DivAs=2,AU$2&lt;ExDivPct),ExDivTree!AU8+DivAmount*EXP(IntRate*(AU$2-ExDivPct)),ExDivTree!AU8))</f>
        <v>261.95358019560001</v>
      </c>
      <c r="AV8" s="17">
        <f>IF(AV$3="","",IF(AND(DivAs=2,AV$2&lt;ExDivPct),ExDivTree!AV8+DivAmount*EXP(IntRate*(AV$2-ExDivPct)),ExDivTree!AV8))</f>
        <v>269.88358574699998</v>
      </c>
      <c r="AW8" s="17">
        <f>IF(AW$3="","",IF(AND(DivAs=2,AW$2&lt;ExDivPct),ExDivTree!AW8+DivAmount*EXP(IntRate*(AW$2-ExDivPct)),ExDivTree!AW8))</f>
        <v>278.0536528696</v>
      </c>
      <c r="AX8" s="17">
        <f>IF(AX$3="","",IF(AND(DivAs=2,AX$2&lt;ExDivPct),ExDivTree!AX8+DivAmount*EXP(IntRate*(AX$2-ExDivPct)),ExDivTree!AX8))</f>
        <v>286.47104884179998</v>
      </c>
      <c r="AY8" s="17">
        <f>IF(AY$3="","",IF(AND(DivAs=2,AY$2&lt;ExDivPct),ExDivTree!AY8+DivAmount*EXP(IntRate*(AY$2-ExDivPct)),ExDivTree!AY8))</f>
        <v>295.14326094109998</v>
      </c>
      <c r="AZ8" s="17">
        <f>IF(AZ$3="","",IF(AND(DivAs=2,AZ$2&lt;ExDivPct),ExDivTree!AZ8+DivAmount*EXP(IntRate*(AZ$2-ExDivPct)),ExDivTree!AZ8))</f>
        <v>304.07800310409999</v>
      </c>
      <c r="BA8" s="17">
        <f>IF(BA$3="","",IF(AND(DivAs=2,BA$2&lt;ExDivPct),ExDivTree!BA8+DivAmount*EXP(IntRate*(BA$2-ExDivPct)),ExDivTree!BA8))</f>
        <v>313.28322278799999</v>
      </c>
      <c r="BB8" s="17">
        <f>IF(BB$3="","",IF(AND(DivAs=2,BB$2&lt;ExDivPct),ExDivTree!BB8+DivAmount*EXP(IntRate*(BB$2-ExDivPct)),ExDivTree!BB8))</f>
        <v>322.76710803980001</v>
      </c>
      <c r="BC8" s="17">
        <f>IF(BC$3="","",IF(AND(DivAs=2,BC$2&lt;ExDivPct),ExDivTree!BC8+DivAmount*EXP(IntRate*(BC$2-ExDivPct)),ExDivTree!BC8))</f>
        <v>332.53809477980002</v>
      </c>
      <c r="BD8" s="17">
        <f>IF(BD$3="","",IF(AND(DivAs=2,BD$2&lt;ExDivPct),ExDivTree!BD8+DivAmount*EXP(IntRate*(BD$2-ExDivPct)),ExDivTree!BD8))</f>
        <v>342.60487430500001</v>
      </c>
      <c r="BE8" s="17">
        <f>IF(BE$3="","",IF(AND(DivAs=2,BE$2&lt;ExDivPct),ExDivTree!BE8+DivAmount*EXP(IntRate*(BE$2-ExDivPct)),ExDivTree!BE8))</f>
        <v>352.97640102039998</v>
      </c>
      <c r="BF8" s="17">
        <f>IF(BF$3="","",IF(AND(DivAs=2,BF$2&lt;ExDivPct),ExDivTree!BF8+DivAmount*EXP(IntRate*(BF$2-ExDivPct)),ExDivTree!BF8))</f>
        <v>363.66190040359999</v>
      </c>
      <c r="BG8" s="17">
        <f>IF(BG$3="","",IF(AND(DivAs=2,BG$2&lt;ExDivPct),ExDivTree!BG8+DivAmount*EXP(IntRate*(BG$2-ExDivPct)),ExDivTree!BG8))</f>
        <v>374.67087721119998</v>
      </c>
      <c r="BH8" s="17">
        <f>IF(BH$3="","",IF(AND(DivAs=2,BH$2&lt;ExDivPct),ExDivTree!BH8+DivAmount*EXP(IntRate*(BH$2-ExDivPct)),ExDivTree!BH8))</f>
        <v>386.01312393299997</v>
      </c>
      <c r="BI8" s="17">
        <f>IF(BI$3="","",IF(AND(DivAs=2,BI$2&lt;ExDivPct),ExDivTree!BI8+DivAmount*EXP(IntRate*(BI$2-ExDivPct)),ExDivTree!BI8))</f>
        <v>397.69872950259997</v>
      </c>
      <c r="BJ8" s="17">
        <f>IF(BJ$3="","",IF(AND(DivAs=2,BJ$2&lt;ExDivPct),ExDivTree!BJ8+DivAmount*EXP(IntRate*(BJ$2-ExDivPct)),ExDivTree!BJ8))</f>
        <v>409.73808827139999</v>
      </c>
      <c r="BK8" s="17">
        <f>IF(BK$3="","",IF(AND(DivAs=2,BK$2&lt;ExDivPct),ExDivTree!BK8+DivAmount*EXP(IntRate*(BK$2-ExDivPct)),ExDivTree!BK8))</f>
        <v>422.14190925449998</v>
      </c>
      <c r="BL8" s="17">
        <f>IF(BL$3="","",IF(AND(DivAs=2,BL$2&lt;ExDivPct),ExDivTree!BL8+DivAmount*EXP(IntRate*(BL$2-ExDivPct)),ExDivTree!BL8))</f>
        <v>434.92122565620002</v>
      </c>
      <c r="BM8" s="17">
        <f>IF(BM$3="","",IF(AND(DivAs=2,BM$2&lt;ExDivPct),ExDivTree!BM8+DivAmount*EXP(IntRate*(BM$2-ExDivPct)),ExDivTree!BM8))</f>
        <v>448.08740468420001</v>
      </c>
      <c r="BN8" s="17">
        <f>IF(BN$3="","",IF(AND(DivAs=2,BN$2&lt;ExDivPct),ExDivTree!BN8+DivAmount*EXP(IntRate*(BN$2-ExDivPct)),ExDivTree!BN8))</f>
        <v>461.65215766070003</v>
      </c>
      <c r="BO8" s="17">
        <f>IF(BO$3="","",IF(AND(DivAs=2,BO$2&lt;ExDivPct),ExDivTree!BO8+DivAmount*EXP(IntRate*(BO$2-ExDivPct)),ExDivTree!BO8))</f>
        <v>475.62755043959999</v>
      </c>
      <c r="BP8" s="17">
        <f>IF(BP$3="","",IF(AND(DivAs=2,BP$2&lt;ExDivPct),ExDivTree!BP8+DivAmount*EXP(IntRate*(BP$2-ExDivPct)),ExDivTree!BP8))</f>
        <v>490.02601413910003</v>
      </c>
      <c r="BQ8" s="17">
        <f>IF(BQ$3="","",IF(AND(DivAs=2,BQ$2&lt;ExDivPct),ExDivTree!BQ8+DivAmount*EXP(IntRate*(BQ$2-ExDivPct)),ExDivTree!BQ8))</f>
        <v>504.86035619910001</v>
      </c>
      <c r="BR8" s="17">
        <f>IF(BR$3="","",IF(AND(DivAs=2,BR$2&lt;ExDivPct),ExDivTree!BR8+DivAmount*EXP(IntRate*(BR$2-ExDivPct)),ExDivTree!BR8))</f>
        <v>520.14377177359995</v>
      </c>
      <c r="BS8" s="17">
        <f>IF(BS$3="","",IF(AND(DivAs=2,BS$2&lt;ExDivPct),ExDivTree!BS8+DivAmount*EXP(IntRate*(BS$2-ExDivPct)),ExDivTree!BS8))</f>
        <v>535.8898554676</v>
      </c>
      <c r="BT8" s="17">
        <f>IF(BT$3="","",IF(AND(DivAs=2,BT$2&lt;ExDivPct),ExDivTree!BT8+DivAmount*EXP(IntRate*(BT$2-ExDivPct)),ExDivTree!BT8))</f>
        <v>552.11261342969999</v>
      </c>
      <c r="BU8" s="17">
        <f>IF(BU$3="","",IF(AND(DivAs=2,BU$2&lt;ExDivPct),ExDivTree!BU8+DivAmount*EXP(IntRate*(BU$2-ExDivPct)),ExDivTree!BU8))</f>
        <v>568.82647581039998</v>
      </c>
      <c r="BV8" s="17">
        <f>IF(BV$3="","",IF(AND(DivAs=2,BV$2&lt;ExDivPct),ExDivTree!BV8+DivAmount*EXP(IntRate*(BV$2-ExDivPct)),ExDivTree!BV8))</f>
        <v>586.04630959780002</v>
      </c>
      <c r="BW8" s="17">
        <f>IF(BW$3="","",IF(AND(DivAs=2,BW$2&lt;ExDivPct),ExDivTree!BW8+DivAmount*EXP(IntRate*(BW$2-ExDivPct)),ExDivTree!BW8))</f>
        <v>603.78743184179996</v>
      </c>
      <c r="BX8" s="17">
        <f>IF(BX$3="","",IF(AND(DivAs=2,BX$2&lt;ExDivPct),ExDivTree!BX8+DivAmount*EXP(IntRate*(BX$2-ExDivPct)),ExDivTree!BX8))</f>
        <v>622.06562327869995</v>
      </c>
      <c r="BY8" s="17">
        <f>IF(BY$3="","",IF(AND(DivAs=2,BY$2&lt;ExDivPct),ExDivTree!BY8+DivAmount*EXP(IntRate*(BY$2-ExDivPct)),ExDivTree!BY8))</f>
        <v>640.897142368</v>
      </c>
      <c r="BZ8" s="17">
        <f>IF(BZ$3="","",IF(AND(DivAs=2,BZ$2&lt;ExDivPct),ExDivTree!BZ8+DivAmount*EXP(IntRate*(BZ$2-ExDivPct)),ExDivTree!BZ8))</f>
        <v>660.2987397544</v>
      </c>
      <c r="CA8" s="17">
        <f>IF(CA$3="","",IF(AND(DivAs=2,CA$2&lt;ExDivPct),ExDivTree!CA8+DivAmount*EXP(IntRate*(CA$2-ExDivPct)),ExDivTree!CA8))</f>
        <v>680.28767316749997</v>
      </c>
      <c r="CB8" s="17">
        <f>IF(CB$3="","",IF(AND(DivAs=2,CB$2&lt;ExDivPct),ExDivTree!CB8+DivAmount*EXP(IntRate*(CB$2-ExDivPct)),ExDivTree!CB8))</f>
        <v>700.88172277260003</v>
      </c>
      <c r="CC8" s="17">
        <f>IF(CC$3="","",IF(AND(DivAs=2,CC$2&lt;ExDivPct),ExDivTree!CC8+DivAmount*EXP(IntRate*(CC$2-ExDivPct)),ExDivTree!CC8))</f>
        <v>722.09920698609994</v>
      </c>
      <c r="CD8" s="17">
        <f>IF(CD$3="","",IF(AND(DivAs=2,CD$2&lt;ExDivPct),ExDivTree!CD8+DivAmount*EXP(IntRate*(CD$2-ExDivPct)),ExDivTree!CD8))</f>
        <v>743.95899876980002</v>
      </c>
      <c r="CE8" s="17">
        <f>IF(CE$3="","",IF(AND(DivAs=2,CE$2&lt;ExDivPct),ExDivTree!CE8+DivAmount*EXP(IntRate*(CE$2-ExDivPct)),ExDivTree!CE8))</f>
        <v>766.48054241839998</v>
      </c>
      <c r="CF8" s="17">
        <f>IF(CF$3="","",IF(AND(DivAs=2,CF$2&lt;ExDivPct),ExDivTree!CF8+DivAmount*EXP(IntRate*(CF$2-ExDivPct)),ExDivTree!CF8))</f>
        <v>789.68387085510005</v>
      </c>
      <c r="CG8" s="17">
        <f>IF(CG$3="","",IF(AND(DivAs=2,CG$2&lt;ExDivPct),ExDivTree!CG8+DivAmount*EXP(IntRate*(CG$2-ExDivPct)),ExDivTree!CG8))</f>
        <v>813.58962345099997</v>
      </c>
      <c r="CH8" s="17">
        <f>IF(CH$3="","",IF(AND(DivAs=2,CH$2&lt;ExDivPct),ExDivTree!CH8+DivAmount*EXP(IntRate*(CH$2-ExDivPct)),ExDivTree!CH8))</f>
        <v>838.21906438379995</v>
      </c>
      <c r="CI8" s="17">
        <f>IF(CI$3="","",IF(AND(DivAs=2,CI$2&lt;ExDivPct),ExDivTree!CI8+DivAmount*EXP(IntRate*(CI$2-ExDivPct)),ExDivTree!CI8))</f>
        <v>863.5941015523</v>
      </c>
      <c r="CJ8" s="17">
        <f>IF(CJ$3="","",IF(AND(DivAs=2,CJ$2&lt;ExDivPct),ExDivTree!CJ8+DivAmount*EXP(IntRate*(CJ$2-ExDivPct)),ExDivTree!CJ8))</f>
        <v>889.7373060635</v>
      </c>
      <c r="CK8" s="17">
        <f>IF(CK$3="","",IF(AND(DivAs=2,CK$2&lt;ExDivPct),ExDivTree!CK8+DivAmount*EXP(IntRate*(CK$2-ExDivPct)),ExDivTree!CK8))</f>
        <v>916.67193230960004</v>
      </c>
      <c r="CL8" s="17">
        <f>IF(CL$3="","",IF(AND(DivAs=2,CL$2&lt;ExDivPct),ExDivTree!CL8+DivAmount*EXP(IntRate*(CL$2-ExDivPct)),ExDivTree!CL8))</f>
        <v>944.42193865280001</v>
      </c>
      <c r="CM8" s="17">
        <f>IF(CM$3="","",IF(AND(DivAs=2,CM$2&lt;ExDivPct),ExDivTree!CM8+DivAmount*EXP(IntRate*(CM$2-ExDivPct)),ExDivTree!CM8))</f>
        <v>973.0120087363</v>
      </c>
      <c r="CN8" s="17">
        <f>IF(CN$3="","",IF(AND(DivAs=2,CN$2&lt;ExDivPct),ExDivTree!CN8+DivAmount*EXP(IntRate*(CN$2-ExDivPct)),ExDivTree!CN8))</f>
        <v>1002.4675734403</v>
      </c>
      <c r="CO8" s="17">
        <f>IF(CO$3="","",IF(AND(DivAs=2,CO$2&lt;ExDivPct),ExDivTree!CO8+DivAmount*EXP(IntRate*(CO$2-ExDivPct)),ExDivTree!CO8))</f>
        <v>1032.8148335028</v>
      </c>
      <c r="CP8" s="17">
        <f>IF(CP$3="","",IF(AND(DivAs=2,CP$2&lt;ExDivPct),ExDivTree!CP8+DivAmount*EXP(IntRate*(CP$2-ExDivPct)),ExDivTree!CP8))</f>
        <v>1064.0807828254001</v>
      </c>
      <c r="CQ8" s="17">
        <f>IF(CQ$3="","",IF(AND(DivAs=2,CQ$2&lt;ExDivPct),ExDivTree!CQ8+DivAmount*EXP(IntRate*(CQ$2-ExDivPct)),ExDivTree!CQ8))</f>
        <v>1096.2932324840999</v>
      </c>
      <c r="CR8" s="17">
        <f>IF(CR$3="","",IF(AND(DivAs=2,CR$2&lt;ExDivPct),ExDivTree!CR8+DivAmount*EXP(IntRate*(CR$2-ExDivPct)),ExDivTree!CR8))</f>
        <v>1129.4808354674001</v>
      </c>
      <c r="CS8" s="17">
        <f>IF(CS$3="","",IF(AND(DivAs=2,CS$2&lt;ExDivPct),ExDivTree!CS8+DivAmount*EXP(IntRate*(CS$2-ExDivPct)),ExDivTree!CS8))</f>
        <v>1163.6731121631999</v>
      </c>
      <c r="CT8" s="17">
        <f>IF(CT$3="","",IF(AND(DivAs=2,CT$2&lt;ExDivPct),ExDivTree!CT8+DivAmount*EXP(IntRate*(CT$2-ExDivPct)),ExDivTree!CT8))</f>
        <v>1198.9004766169001</v>
      </c>
      <c r="CU8" s="17">
        <f>IF(CU$3="","",IF(AND(DivAs=2,CU$2&lt;ExDivPct),ExDivTree!CU8+DivAmount*EXP(IntRate*(CU$2-ExDivPct)),ExDivTree!CU8))</f>
        <v>1235.1942635851001</v>
      </c>
      <c r="CV8" s="17">
        <f>IF(CV$3="","",IF(AND(DivAs=2,CV$2&lt;ExDivPct),ExDivTree!CV8+DivAmount*EXP(IntRate*(CV$2-ExDivPct)),ExDivTree!CV8))</f>
        <v>1272.5867564077</v>
      </c>
      <c r="CW8" s="17">
        <f>IF(CW$3="","",IF(AND(DivAs=2,CW$2&lt;ExDivPct),ExDivTree!CW8+DivAmount*EXP(IntRate*(CW$2-ExDivPct)),ExDivTree!CW8))</f>
        <v>1311.1112157238999</v>
      </c>
      <c r="CX8" s="17">
        <f>IF(CX$3="","",IF(AND(DivAs=2,CX$2&lt;ExDivPct),ExDivTree!CX8+DivAmount*EXP(IntRate*(CX$2-ExDivPct)),ExDivTree!CX8))</f>
        <v>1350.8019090577</v>
      </c>
      <c r="CY8" s="17">
        <f>IF(CY$3="","",IF(AND(DivAs=2,CY$2&lt;ExDivPct),ExDivTree!CY8+DivAmount*EXP(IntRate*(CY$2-ExDivPct)),ExDivTree!CY8))</f>
        <v>1391.6941412987001</v>
      </c>
      <c r="CZ8" s="17">
        <f>IF(CZ$3="","",IF(AND(DivAs=2,CZ$2&lt;ExDivPct),ExDivTree!CZ8+DivAmount*EXP(IntRate*(CZ$2-ExDivPct)),ExDivTree!CZ8))</f>
        <v>1433.8242861059</v>
      </c>
      <c r="DA8" s="17">
        <f>IF(DA$3="","",IF(AND(DivAs=2,DA$2&lt;ExDivPct),ExDivTree!DA8+DivAmount*EXP(IntRate*(DA$2-ExDivPct)),ExDivTree!DA8))</f>
        <v>1477.229818262</v>
      </c>
      <c r="DB8" s="17">
        <f>IF(DB$3="","",IF(AND(DivAs=2,DB$2&lt;ExDivPct),ExDivTree!DB8+DivAmount*EXP(IntRate*(DB$2-ExDivPct)),ExDivTree!DB8))</f>
        <v>1521.9493470074999</v>
      </c>
    </row>
    <row r="9" spans="1:106" x14ac:dyDescent="0.2">
      <c r="A9">
        <f>ExDivTree!A9</f>
        <v>79208745</v>
      </c>
      <c r="B9" s="71">
        <f>ExDivTree!B9</f>
        <v>3.1242341141060146E-23</v>
      </c>
      <c r="C9" s="71">
        <f>ExDivTree!C9</f>
        <v>3.9750149278760359E-23</v>
      </c>
      <c r="D9" s="177">
        <f>ExDivTree!D9</f>
        <v>5</v>
      </c>
      <c r="J9" s="17">
        <f>IF(J$3="","",IF(AND(DivAs=2,J$2&lt;ExDivPct),ExDivTree!J9+DivAmount*EXP(IntRate*(J$2-ExDivPct)),ExDivTree!J9))</f>
        <v>86.851118129488938</v>
      </c>
      <c r="K9" s="17">
        <f>IF(K$3="","",IF(AND(DivAs=2,K$2&lt;ExDivPct),ExDivTree!K9+DivAmount*EXP(IntRate*(K$2-ExDivPct)),ExDivTree!K9))</f>
        <v>89.331978353109406</v>
      </c>
      <c r="L9" s="17">
        <f>IF(L$3="","",IF(AND(DivAs=2,L$2&lt;ExDivPct),ExDivTree!L9+DivAmount*EXP(IntRate*(L$2-ExDivPct)),ExDivTree!L9))</f>
        <v>91.887862488947235</v>
      </c>
      <c r="M9" s="17">
        <f>IF(M$3="","",IF(AND(DivAs=2,M$2&lt;ExDivPct),ExDivTree!M9+DivAmount*EXP(IntRate*(M$2-ExDivPct)),ExDivTree!M9))</f>
        <v>94.521041661829543</v>
      </c>
      <c r="N9" s="17">
        <f>IF(N$3="","",IF(AND(DivAs=2,N$2&lt;ExDivPct),ExDivTree!N9+DivAmount*EXP(IntRate*(N$2-ExDivPct)),ExDivTree!N9))</f>
        <v>97.23385574928389</v>
      </c>
      <c r="O9" s="17">
        <f>IF(O$3="","",IF(AND(DivAs=2,O$2&lt;ExDivPct),ExDivTree!O9+DivAmount*EXP(IntRate*(O$2-ExDivPct)),ExDivTree!O9))</f>
        <v>95.028542938599998</v>
      </c>
      <c r="P9" s="17">
        <f>IF(P$3="","",IF(AND(DivAs=2,P$2&lt;ExDivPct),ExDivTree!P9+DivAmount*EXP(IntRate*(P$2-ExDivPct)),ExDivTree!P9))</f>
        <v>97.905300234600006</v>
      </c>
      <c r="Q9" s="17">
        <f>IF(Q$3="","",IF(AND(DivAs=2,Q$2&lt;ExDivPct),ExDivTree!Q9+DivAmount*EXP(IntRate*(Q$2-ExDivPct)),ExDivTree!Q9))</f>
        <v>100.86914433929999</v>
      </c>
      <c r="R9" s="17">
        <f>IF(R$3="","",IF(AND(DivAs=2,R$2&lt;ExDivPct),ExDivTree!R9+DivAmount*EXP(IntRate*(R$2-ExDivPct)),ExDivTree!R9))</f>
        <v>103.9227115934</v>
      </c>
      <c r="S9" s="17">
        <f>IF(S$3="","",IF(AND(DivAs=2,S$2&lt;ExDivPct),ExDivTree!S9+DivAmount*EXP(IntRate*(S$2-ExDivPct)),ExDivTree!S9))</f>
        <v>107.0687181463</v>
      </c>
      <c r="T9" s="17">
        <f>IF(T$3="","",IF(AND(DivAs=2,T$2&lt;ExDivPct),ExDivTree!T9+DivAmount*EXP(IntRate*(T$2-ExDivPct)),ExDivTree!T9))</f>
        <v>110.30996237230001</v>
      </c>
      <c r="U9" s="17">
        <f>IF(U$3="","",IF(AND(DivAs=2,U$2&lt;ExDivPct),ExDivTree!U9+DivAmount*EXP(IntRate*(U$2-ExDivPct)),ExDivTree!U9))</f>
        <v>113.64932735959999</v>
      </c>
      <c r="V9" s="17">
        <f>IF(V$3="","",IF(AND(DivAs=2,V$2&lt;ExDivPct),ExDivTree!V9+DivAmount*EXP(IntRate*(V$2-ExDivPct)),ExDivTree!V9))</f>
        <v>117.0897834748</v>
      </c>
      <c r="W9" s="17">
        <f>IF(W$3="","",IF(AND(DivAs=2,W$2&lt;ExDivPct),ExDivTree!W9+DivAmount*EXP(IntRate*(W$2-ExDivPct)),ExDivTree!W9))</f>
        <v>120.6343910052</v>
      </c>
      <c r="X9" s="17">
        <f>IF(X$3="","",IF(AND(DivAs=2,X$2&lt;ExDivPct),ExDivTree!X9+DivAmount*EXP(IntRate*(X$2-ExDivPct)),ExDivTree!X9))</f>
        <v>124.28630288079999</v>
      </c>
      <c r="Y9" s="17">
        <f>IF(Y$3="","",IF(AND(DivAs=2,Y$2&lt;ExDivPct),ExDivTree!Y9+DivAmount*EXP(IntRate*(Y$2-ExDivPct)),ExDivTree!Y9))</f>
        <v>128.04876747879999</v>
      </c>
      <c r="Z9" s="17">
        <f>IF(Z$3="","",IF(AND(DivAs=2,Z$2&lt;ExDivPct),ExDivTree!Z9+DivAmount*EXP(IntRate*(Z$2-ExDivPct)),ExDivTree!Z9))</f>
        <v>131.9251315132</v>
      </c>
      <c r="AA9" s="17">
        <f>IF(AA$3="","",IF(AND(DivAs=2,AA$2&lt;ExDivPct),ExDivTree!AA9+DivAmount*EXP(IntRate*(AA$2-ExDivPct)),ExDivTree!AA9))</f>
        <v>135.91884301159999</v>
      </c>
      <c r="AB9" s="17">
        <f>IF(AB$3="","",IF(AND(DivAs=2,AB$2&lt;ExDivPct),ExDivTree!AB9+DivAmount*EXP(IntRate*(AB$2-ExDivPct)),ExDivTree!AB9))</f>
        <v>140.03345438209999</v>
      </c>
      <c r="AC9" s="17">
        <f>IF(AC$3="","",IF(AND(DivAs=2,AC$2&lt;ExDivPct),ExDivTree!AC9+DivAmount*EXP(IntRate*(AC$2-ExDivPct)),ExDivTree!AC9))</f>
        <v>144.27262557340001</v>
      </c>
      <c r="AD9" s="17">
        <f>IF(AD$3="","",IF(AND(DivAs=2,AD$2&lt;ExDivPct),ExDivTree!AD9+DivAmount*EXP(IntRate*(AD$2-ExDivPct)),ExDivTree!AD9))</f>
        <v>148.64012733019999</v>
      </c>
      <c r="AE9" s="17">
        <f>IF(AE$3="","",IF(AND(DivAs=2,AE$2&lt;ExDivPct),ExDivTree!AE9+DivAmount*EXP(IntRate*(AE$2-ExDivPct)),ExDivTree!AE9))</f>
        <v>153.13984454729999</v>
      </c>
      <c r="AF9" s="17">
        <f>IF(AF$3="","",IF(AND(DivAs=2,AF$2&lt;ExDivPct),ExDivTree!AF9+DivAmount*EXP(IntRate*(AF$2-ExDivPct)),ExDivTree!AF9))</f>
        <v>157.77577972520001</v>
      </c>
      <c r="AG9" s="17">
        <f>IF(AG$3="","",IF(AND(DivAs=2,AG$2&lt;ExDivPct),ExDivTree!AG9+DivAmount*EXP(IntRate*(AG$2-ExDivPct)),ExDivTree!AG9))</f>
        <v>162.55205653030001</v>
      </c>
      <c r="AH9" s="17">
        <f>IF(AH$3="","",IF(AND(DivAs=2,AH$2&lt;ExDivPct),ExDivTree!AH9+DivAmount*EXP(IntRate*(AH$2-ExDivPct)),ExDivTree!AH9))</f>
        <v>167.472923463</v>
      </c>
      <c r="AI9" s="17">
        <f>IF(AI$3="","",IF(AND(DivAs=2,AI$2&lt;ExDivPct),ExDivTree!AI9+DivAmount*EXP(IntRate*(AI$2-ExDivPct)),ExDivTree!AI9))</f>
        <v>172.54275763659999</v>
      </c>
      <c r="AJ9" s="17">
        <f>IF(AJ$3="","",IF(AND(DivAs=2,AJ$2&lt;ExDivPct),ExDivTree!AJ9+DivAmount*EXP(IntRate*(AJ$2-ExDivPct)),ExDivTree!AJ9))</f>
        <v>177.76606867090001</v>
      </c>
      <c r="AK9" s="17">
        <f>IF(AK$3="","",IF(AND(DivAs=2,AK$2&lt;ExDivPct),ExDivTree!AK9+DivAmount*EXP(IntRate*(AK$2-ExDivPct)),ExDivTree!AK9))</f>
        <v>183.14750270350001</v>
      </c>
      <c r="AL9" s="17">
        <f>IF(AL$3="","",IF(AND(DivAs=2,AL$2&lt;ExDivPct),ExDivTree!AL9+DivAmount*EXP(IntRate*(AL$2-ExDivPct)),ExDivTree!AL9))</f>
        <v>188.69184652230001</v>
      </c>
      <c r="AM9" s="17">
        <f>IF(AM$3="","",IF(AND(DivAs=2,AM$2&lt;ExDivPct),ExDivTree!AM9+DivAmount*EXP(IntRate*(AM$2-ExDivPct)),ExDivTree!AM9))</f>
        <v>194.4040318237</v>
      </c>
      <c r="AN9" s="17">
        <f>IF(AN$3="","",IF(AND(DivAs=2,AN$2&lt;ExDivPct),ExDivTree!AN9+DivAmount*EXP(IntRate*(AN$2-ExDivPct)),ExDivTree!AN9))</f>
        <v>200.28913959900001</v>
      </c>
      <c r="AO9" s="17">
        <f>IF(AO$3="","",IF(AND(DivAs=2,AO$2&lt;ExDivPct),ExDivTree!AO9+DivAmount*EXP(IntRate*(AO$2-ExDivPct)),ExDivTree!AO9))</f>
        <v>206.35240465429999</v>
      </c>
      <c r="AP9" s="17">
        <f>IF(AP$3="","",IF(AND(DivAs=2,AP$2&lt;ExDivPct),ExDivTree!AP9+DivAmount*EXP(IntRate*(AP$2-ExDivPct)),ExDivTree!AP9))</f>
        <v>212.59922026660001</v>
      </c>
      <c r="AQ9" s="17">
        <f>IF(AQ$3="","",IF(AND(DivAs=2,AQ$2&lt;ExDivPct),ExDivTree!AQ9+DivAmount*EXP(IntRate*(AQ$2-ExDivPct)),ExDivTree!AQ9))</f>
        <v>219.03514298120001</v>
      </c>
      <c r="AR9" s="17">
        <f>IF(AR$3="","",IF(AND(DivAs=2,AR$2&lt;ExDivPct),ExDivTree!AR9+DivAmount*EXP(IntRate*(AR$2-ExDivPct)),ExDivTree!AR9))</f>
        <v>225.6658975542</v>
      </c>
      <c r="AS9" s="17">
        <f>IF(AS$3="","",IF(AND(DivAs=2,AS$2&lt;ExDivPct),ExDivTree!AS9+DivAmount*EXP(IntRate*(AS$2-ExDivPct)),ExDivTree!AS9))</f>
        <v>232.49738204479999</v>
      </c>
      <c r="AT9" s="17">
        <f>IF(AT$3="","",IF(AND(DivAs=2,AT$2&lt;ExDivPct),ExDivTree!AT9+DivAmount*EXP(IntRate*(AT$2-ExDivPct)),ExDivTree!AT9))</f>
        <v>239.53567306159999</v>
      </c>
      <c r="AU9" s="17">
        <f>IF(AU$3="","",IF(AND(DivAs=2,AU$2&lt;ExDivPct),ExDivTree!AU9+DivAmount*EXP(IntRate*(AU$2-ExDivPct)),ExDivTree!AU9))</f>
        <v>246.78703116759999</v>
      </c>
      <c r="AV9" s="17">
        <f>IF(AV$3="","",IF(AND(DivAs=2,AV$2&lt;ExDivPct),ExDivTree!AV9+DivAmount*EXP(IntRate*(AV$2-ExDivPct)),ExDivTree!AV9))</f>
        <v>254.25790644910001</v>
      </c>
      <c r="AW9" s="17">
        <f>IF(AW$3="","",IF(AND(DivAs=2,AW$2&lt;ExDivPct),ExDivTree!AW9+DivAmount*EXP(IntRate*(AW$2-ExDivPct)),ExDivTree!AW9))</f>
        <v>261.95494425300001</v>
      </c>
      <c r="AX9" s="17">
        <f>IF(AX$3="","",IF(AND(DivAs=2,AX$2&lt;ExDivPct),ExDivTree!AX9+DivAmount*EXP(IntRate*(AX$2-ExDivPct)),ExDivTree!AX9))</f>
        <v>269.88499109790001</v>
      </c>
      <c r="AY9" s="17">
        <f>IF(AY$3="","",IF(AND(DivAs=2,AY$2&lt;ExDivPct),ExDivTree!AY9+DivAmount*EXP(IntRate*(AY$2-ExDivPct)),ExDivTree!AY9))</f>
        <v>278.05510076410002</v>
      </c>
      <c r="AZ9" s="17">
        <f>IF(AZ$3="","",IF(AND(DivAs=2,AZ$2&lt;ExDivPct),ExDivTree!AZ9+DivAmount*EXP(IntRate*(AZ$2-ExDivPct)),ExDivTree!AZ9))</f>
        <v>286.47254056780002</v>
      </c>
      <c r="BA9" s="17">
        <f>IF(BA$3="","",IF(AND(DivAs=2,BA$2&lt;ExDivPct),ExDivTree!BA9+DivAmount*EXP(IntRate*(BA$2-ExDivPct)),ExDivTree!BA9))</f>
        <v>295.14479782550001</v>
      </c>
      <c r="BB9" s="17">
        <f>IF(BB$3="","",IF(AND(DivAs=2,BB$2&lt;ExDivPct),ExDivTree!BB9+DivAmount*EXP(IntRate*(BB$2-ExDivPct)),ExDivTree!BB9))</f>
        <v>304.07958651400003</v>
      </c>
      <c r="BC9" s="17">
        <f>IF(BC$3="","",IF(AND(DivAs=2,BC$2&lt;ExDivPct),ExDivTree!BC9+DivAmount*EXP(IntRate*(BC$2-ExDivPct)),ExDivTree!BC9))</f>
        <v>313.28485413179999</v>
      </c>
      <c r="BD9" s="17">
        <f>IF(BD$3="","",IF(AND(DivAs=2,BD$2&lt;ExDivPct),ExDivTree!BD9+DivAmount*EXP(IntRate*(BD$2-ExDivPct)),ExDivTree!BD9))</f>
        <v>322.76878876860002</v>
      </c>
      <c r="BE9" s="17">
        <f>IF(BE$3="","",IF(AND(DivAs=2,BE$2&lt;ExDivPct),ExDivTree!BE9+DivAmount*EXP(IntRate*(BE$2-ExDivPct)),ExDivTree!BE9))</f>
        <v>332.53982638849999</v>
      </c>
      <c r="BF9" s="17">
        <f>IF(BF$3="","",IF(AND(DivAs=2,BF$2&lt;ExDivPct),ExDivTree!BF9+DivAmount*EXP(IntRate*(BF$2-ExDivPct)),ExDivTree!BF9))</f>
        <v>342.60665833389999</v>
      </c>
      <c r="BG9" s="17">
        <f>IF(BG$3="","",IF(AND(DivAs=2,BG$2&lt;ExDivPct),ExDivTree!BG9+DivAmount*EXP(IntRate*(BG$2-ExDivPct)),ExDivTree!BG9))</f>
        <v>352.97823905640001</v>
      </c>
      <c r="BH9" s="17">
        <f>IF(BH$3="","",IF(AND(DivAs=2,BH$2&lt;ExDivPct),ExDivTree!BH9+DivAmount*EXP(IntRate*(BH$2-ExDivPct)),ExDivTree!BH9))</f>
        <v>363.66379408170002</v>
      </c>
      <c r="BI9" s="17">
        <f>IF(BI$3="","",IF(AND(DivAs=2,BI$2&lt;ExDivPct),ExDivTree!BI9+DivAmount*EXP(IntRate*(BI$2-ExDivPct)),ExDivTree!BI9))</f>
        <v>374.6728282158</v>
      </c>
      <c r="BJ9" s="17">
        <f>IF(BJ$3="","",IF(AND(DivAs=2,BJ$2&lt;ExDivPct),ExDivTree!BJ9+DivAmount*EXP(IntRate*(BJ$2-ExDivPct)),ExDivTree!BJ9))</f>
        <v>386.01513399949999</v>
      </c>
      <c r="BK9" s="17">
        <f>IF(BK$3="","",IF(AND(DivAs=2,BK$2&lt;ExDivPct),ExDivTree!BK9+DivAmount*EXP(IntRate*(BK$2-ExDivPct)),ExDivTree!BK9))</f>
        <v>397.70080041900002</v>
      </c>
      <c r="BL9" s="17">
        <f>IF(BL$3="","",IF(AND(DivAs=2,BL$2&lt;ExDivPct),ExDivTree!BL9+DivAmount*EXP(IntRate*(BL$2-ExDivPct)),ExDivTree!BL9))</f>
        <v>409.7402218798</v>
      </c>
      <c r="BM9" s="17">
        <f>IF(BM$3="","",IF(AND(DivAs=2,BM$2&lt;ExDivPct),ExDivTree!BM9+DivAmount*EXP(IntRate*(BM$2-ExDivPct)),ExDivTree!BM9))</f>
        <v>422.14410745269998</v>
      </c>
      <c r="BN9" s="17">
        <f>IF(BN$3="","",IF(AND(DivAs=2,BN$2&lt;ExDivPct),ExDivTree!BN9+DivAmount*EXP(IntRate*(BN$2-ExDivPct)),ExDivTree!BN9))</f>
        <v>434.9234903995</v>
      </c>
      <c r="BO9" s="17">
        <f>IF(BO$3="","",IF(AND(DivAs=2,BO$2&lt;ExDivPct),ExDivTree!BO9+DivAmount*EXP(IntRate*(BO$2-ExDivPct)),ExDivTree!BO9))</f>
        <v>448.08973798710002</v>
      </c>
      <c r="BP9" s="17">
        <f>IF(BP$3="","",IF(AND(DivAs=2,BP$2&lt;ExDivPct),ExDivTree!BP9+DivAmount*EXP(IntRate*(BP$2-ExDivPct)),ExDivTree!BP9))</f>
        <v>461.65456159870001</v>
      </c>
      <c r="BQ9" s="17">
        <f>IF(BQ$3="","",IF(AND(DivAs=2,BQ$2&lt;ExDivPct),ExDivTree!BQ9+DivAmount*EXP(IntRate*(BQ$2-ExDivPct)),ExDivTree!BQ9))</f>
        <v>475.63002715099998</v>
      </c>
      <c r="BR9" s="17">
        <f>IF(BR$3="","",IF(AND(DivAs=2,BR$2&lt;ExDivPct),ExDivTree!BR9+DivAmount*EXP(IntRate*(BR$2-ExDivPct)),ExDivTree!BR9))</f>
        <v>490.02856582689998</v>
      </c>
      <c r="BS9" s="17">
        <f>IF(BS$3="","",IF(AND(DivAs=2,BS$2&lt;ExDivPct),ExDivTree!BS9+DivAmount*EXP(IntRate*(BS$2-ExDivPct)),ExDivTree!BS9))</f>
        <v>504.862985133</v>
      </c>
      <c r="BT9" s="17">
        <f>IF(BT$3="","",IF(AND(DivAs=2,BT$2&lt;ExDivPct),ExDivTree!BT9+DivAmount*EXP(IntRate*(BT$2-ExDivPct)),ExDivTree!BT9))</f>
        <v>520.14648029210002</v>
      </c>
      <c r="BU9" s="17">
        <f>IF(BU$3="","",IF(AND(DivAs=2,BU$2&lt;ExDivPct),ExDivTree!BU9+DivAmount*EXP(IntRate*(BU$2-ExDivPct)),ExDivTree!BU9))</f>
        <v>535.89264597989995</v>
      </c>
      <c r="BV9" s="17">
        <f>IF(BV$3="","",IF(AND(DivAs=2,BV$2&lt;ExDivPct),ExDivTree!BV9+DivAmount*EXP(IntRate*(BV$2-ExDivPct)),ExDivTree!BV9))</f>
        <v>552.1154884179</v>
      </c>
      <c r="BW9" s="17">
        <f>IF(BW$3="","",IF(AND(DivAs=2,BW$2&lt;ExDivPct),ExDivTree!BW9+DivAmount*EXP(IntRate*(BW$2-ExDivPct)),ExDivTree!BW9))</f>
        <v>568.82943783179996</v>
      </c>
      <c r="BX9" s="17">
        <f>IF(BX$3="","",IF(AND(DivAs=2,BX$2&lt;ExDivPct),ExDivTree!BX9+DivAmount*EXP(IntRate*(BX$2-ExDivPct)),ExDivTree!BX9))</f>
        <v>586.04936128710006</v>
      </c>
      <c r="BY9" s="17">
        <f>IF(BY$3="","",IF(AND(DivAs=2,BY$2&lt;ExDivPct),ExDivTree!BY9+DivAmount*EXP(IntRate*(BY$2-ExDivPct)),ExDivTree!BY9))</f>
        <v>603.79057591360004</v>
      </c>
      <c r="BZ9" s="17">
        <f>IF(BZ$3="","",IF(AND(DivAs=2,BZ$2&lt;ExDivPct),ExDivTree!BZ9+DivAmount*EXP(IntRate*(BZ$2-ExDivPct)),ExDivTree!BZ9))</f>
        <v>622.06886252959998</v>
      </c>
      <c r="CA9" s="17">
        <f>IF(CA$3="","",IF(AND(DivAs=2,CA$2&lt;ExDivPct),ExDivTree!CA9+DivAmount*EXP(IntRate*(CA$2-ExDivPct)),ExDivTree!CA9))</f>
        <v>640.90047967930002</v>
      </c>
      <c r="CB9" s="17">
        <f>IF(CB$3="","",IF(AND(DivAs=2,CB$2&lt;ExDivPct),ExDivTree!CB9+DivAmount*EXP(IntRate*(CB$2-ExDivPct)),ExDivTree!CB9))</f>
        <v>660.30217809459998</v>
      </c>
      <c r="CC9" s="17">
        <f>IF(CC$3="","",IF(AND(DivAs=2,CC$2&lt;ExDivPct),ExDivTree!CC9+DivAmount*EXP(IntRate*(CC$2-ExDivPct)),ExDivTree!CC9))</f>
        <v>680.29121559509997</v>
      </c>
      <c r="CD9" s="17">
        <f>IF(CD$3="","",IF(AND(DivAs=2,CD$2&lt;ExDivPct),ExDivTree!CD9+DivAmount*EXP(IntRate*(CD$2-ExDivPct)),ExDivTree!CD9))</f>
        <v>700.88537243860003</v>
      </c>
      <c r="CE9" s="17">
        <f>IF(CE$3="","",IF(AND(DivAs=2,CE$2&lt;ExDivPct),ExDivTree!CE9+DivAmount*EXP(IntRate*(CE$2-ExDivPct)),ExDivTree!CE9))</f>
        <v>722.10296713690002</v>
      </c>
      <c r="CF9" s="17">
        <f>IF(CF$3="","",IF(AND(DivAs=2,CF$2&lt;ExDivPct),ExDivTree!CF9+DivAmount*EXP(IntRate*(CF$2-ExDivPct)),ExDivTree!CF9))</f>
        <v>743.96287274999997</v>
      </c>
      <c r="CG9" s="17">
        <f>IF(CG$3="","",IF(AND(DivAs=2,CG$2&lt;ExDivPct),ExDivTree!CG9+DivAmount*EXP(IntRate*(CG$2-ExDivPct)),ExDivTree!CG9))</f>
        <v>766.48453367390005</v>
      </c>
      <c r="CH9" s="17">
        <f>IF(CH$3="","",IF(AND(DivAs=2,CH$2&lt;ExDivPct),ExDivTree!CH9+DivAmount*EXP(IntRate*(CH$2-ExDivPct)),ExDivTree!CH9))</f>
        <v>789.68798293609996</v>
      </c>
      <c r="CI9" s="17">
        <f>IF(CI$3="","",IF(AND(DivAs=2,CI$2&lt;ExDivPct),ExDivTree!CI9+DivAmount*EXP(IntRate*(CI$2-ExDivPct)),ExDivTree!CI9))</f>
        <v>813.59386001519999</v>
      </c>
      <c r="CJ9" s="17">
        <f>IF(CJ$3="","",IF(AND(DivAs=2,CJ$2&lt;ExDivPct),ExDivTree!CJ9+DivAmount*EXP(IntRate*(CJ$2-ExDivPct)),ExDivTree!CJ9))</f>
        <v>838.22342919959999</v>
      </c>
      <c r="CK9" s="17">
        <f>IF(CK$3="","",IF(AND(DivAs=2,CK$2&lt;ExDivPct),ExDivTree!CK9+DivAmount*EXP(IntRate*(CK$2-ExDivPct)),ExDivTree!CK9))</f>
        <v>863.59859850220005</v>
      </c>
      <c r="CL9" s="17">
        <f>IF(CL$3="","",IF(AND(DivAs=2,CL$2&lt;ExDivPct),ExDivTree!CL9+DivAmount*EXP(IntRate*(CL$2-ExDivPct)),ExDivTree!CL9))</f>
        <v>889.74193914759996</v>
      </c>
      <c r="CM9" s="17">
        <f>IF(CM$3="","",IF(AND(DivAs=2,CM$2&lt;ExDivPct),ExDivTree!CM9+DivAmount*EXP(IntRate*(CM$2-ExDivPct)),ExDivTree!CM9))</f>
        <v>916.67670564900004</v>
      </c>
      <c r="CN9" s="17">
        <f>IF(CN$3="","",IF(AND(DivAs=2,CN$2&lt;ExDivPct),ExDivTree!CN9+DivAmount*EXP(IntRate*(CN$2-ExDivPct)),ExDivTree!CN9))</f>
        <v>944.42685649340001</v>
      </c>
      <c r="CO9" s="17">
        <f>IF(CO$3="","",IF(AND(DivAs=2,CO$2&lt;ExDivPct),ExDivTree!CO9+DivAmount*EXP(IntRate*(CO$2-ExDivPct)),ExDivTree!CO9))</f>
        <v>973.01707545249997</v>
      </c>
      <c r="CP9" s="17">
        <f>IF(CP$3="","",IF(AND(DivAs=2,CP$2&lt;ExDivPct),ExDivTree!CP9+DivAmount*EXP(IntRate*(CP$2-ExDivPct)),ExDivTree!CP9))</f>
        <v>1002.4727935389</v>
      </c>
      <c r="CQ9" s="17">
        <f>IF(CQ$3="","",IF(AND(DivAs=2,CQ$2&lt;ExDivPct),ExDivTree!CQ9+DivAmount*EXP(IntRate*(CQ$2-ExDivPct)),ExDivTree!CQ9))</f>
        <v>1032.8202116272</v>
      </c>
      <c r="CR9" s="17">
        <f>IF(CR$3="","",IF(AND(DivAs=2,CR$2&lt;ExDivPct),ExDivTree!CR9+DivAmount*EXP(IntRate*(CR$2-ExDivPct)),ExDivTree!CR9))</f>
        <v>1064.0863237594001</v>
      </c>
      <c r="CS9" s="17">
        <f>IF(CS$3="","",IF(AND(DivAs=2,CS$2&lt;ExDivPct),ExDivTree!CS9+DivAmount*EXP(IntRate*(CS$2-ExDivPct)),ExDivTree!CS9))</f>
        <v>1096.2989411563999</v>
      </c>
      <c r="CT9" s="17">
        <f>IF(CT$3="","",IF(AND(DivAs=2,CT$2&lt;ExDivPct),ExDivTree!CT9+DivAmount*EXP(IntRate*(CT$2-ExDivPct)),ExDivTree!CT9))</f>
        <v>1129.4867169559</v>
      </c>
      <c r="CU9" s="17">
        <f>IF(CU$3="","",IF(AND(DivAs=2,CU$2&lt;ExDivPct),ExDivTree!CU9+DivAmount*EXP(IntRate*(CU$2-ExDivPct)),ExDivTree!CU9))</f>
        <v>1163.6791716994001</v>
      </c>
      <c r="CV9" s="17">
        <f>IF(CV$3="","",IF(AND(DivAs=2,CV$2&lt;ExDivPct),ExDivTree!CV9+DivAmount*EXP(IntRate*(CV$2-ExDivPct)),ExDivTree!CV9))</f>
        <v>1198.9067195908001</v>
      </c>
      <c r="CW9" s="17">
        <f>IF(CW$3="","",IF(AND(DivAs=2,CW$2&lt;ExDivPct),ExDivTree!CW9+DivAmount*EXP(IntRate*(CW$2-ExDivPct)),ExDivTree!CW9))</f>
        <v>1235.2006955498</v>
      </c>
      <c r="CX9" s="17">
        <f>IF(CX$3="","",IF(AND(DivAs=2,CX$2&lt;ExDivPct),ExDivTree!CX9+DivAmount*EXP(IntRate*(CX$2-ExDivPct)),ExDivTree!CX9))</f>
        <v>1272.5933830844999</v>
      </c>
      <c r="CY9" s="17">
        <f>IF(CY$3="","",IF(AND(DivAs=2,CY$2&lt;ExDivPct),ExDivTree!CY9+DivAmount*EXP(IntRate*(CY$2-ExDivPct)),ExDivTree!CY9))</f>
        <v>1311.1180430072</v>
      </c>
      <c r="CZ9" s="17">
        <f>IF(CZ$3="","",IF(AND(DivAs=2,CZ$2&lt;ExDivPct),ExDivTree!CZ9+DivAmount*EXP(IntRate*(CZ$2-ExDivPct)),ExDivTree!CZ9))</f>
        <v>1350.8089430202999</v>
      </c>
      <c r="DA9" s="17">
        <f>IF(DA$3="","",IF(AND(DivAs=2,DA$2&lt;ExDivPct),ExDivTree!DA9+DivAmount*EXP(IntRate*(DA$2-ExDivPct)),ExDivTree!DA9))</f>
        <v>1391.7013881973</v>
      </c>
      <c r="DB9" s="17">
        <f>IF(DB$3="","",IF(AND(DivAs=2,DB$2&lt;ExDivPct),ExDivTree!DB9+DivAmount*EXP(IntRate*(DB$2-ExDivPct)),ExDivTree!DB9))</f>
        <v>1433.8317523866001</v>
      </c>
    </row>
    <row r="10" spans="1:106" x14ac:dyDescent="0.2">
      <c r="A10">
        <f>ExDivTree!A10</f>
        <v>1267339920.0000002</v>
      </c>
      <c r="B10" s="71">
        <f>ExDivTree!B10</f>
        <v>4.9987745825696244E-22</v>
      </c>
      <c r="C10" s="71">
        <f>ExDivTree!C10</f>
        <v>6.3263987952836604E-22</v>
      </c>
      <c r="D10" s="177">
        <f>ExDivTree!D10</f>
        <v>6</v>
      </c>
      <c r="K10" s="17">
        <f>IF(K$3="","",IF(AND(DivAs=2,K$2&lt;ExDivPct),ExDivTree!K10+DivAmount*EXP(IntRate*(K$2-ExDivPct)),ExDivTree!K10))</f>
        <v>84.448739444109407</v>
      </c>
      <c r="L10" s="17">
        <f>IF(L$3="","",IF(AND(DivAs=2,L$2&lt;ExDivPct),ExDivTree!L10+DivAmount*EXP(IntRate*(L$2-ExDivPct)),ExDivTree!L10))</f>
        <v>86.856795435647243</v>
      </c>
      <c r="M10" s="17">
        <f>IF(M$3="","",IF(AND(DivAs=2,M$2&lt;ExDivPct),ExDivTree!M10+DivAmount*EXP(IntRate*(M$2-ExDivPct)),ExDivTree!M10))</f>
        <v>89.337671327829554</v>
      </c>
      <c r="N10" s="17">
        <f>IF(N$3="","",IF(AND(DivAs=2,N$2&lt;ExDivPct),ExDivTree!N10+DivAmount*EXP(IntRate*(N$2-ExDivPct)),ExDivTree!N10))</f>
        <v>91.893571524283885</v>
      </c>
      <c r="O10" s="17">
        <f>IF(O$3="","",IF(AND(DivAs=2,O$2&lt;ExDivPct),ExDivTree!O10+DivAmount*EXP(IntRate*(O$2-ExDivPct)),ExDivTree!O10))</f>
        <v>89.526594637399995</v>
      </c>
      <c r="P10" s="17">
        <f>IF(P$3="","",IF(AND(DivAs=2,P$2&lt;ExDivPct),ExDivTree!P10+DivAmount*EXP(IntRate*(P$2-ExDivPct)),ExDivTree!P10))</f>
        <v>92.236793871700002</v>
      </c>
      <c r="Q10" s="17">
        <f>IF(Q$3="","",IF(AND(DivAs=2,Q$2&lt;ExDivPct),ExDivTree!Q10+DivAmount*EXP(IntRate*(Q$2-ExDivPct)),ExDivTree!Q10))</f>
        <v>95.029037775800006</v>
      </c>
      <c r="R10" s="17">
        <f>IF(R$3="","",IF(AND(DivAs=2,R$2&lt;ExDivPct),ExDivTree!R10+DivAmount*EXP(IntRate*(R$2-ExDivPct)),ExDivTree!R10))</f>
        <v>97.905810051800003</v>
      </c>
      <c r="S10" s="17">
        <f>IF(S$3="","",IF(AND(DivAs=2,S$2&lt;ExDivPct),ExDivTree!S10+DivAmount*EXP(IntRate*(S$2-ExDivPct)),ExDivTree!S10))</f>
        <v>100.86966959</v>
      </c>
      <c r="T10" s="17">
        <f>IF(T$3="","",IF(AND(DivAs=2,T$2&lt;ExDivPct),ExDivTree!T10+DivAmount*EXP(IntRate*(T$2-ExDivPct)),ExDivTree!T10))</f>
        <v>103.9232527448</v>
      </c>
      <c r="U10" s="17">
        <f>IF(U$3="","",IF(AND(DivAs=2,U$2&lt;ExDivPct),ExDivTree!U10+DivAmount*EXP(IntRate*(U$2-ExDivPct)),ExDivTree!U10))</f>
        <v>107.0692756798</v>
      </c>
      <c r="V10" s="17">
        <f>IF(V$3="","",IF(AND(DivAs=2,V$2&lt;ExDivPct),ExDivTree!V10+DivAmount*EXP(IntRate*(V$2-ExDivPct)),ExDivTree!V10))</f>
        <v>110.3105367838</v>
      </c>
      <c r="W10" s="17">
        <f>IF(W$3="","",IF(AND(DivAs=2,W$2&lt;ExDivPct),ExDivTree!W10+DivAmount*EXP(IntRate*(W$2-ExDivPct)),ExDivTree!W10))</f>
        <v>113.64991916</v>
      </c>
      <c r="X10" s="17">
        <f>IF(X$3="","",IF(AND(DivAs=2,X$2&lt;ExDivPct),ExDivTree!X10+DivAmount*EXP(IntRate*(X$2-ExDivPct)),ExDivTree!X10))</f>
        <v>117.0903931905</v>
      </c>
      <c r="Y10" s="17">
        <f>IF(Y$3="","",IF(AND(DivAs=2,Y$2&lt;ExDivPct),ExDivTree!Y10+DivAmount*EXP(IntRate*(Y$2-ExDivPct)),ExDivTree!Y10))</f>
        <v>120.6350191785</v>
      </c>
      <c r="Z10" s="17">
        <f>IF(Z$3="","",IF(AND(DivAs=2,Z$2&lt;ExDivPct),ExDivTree!Z10+DivAmount*EXP(IntRate*(Z$2-ExDivPct)),ExDivTree!Z10))</f>
        <v>124.2869500705</v>
      </c>
      <c r="AA10" s="17">
        <f>IF(AA$3="","",IF(AND(DivAs=2,AA$2&lt;ExDivPct),ExDivTree!AA10+DivAmount*EXP(IntRate*(AA$2-ExDivPct)),ExDivTree!AA10))</f>
        <v>128.04943426060001</v>
      </c>
      <c r="AB10" s="17">
        <f>IF(AB$3="","",IF(AND(DivAs=2,AB$2&lt;ExDivPct),ExDivTree!AB10+DivAmount*EXP(IntRate*(AB$2-ExDivPct)),ExDivTree!AB10))</f>
        <v>131.92581848020001</v>
      </c>
      <c r="AC10" s="17">
        <f>IF(AC$3="","",IF(AND(DivAs=2,AC$2&lt;ExDivPct),ExDivTree!AC10+DivAmount*EXP(IntRate*(AC$2-ExDivPct)),ExDivTree!AC10))</f>
        <v>135.9195507748</v>
      </c>
      <c r="AD10" s="17">
        <f>IF(AD$3="","",IF(AND(DivAs=2,AD$2&lt;ExDivPct),ExDivTree!AD10+DivAmount*EXP(IntRate*(AD$2-ExDivPct)),ExDivTree!AD10))</f>
        <v>140.03418357109999</v>
      </c>
      <c r="AE10" s="17">
        <f>IF(AE$3="","",IF(AND(DivAs=2,AE$2&lt;ExDivPct),ExDivTree!AE10+DivAmount*EXP(IntRate*(AE$2-ExDivPct)),ExDivTree!AE10))</f>
        <v>144.27337683690001</v>
      </c>
      <c r="AF10" s="17">
        <f>IF(AF$3="","",IF(AND(DivAs=2,AF$2&lt;ExDivPct),ExDivTree!AF10+DivAmount*EXP(IntRate*(AF$2-ExDivPct)),ExDivTree!AF10))</f>
        <v>148.64090133639999</v>
      </c>
      <c r="AG10" s="17">
        <f>IF(AG$3="","",IF(AND(DivAs=2,AG$2&lt;ExDivPct),ExDivTree!AG10+DivAmount*EXP(IntRate*(AG$2-ExDivPct)),ExDivTree!AG10))</f>
        <v>153.14064198470001</v>
      </c>
      <c r="AH10" s="17">
        <f>IF(AH$3="","",IF(AND(DivAs=2,AH$2&lt;ExDivPct),ExDivTree!AH10+DivAmount*EXP(IntRate*(AH$2-ExDivPct)),ExDivTree!AH10))</f>
        <v>157.77660130309999</v>
      </c>
      <c r="AI10" s="17">
        <f>IF(AI$3="","",IF(AND(DivAs=2,AI$2&lt;ExDivPct),ExDivTree!AI10+DivAmount*EXP(IntRate*(AI$2-ExDivPct)),ExDivTree!AI10))</f>
        <v>162.5529029795</v>
      </c>
      <c r="AJ10" s="17">
        <f>IF(AJ$3="","",IF(AND(DivAs=2,AJ$2&lt;ExDivPct),ExDivTree!AJ10+DivAmount*EXP(IntRate*(AJ$2-ExDivPct)),ExDivTree!AJ10))</f>
        <v>167.47379553639999</v>
      </c>
      <c r="AK10" s="17">
        <f>IF(AK$3="","",IF(AND(DivAs=2,AK$2&lt;ExDivPct),ExDivTree!AK10+DivAmount*EXP(IntRate*(AK$2-ExDivPct)),ExDivTree!AK10))</f>
        <v>172.54365610990001</v>
      </c>
      <c r="AL10" s="17">
        <f>IF(AL$3="","",IF(AND(DivAs=2,AL$2&lt;ExDivPct),ExDivTree!AL10+DivAmount*EXP(IntRate*(AL$2-ExDivPct)),ExDivTree!AL10))</f>
        <v>177.76699434330001</v>
      </c>
      <c r="AM10" s="17">
        <f>IF(AM$3="","",IF(AND(DivAs=2,AM$2&lt;ExDivPct),ExDivTree!AM10+DivAmount*EXP(IntRate*(AM$2-ExDivPct)),ExDivTree!AM10))</f>
        <v>183.1484563983</v>
      </c>
      <c r="AN10" s="17">
        <f>IF(AN$3="","",IF(AND(DivAs=2,AN$2&lt;ExDivPct),ExDivTree!AN10+DivAmount*EXP(IntRate*(AN$2-ExDivPct)),ExDivTree!AN10))</f>
        <v>188.69282908790001</v>
      </c>
      <c r="AO10" s="17">
        <f>IF(AO$3="","",IF(AND(DivAs=2,AO$2&lt;ExDivPct),ExDivTree!AO10+DivAmount*EXP(IntRate*(AO$2-ExDivPct)),ExDivTree!AO10))</f>
        <v>194.40504413400001</v>
      </c>
      <c r="AP10" s="17">
        <f>IF(AP$3="","",IF(AND(DivAs=2,AP$2&lt;ExDivPct),ExDivTree!AP10+DivAmount*EXP(IntRate*(AP$2-ExDivPct)),ExDivTree!AP10))</f>
        <v>200.29018255450001</v>
      </c>
      <c r="AQ10" s="17">
        <f>IF(AQ$3="","",IF(AND(DivAs=2,AQ$2&lt;ExDivPct),ExDivTree!AQ10+DivAmount*EXP(IntRate*(AQ$2-ExDivPct)),ExDivTree!AQ10))</f>
        <v>206.3534791827</v>
      </c>
      <c r="AR10" s="17">
        <f>IF(AR$3="","",IF(AND(DivAs=2,AR$2&lt;ExDivPct),ExDivTree!AR10+DivAmount*EXP(IntRate*(AR$2-ExDivPct)),ExDivTree!AR10))</f>
        <v>212.60032732369999</v>
      </c>
      <c r="AS10" s="17">
        <f>IF(AS$3="","",IF(AND(DivAs=2,AS$2&lt;ExDivPct),ExDivTree!AS10+DivAmount*EXP(IntRate*(AS$2-ExDivPct)),ExDivTree!AS10))</f>
        <v>219.0362835517</v>
      </c>
      <c r="AT10" s="17">
        <f>IF(AT$3="","",IF(AND(DivAs=2,AT$2&lt;ExDivPct),ExDivTree!AT10+DivAmount*EXP(IntRate*(AT$2-ExDivPct)),ExDivTree!AT10))</f>
        <v>225.6670726527</v>
      </c>
      <c r="AU10" s="17">
        <f>IF(AU$3="","",IF(AND(DivAs=2,AU$2&lt;ExDivPct),ExDivTree!AU10+DivAmount*EXP(IntRate*(AU$2-ExDivPct)),ExDivTree!AU10))</f>
        <v>232.4985927166</v>
      </c>
      <c r="AV10" s="17">
        <f>IF(AV$3="","",IF(AND(DivAs=2,AV$2&lt;ExDivPct),ExDivTree!AV10+DivAmount*EXP(IntRate*(AV$2-ExDivPct)),ExDivTree!AV10))</f>
        <v>239.53692038349999</v>
      </c>
      <c r="AW10" s="17">
        <f>IF(AW$3="","",IF(AND(DivAs=2,AW$2&lt;ExDivPct),ExDivTree!AW10+DivAmount*EXP(IntRate*(AW$2-ExDivPct)),ExDivTree!AW10))</f>
        <v>246.78831624910001</v>
      </c>
      <c r="AX10" s="17">
        <f>IF(AX$3="","",IF(AND(DivAs=2,AX$2&lt;ExDivPct),ExDivTree!AX10+DivAmount*EXP(IntRate*(AX$2-ExDivPct)),ExDivTree!AX10))</f>
        <v>254.25923043329999</v>
      </c>
      <c r="AY10" s="17">
        <f>IF(AY$3="","",IF(AND(DivAs=2,AY$2&lt;ExDivPct),ExDivTree!AY10+DivAmount*EXP(IntRate*(AY$2-ExDivPct)),ExDivTree!AY10))</f>
        <v>261.95630831760002</v>
      </c>
      <c r="AZ10" s="17">
        <f>IF(AZ$3="","",IF(AND(DivAs=2,AZ$2&lt;ExDivPct),ExDivTree!AZ10+DivAmount*EXP(IntRate*(AZ$2-ExDivPct)),ExDivTree!AZ10))</f>
        <v>269.88639645630002</v>
      </c>
      <c r="BA10" s="17">
        <f>IF(BA$3="","",IF(AND(DivAs=2,BA$2&lt;ExDivPct),ExDivTree!BA10+DivAmount*EXP(IntRate*(BA$2-ExDivPct)),ExDivTree!BA10))</f>
        <v>278.05654866629999</v>
      </c>
      <c r="BB10" s="17">
        <f>IF(BB$3="","",IF(AND(DivAs=2,BB$2&lt;ExDivPct),ExDivTree!BB10+DivAmount*EXP(IntRate*(BB$2-ExDivPct)),ExDivTree!BB10))</f>
        <v>286.47403230169999</v>
      </c>
      <c r="BC10" s="17">
        <f>IF(BC$3="","",IF(AND(DivAs=2,BC$2&lt;ExDivPct),ExDivTree!BC10+DivAmount*EXP(IntRate*(BC$2-ExDivPct)),ExDivTree!BC10))</f>
        <v>295.14633471799999</v>
      </c>
      <c r="BD10" s="17">
        <f>IF(BD$3="","",IF(AND(DivAs=2,BD$2&lt;ExDivPct),ExDivTree!BD10+DivAmount*EXP(IntRate*(BD$2-ExDivPct)),ExDivTree!BD10))</f>
        <v>304.08116993210001</v>
      </c>
      <c r="BE10" s="17">
        <f>IF(BE$3="","",IF(AND(DivAs=2,BE$2&lt;ExDivPct),ExDivTree!BE10+DivAmount*EXP(IntRate*(BE$2-ExDivPct)),ExDivTree!BE10))</f>
        <v>313.28648548400002</v>
      </c>
      <c r="BF10" s="17">
        <f>IF(BF$3="","",IF(AND(DivAs=2,BF$2&lt;ExDivPct),ExDivTree!BF10+DivAmount*EXP(IntRate*(BF$2-ExDivPct)),ExDivTree!BF10))</f>
        <v>322.77046950599998</v>
      </c>
      <c r="BG10" s="17">
        <f>IF(BG$3="","",IF(AND(DivAs=2,BG$2&lt;ExDivPct),ExDivTree!BG10+DivAmount*EXP(IntRate*(BG$2-ExDivPct)),ExDivTree!BG10))</f>
        <v>332.54155800609999</v>
      </c>
      <c r="BH10" s="17">
        <f>IF(BH$3="","",IF(AND(DivAs=2,BH$2&lt;ExDivPct),ExDivTree!BH10+DivAmount*EXP(IntRate*(BH$2-ExDivPct)),ExDivTree!BH10))</f>
        <v>342.60844237200001</v>
      </c>
      <c r="BI10" s="17">
        <f>IF(BI$3="","",IF(AND(DivAs=2,BI$2&lt;ExDivPct),ExDivTree!BI10+DivAmount*EXP(IntRate*(BI$2-ExDivPct)),ExDivTree!BI10))</f>
        <v>352.98007710190001</v>
      </c>
      <c r="BJ10" s="17">
        <f>IF(BJ$3="","",IF(AND(DivAs=2,BJ$2&lt;ExDivPct),ExDivTree!BJ10+DivAmount*EXP(IntRate*(BJ$2-ExDivPct)),ExDivTree!BJ10))</f>
        <v>363.66568776949998</v>
      </c>
      <c r="BK10" s="17">
        <f>IF(BK$3="","",IF(AND(DivAs=2,BK$2&lt;ExDivPct),ExDivTree!BK10+DivAmount*EXP(IntRate*(BK$2-ExDivPct)),ExDivTree!BK10))</f>
        <v>374.67477923040002</v>
      </c>
      <c r="BL10" s="17">
        <f>IF(BL$3="","",IF(AND(DivAs=2,BL$2&lt;ExDivPct),ExDivTree!BL10+DivAmount*EXP(IntRate*(BL$2-ExDivPct)),ExDivTree!BL10))</f>
        <v>386.01714407629999</v>
      </c>
      <c r="BM10" s="17">
        <f>IF(BM$3="","",IF(AND(DivAs=2,BM$2&lt;ExDivPct),ExDivTree!BM10+DivAmount*EXP(IntRate*(BM$2-ExDivPct)),ExDivTree!BM10))</f>
        <v>397.70287134590001</v>
      </c>
      <c r="BN10" s="17">
        <f>IF(BN$3="","",IF(AND(DivAs=2,BN$2&lt;ExDivPct),ExDivTree!BN10+DivAmount*EXP(IntRate*(BN$2-ExDivPct)),ExDivTree!BN10))</f>
        <v>409.7423554989</v>
      </c>
      <c r="BO10" s="17">
        <f>IF(BO$3="","",IF(AND(DivAs=2,BO$2&lt;ExDivPct),ExDivTree!BO10+DivAmount*EXP(IntRate*(BO$2-ExDivPct)),ExDivTree!BO10))</f>
        <v>422.14630566189999</v>
      </c>
      <c r="BP10" s="17">
        <f>IF(BP$3="","",IF(AND(DivAs=2,BP$2&lt;ExDivPct),ExDivTree!BP10+DivAmount*EXP(IntRate*(BP$2-ExDivPct)),ExDivTree!BP10))</f>
        <v>434.92575515409999</v>
      </c>
      <c r="BQ10" s="17">
        <f>IF(BQ$3="","",IF(AND(DivAs=2,BQ$2&lt;ExDivPct),ExDivTree!BQ10+DivAmount*EXP(IntRate*(BQ$2-ExDivPct)),ExDivTree!BQ10))</f>
        <v>448.09207130160001</v>
      </c>
      <c r="BR10" s="17">
        <f>IF(BR$3="","",IF(AND(DivAs=2,BR$2&lt;ExDivPct),ExDivTree!BR10+DivAmount*EXP(IntRate*(BR$2-ExDivPct)),ExDivTree!BR10))</f>
        <v>461.6569655486</v>
      </c>
      <c r="BS10" s="17">
        <f>IF(BS$3="","",IF(AND(DivAs=2,BS$2&lt;ExDivPct),ExDivTree!BS10+DivAmount*EXP(IntRate*(BS$2-ExDivPct)),ExDivTree!BS10))</f>
        <v>475.63250387459999</v>
      </c>
      <c r="BT10" s="17">
        <f>IF(BT$3="","",IF(AND(DivAs=2,BT$2&lt;ExDivPct),ExDivTree!BT10+DivAmount*EXP(IntRate*(BT$2-ExDivPct)),ExDivTree!BT10))</f>
        <v>490.03111752730001</v>
      </c>
      <c r="BU10" s="17">
        <f>IF(BU$3="","",IF(AND(DivAs=2,BU$2&lt;ExDivPct),ExDivTree!BU10+DivAmount*EXP(IntRate*(BU$2-ExDivPct)),ExDivTree!BU10))</f>
        <v>504.86561407990001</v>
      </c>
      <c r="BV10" s="17">
        <f>IF(BV$3="","",IF(AND(DivAs=2,BV$2&lt;ExDivPct),ExDivTree!BV10+DivAmount*EXP(IntRate*(BV$2-ExDivPct)),ExDivTree!BV10))</f>
        <v>520.14918882389998</v>
      </c>
      <c r="BW10" s="17">
        <f>IF(BW$3="","",IF(AND(DivAs=2,BW$2&lt;ExDivPct),ExDivTree!BW10+DivAmount*EXP(IntRate*(BW$2-ExDivPct)),ExDivTree!BW10))</f>
        <v>535.89543650589997</v>
      </c>
      <c r="BX10" s="17">
        <f>IF(BX$3="","",IF(AND(DivAs=2,BX$2&lt;ExDivPct),ExDivTree!BX10+DivAmount*EXP(IntRate*(BX$2-ExDivPct)),ExDivTree!BX10))</f>
        <v>552.11836342030006</v>
      </c>
      <c r="BY10" s="17">
        <f>IF(BY$3="","",IF(AND(DivAs=2,BY$2&lt;ExDivPct),ExDivTree!BY10+DivAmount*EXP(IntRate*(BY$2-ExDivPct)),ExDivTree!BY10))</f>
        <v>568.83239986789999</v>
      </c>
      <c r="BZ10" s="17">
        <f>IF(BZ$3="","",IF(AND(DivAs=2,BZ$2&lt;ExDivPct),ExDivTree!BZ10+DivAmount*EXP(IntRate*(BZ$2-ExDivPct)),ExDivTree!BZ10))</f>
        <v>586.05241299169995</v>
      </c>
      <c r="CA10" s="17">
        <f>IF(CA$3="","",IF(AND(DivAs=2,CA$2&lt;ExDivPct),ExDivTree!CA10+DivAmount*EXP(IntRate*(CA$2-ExDivPct)),ExDivTree!CA10))</f>
        <v>603.79372000110004</v>
      </c>
      <c r="CB10" s="17">
        <f>IF(CB$3="","",IF(AND(DivAs=2,CB$2&lt;ExDivPct),ExDivTree!CB10+DivAmount*EXP(IntRate*(CB$2-ExDivPct)),ExDivTree!CB10))</f>
        <v>622.07210179670005</v>
      </c>
      <c r="CC10" s="17">
        <f>IF(CC$3="","",IF(AND(DivAs=2,CC$2&lt;ExDivPct),ExDivTree!CC10+DivAmount*EXP(IntRate*(CC$2-ExDivPct)),ExDivTree!CC10))</f>
        <v>640.90381700729995</v>
      </c>
      <c r="CD10" s="17">
        <f>IF(CD$3="","",IF(AND(DivAs=2,CD$2&lt;ExDivPct),ExDivTree!CD10+DivAmount*EXP(IntRate*(CD$2-ExDivPct)),ExDivTree!CD10))</f>
        <v>660.30561645210003</v>
      </c>
      <c r="CE10" s="17">
        <f>IF(CE$3="","",IF(AND(DivAs=2,CE$2&lt;ExDivPct),ExDivTree!CE10+DivAmount*EXP(IntRate*(CE$2-ExDivPct)),ExDivTree!CE10))</f>
        <v>680.29475804050003</v>
      </c>
      <c r="CF10" s="17">
        <f>IF(CF$3="","",IF(AND(DivAs=2,CF$2&lt;ExDivPct),ExDivTree!CF10+DivAmount*EXP(IntRate*(CF$2-ExDivPct)),ExDivTree!CF10))</f>
        <v>700.88902212289997</v>
      </c>
      <c r="CG10" s="17">
        <f>IF(CG$3="","",IF(AND(DivAs=2,CG$2&lt;ExDivPct),ExDivTree!CG10+DivAmount*EXP(IntRate*(CG$2-ExDivPct)),ExDivTree!CG10))</f>
        <v>722.10672730650003</v>
      </c>
      <c r="CH10" s="17">
        <f>IF(CH$3="","",IF(AND(DivAs=2,CH$2&lt;ExDivPct),ExDivTree!CH10+DivAmount*EXP(IntRate*(CH$2-ExDivPct)),ExDivTree!CH10))</f>
        <v>743.96674674960002</v>
      </c>
      <c r="CI10" s="17">
        <f>IF(CI$3="","",IF(AND(DivAs=2,CI$2&lt;ExDivPct),ExDivTree!CI10+DivAmount*EXP(IntRate*(CI$2-ExDivPct)),ExDivTree!CI10))</f>
        <v>766.48852494940002</v>
      </c>
      <c r="CJ10" s="17">
        <f>IF(CJ$3="","",IF(AND(DivAs=2,CJ$2&lt;ExDivPct),ExDivTree!CJ10+DivAmount*EXP(IntRate*(CJ$2-ExDivPct)),ExDivTree!CJ10))</f>
        <v>789.69209503770003</v>
      </c>
      <c r="CK10" s="17">
        <f>IF(CK$3="","",IF(AND(DivAs=2,CK$2&lt;ExDivPct),ExDivTree!CK10+DivAmount*EXP(IntRate*(CK$2-ExDivPct)),ExDivTree!CK10))</f>
        <v>813.5980966006</v>
      </c>
      <c r="CL10" s="17">
        <f>IF(CL$3="","",IF(AND(DivAs=2,CL$2&lt;ExDivPct),ExDivTree!CL10+DivAmount*EXP(IntRate*(CL$2-ExDivPct)),ExDivTree!CL10))</f>
        <v>838.22779403729999</v>
      </c>
      <c r="CM10" s="17">
        <f>IF(CM$3="","",IF(AND(DivAs=2,CM$2&lt;ExDivPct),ExDivTree!CM10+DivAmount*EXP(IntRate*(CM$2-ExDivPct)),ExDivTree!CM10))</f>
        <v>863.60309547470001</v>
      </c>
      <c r="CN10" s="17">
        <f>IF(CN$3="","",IF(AND(DivAs=2,CN$2&lt;ExDivPct),ExDivTree!CN10+DivAmount*EXP(IntRate*(CN$2-ExDivPct)),ExDivTree!CN10))</f>
        <v>889.7465722549</v>
      </c>
      <c r="CO10" s="17">
        <f>IF(CO$3="","",IF(AND(DivAs=2,CO$2&lt;ExDivPct),ExDivTree!CO10+DivAmount*EXP(IntRate*(CO$2-ExDivPct)),ExDivTree!CO10))</f>
        <v>916.68147901229997</v>
      </c>
      <c r="CP10" s="17">
        <f>IF(CP$3="","",IF(AND(DivAs=2,CP$2&lt;ExDivPct),ExDivTree!CP10+DivAmount*EXP(IntRate*(CP$2-ExDivPct)),ExDivTree!CP10))</f>
        <v>944.43177435860002</v>
      </c>
      <c r="CQ10" s="17">
        <f>IF(CQ$3="","",IF(AND(DivAs=2,CQ$2&lt;ExDivPct),ExDivTree!CQ10+DivAmount*EXP(IntRate*(CQ$2-ExDivPct)),ExDivTree!CQ10))</f>
        <v>973.02214219409996</v>
      </c>
      <c r="CR10" s="17">
        <f>IF(CR$3="","",IF(AND(DivAs=2,CR$2&lt;ExDivPct),ExDivTree!CR10+DivAmount*EXP(IntRate*(CR$2-ExDivPct)),ExDivTree!CR10))</f>
        <v>1002.4780136638</v>
      </c>
      <c r="CS10" s="17">
        <f>IF(CS$3="","",IF(AND(DivAs=2,CS$2&lt;ExDivPct),ExDivTree!CS10+DivAmount*EXP(IntRate*(CS$2-ExDivPct)),ExDivTree!CS10))</f>
        <v>1032.8255897786</v>
      </c>
      <c r="CT10" s="17">
        <f>IF(CT$3="","",IF(AND(DivAs=2,CT$2&lt;ExDivPct),ExDivTree!CT10+DivAmount*EXP(IntRate*(CT$2-ExDivPct)),ExDivTree!CT10))</f>
        <v>1064.0918647212</v>
      </c>
      <c r="CU10" s="17">
        <f>IF(CU$3="","",IF(AND(DivAs=2,CU$2&lt;ExDivPct),ExDivTree!CU10+DivAmount*EXP(IntRate*(CU$2-ExDivPct)),ExDivTree!CU10))</f>
        <v>1096.3046498573001</v>
      </c>
      <c r="CV10" s="17">
        <f>IF(CV$3="","",IF(AND(DivAs=2,CV$2&lt;ExDivPct),ExDivTree!CV10+DivAmount*EXP(IntRate*(CV$2-ExDivPct)),ExDivTree!CV10))</f>
        <v>1129.4925984737999</v>
      </c>
      <c r="CW10" s="17">
        <f>IF(CW$3="","",IF(AND(DivAs=2,CW$2&lt;ExDivPct),ExDivTree!CW10+DivAmount*EXP(IntRate*(CW$2-ExDivPct)),ExDivTree!CW10))</f>
        <v>1163.6852312659</v>
      </c>
      <c r="CX10" s="17">
        <f>IF(CX$3="","",IF(AND(DivAs=2,CX$2&lt;ExDivPct),ExDivTree!CX10+DivAmount*EXP(IntRate*(CX$2-ExDivPct)),ExDivTree!CX10))</f>
        <v>1198.9129625958999</v>
      </c>
      <c r="CY10" s="17">
        <f>IF(CY$3="","",IF(AND(DivAs=2,CY$2&lt;ExDivPct),ExDivTree!CY10+DivAmount*EXP(IntRate*(CY$2-ExDivPct)),ExDivTree!CY10))</f>
        <v>1235.2071275466999</v>
      </c>
      <c r="CZ10" s="17">
        <f>IF(CZ$3="","",IF(AND(DivAs=2,CZ$2&lt;ExDivPct),ExDivTree!CZ10+DivAmount*EXP(IntRate*(CZ$2-ExDivPct)),ExDivTree!CZ10))</f>
        <v>1272.6000097944</v>
      </c>
      <c r="DA10" s="17">
        <f>IF(DA$3="","",IF(AND(DivAs=2,DA$2&lt;ExDivPct),ExDivTree!DA10+DivAmount*EXP(IntRate*(DA$2-ExDivPct)),ExDivTree!DA10))</f>
        <v>1311.1248703245999</v>
      </c>
      <c r="DB10" s="17">
        <f>IF(DB$3="","",IF(AND(DivAs=2,DB$2&lt;ExDivPct),ExDivTree!DB10+DivAmount*EXP(IntRate*(DB$2-ExDivPct)),ExDivTree!DB10))</f>
        <v>1350.8159770181001</v>
      </c>
    </row>
    <row r="11" spans="1:106" x14ac:dyDescent="0.2">
      <c r="A11">
        <f>ExDivTree!A11</f>
        <v>17199613200</v>
      </c>
      <c r="B11" s="71">
        <f>ExDivTree!B11</f>
        <v>6.7840512192016318E-21</v>
      </c>
      <c r="C11" s="71">
        <f>ExDivTree!C11</f>
        <v>8.5404341513276792E-21</v>
      </c>
      <c r="D11" s="177">
        <f>ExDivTree!D11</f>
        <v>7</v>
      </c>
      <c r="L11" s="17">
        <f>IF(L$3="","",IF(AND(DivAs=2,L$2&lt;ExDivPct),ExDivTree!L11+DivAmount*EXP(IntRate*(L$2-ExDivPct)),ExDivTree!L11))</f>
        <v>82.117016346747235</v>
      </c>
      <c r="M11" s="17">
        <f>IF(M$3="","",IF(AND(DivAs=2,M$2&lt;ExDivPct),ExDivTree!M11+DivAmount*EXP(IntRate*(M$2-ExDivPct)),ExDivTree!M11))</f>
        <v>84.45440699062955</v>
      </c>
      <c r="N11" s="17">
        <f>IF(N$3="","",IF(AND(DivAs=2,N$2&lt;ExDivPct),ExDivTree!N11+DivAmount*EXP(IntRate*(N$2-ExDivPct)),ExDivTree!N11))</f>
        <v>86.862478273083894</v>
      </c>
      <c r="O11" s="17">
        <f>IF(O$3="","",IF(AND(DivAs=2,O$2&lt;ExDivPct),ExDivTree!O11+DivAmount*EXP(IntRate*(O$2-ExDivPct)),ExDivTree!O11))</f>
        <v>84.343197312399994</v>
      </c>
      <c r="P11" s="17">
        <f>IF(P$3="","",IF(AND(DivAs=2,P$2&lt;ExDivPct),ExDivTree!P11+DivAmount*EXP(IntRate*(P$2-ExDivPct)),ExDivTree!P11))</f>
        <v>86.896481838699998</v>
      </c>
      <c r="Q11" s="17">
        <f>IF(Q$3="","",IF(AND(DivAs=2,Q$2&lt;ExDivPct),ExDivTree!Q11+DivAmount*EXP(IntRate*(Q$2-ExDivPct)),ExDivTree!Q11))</f>
        <v>89.527060824700001</v>
      </c>
      <c r="R11" s="17">
        <f>IF(R$3="","",IF(AND(DivAs=2,R$2&lt;ExDivPct),ExDivTree!R11+DivAmount*EXP(IntRate*(R$2-ExDivPct)),ExDivTree!R11))</f>
        <v>92.237274171699994</v>
      </c>
      <c r="S11" s="17">
        <f>IF(S$3="","",IF(AND(DivAs=2,S$2&lt;ExDivPct),ExDivTree!S11+DivAmount*EXP(IntRate*(S$2-ExDivPct)),ExDivTree!S11))</f>
        <v>95.029532615700006</v>
      </c>
      <c r="T11" s="17">
        <f>IF(T$3="","",IF(AND(DivAs=2,T$2&lt;ExDivPct),ExDivTree!T11+DivAmount*EXP(IntRate*(T$2-ExDivPct)),ExDivTree!T11))</f>
        <v>97.906319871799994</v>
      </c>
      <c r="U11" s="17">
        <f>IF(U$3="","",IF(AND(DivAs=2,U$2&lt;ExDivPct),ExDivTree!U11+DivAmount*EXP(IntRate*(U$2-ExDivPct)),ExDivTree!U11))</f>
        <v>100.8701948436</v>
      </c>
      <c r="V11" s="17">
        <f>IF(V$3="","",IF(AND(DivAs=2,V$2&lt;ExDivPct),ExDivTree!V11+DivAmount*EXP(IntRate*(V$2-ExDivPct)),ExDivTree!V11))</f>
        <v>103.92379389920001</v>
      </c>
      <c r="W11" s="17">
        <f>IF(W$3="","",IF(AND(DivAs=2,W$2&lt;ExDivPct),ExDivTree!W11+DivAmount*EXP(IntRate*(W$2-ExDivPct)),ExDivTree!W11))</f>
        <v>107.0698332163</v>
      </c>
      <c r="X11" s="17">
        <f>IF(X$3="","",IF(AND(DivAs=2,X$2&lt;ExDivPct),ExDivTree!X11+DivAmount*EXP(IntRate*(X$2-ExDivPct)),ExDivTree!X11))</f>
        <v>110.3111111983</v>
      </c>
      <c r="Y11" s="17">
        <f>IF(Y$3="","",IF(AND(DivAs=2,Y$2&lt;ExDivPct),ExDivTree!Y11+DivAmount*EXP(IntRate*(Y$2-ExDivPct)),ExDivTree!Y11))</f>
        <v>113.6505109635</v>
      </c>
      <c r="Z11" s="17">
        <f>IF(Z$3="","",IF(AND(DivAs=2,Z$2&lt;ExDivPct),ExDivTree!Z11+DivAmount*EXP(IntRate*(Z$2-ExDivPct)),ExDivTree!Z11))</f>
        <v>117.0910029094</v>
      </c>
      <c r="AA11" s="17">
        <f>IF(AA$3="","",IF(AND(DivAs=2,AA$2&lt;ExDivPct),ExDivTree!AA11+DivAmount*EXP(IntRate*(AA$2-ExDivPct)),ExDivTree!AA11))</f>
        <v>120.63564735520001</v>
      </c>
      <c r="AB11" s="17">
        <f>IF(AB$3="","",IF(AND(DivAs=2,AB$2&lt;ExDivPct),ExDivTree!AB11+DivAmount*EXP(IntRate*(AB$2-ExDivPct)),ExDivTree!AB11))</f>
        <v>124.28759726369999</v>
      </c>
      <c r="AC11" s="17">
        <f>IF(AC$3="","",IF(AND(DivAs=2,AC$2&lt;ExDivPct),ExDivTree!AC11+DivAmount*EXP(IntRate*(AC$2-ExDivPct)),ExDivTree!AC11))</f>
        <v>128.05010104600001</v>
      </c>
      <c r="AD11" s="17">
        <f>IF(AD$3="","",IF(AND(DivAs=2,AD$2&lt;ExDivPct),ExDivTree!AD11+DivAmount*EXP(IntRate*(AD$2-ExDivPct)),ExDivTree!AD11))</f>
        <v>131.92650545090001</v>
      </c>
      <c r="AE11" s="17">
        <f>IF(AE$3="","",IF(AND(DivAs=2,AE$2&lt;ExDivPct),ExDivTree!AE11+DivAmount*EXP(IntRate*(AE$2-ExDivPct)),ExDivTree!AE11))</f>
        <v>135.92025854190001</v>
      </c>
      <c r="AF11" s="17">
        <f>IF(AF$3="","",IF(AND(DivAs=2,AF$2&lt;ExDivPct),ExDivTree!AF11+DivAmount*EXP(IntRate*(AF$2-ExDivPct)),ExDivTree!AF11))</f>
        <v>140.03491276419999</v>
      </c>
      <c r="AG11" s="17">
        <f>IF(AG$3="","",IF(AND(DivAs=2,AG$2&lt;ExDivPct),ExDivTree!AG11+DivAmount*EXP(IntRate*(AG$2-ExDivPct)),ExDivTree!AG11))</f>
        <v>144.27412810449999</v>
      </c>
      <c r="AH11" s="17">
        <f>IF(AH$3="","",IF(AND(DivAs=2,AH$2&lt;ExDivPct),ExDivTree!AH11+DivAmount*EXP(IntRate*(AH$2-ExDivPct)),ExDivTree!AH11))</f>
        <v>148.64167534680001</v>
      </c>
      <c r="AI11" s="17">
        <f>IF(AI$3="","",IF(AND(DivAs=2,AI$2&lt;ExDivPct),ExDivTree!AI11+DivAmount*EXP(IntRate*(AI$2-ExDivPct)),ExDivTree!AI11))</f>
        <v>153.14143942640001</v>
      </c>
      <c r="AJ11" s="17">
        <f>IF(AJ$3="","",IF(AND(DivAs=2,AJ$2&lt;ExDivPct),ExDivTree!AJ11+DivAmount*EXP(IntRate*(AJ$2-ExDivPct)),ExDivTree!AJ11))</f>
        <v>157.7774228854</v>
      </c>
      <c r="AK11" s="17">
        <f>IF(AK$3="","",IF(AND(DivAs=2,AK$2&lt;ExDivPct),ExDivTree!AK11+DivAmount*EXP(IntRate*(AK$2-ExDivPct)),ExDivTree!AK11))</f>
        <v>162.55374943320001</v>
      </c>
      <c r="AL11" s="17">
        <f>IF(AL$3="","",IF(AND(DivAs=2,AL$2&lt;ExDivPct),ExDivTree!AL11+DivAmount*EXP(IntRate*(AL$2-ExDivPct)),ExDivTree!AL11))</f>
        <v>167.4746676144</v>
      </c>
      <c r="AM11" s="17">
        <f>IF(AM$3="","",IF(AND(DivAs=2,AM$2&lt;ExDivPct),ExDivTree!AM11+DivAmount*EXP(IntRate*(AM$2-ExDivPct)),ExDivTree!AM11))</f>
        <v>172.5445545879</v>
      </c>
      <c r="AN11" s="17">
        <f>IF(AN$3="","",IF(AND(DivAs=2,AN$2&lt;ExDivPct),ExDivTree!AN11+DivAmount*EXP(IntRate*(AN$2-ExDivPct)),ExDivTree!AN11))</f>
        <v>177.76792002049999</v>
      </c>
      <c r="AO11" s="17">
        <f>IF(AO$3="","",IF(AND(DivAs=2,AO$2&lt;ExDivPct),ExDivTree!AO11+DivAmount*EXP(IntRate*(AO$2-ExDivPct)),ExDivTree!AO11))</f>
        <v>183.14941009820001</v>
      </c>
      <c r="AP11" s="17">
        <f>IF(AP$3="","",IF(AND(DivAs=2,AP$2&lt;ExDivPct),ExDivTree!AP11+DivAmount*EXP(IntRate*(AP$2-ExDivPct)),ExDivTree!AP11))</f>
        <v>188.69381165870001</v>
      </c>
      <c r="AQ11" s="17">
        <f>IF(AQ$3="","",IF(AND(DivAs=2,AQ$2&lt;ExDivPct),ExDivTree!AQ11+DivAmount*EXP(IntRate*(AQ$2-ExDivPct)),ExDivTree!AQ11))</f>
        <v>194.40605644979999</v>
      </c>
      <c r="AR11" s="17">
        <f>IF(AR$3="","",IF(AND(DivAs=2,AR$2&lt;ExDivPct),ExDivTree!AR11+DivAmount*EXP(IntRate*(AR$2-ExDivPct)),ExDivTree!AR11))</f>
        <v>200.29122551570001</v>
      </c>
      <c r="AS11" s="17">
        <f>IF(AS$3="","",IF(AND(DivAs=2,AS$2&lt;ExDivPct),ExDivTree!AS11+DivAmount*EXP(IntRate*(AS$2-ExDivPct)),ExDivTree!AS11))</f>
        <v>206.35455371699999</v>
      </c>
      <c r="AT11" s="17">
        <f>IF(AT$3="","",IF(AND(DivAs=2,AT$2&lt;ExDivPct),ExDivTree!AT11+DivAmount*EXP(IntRate*(AT$2-ExDivPct)),ExDivTree!AT11))</f>
        <v>212.6014343869</v>
      </c>
      <c r="AU11" s="17">
        <f>IF(AU$3="","",IF(AND(DivAs=2,AU$2&lt;ExDivPct),ExDivTree!AU11+DivAmount*EXP(IntRate*(AU$2-ExDivPct)),ExDivTree!AU11))</f>
        <v>219.03742412860001</v>
      </c>
      <c r="AV11" s="17">
        <f>IF(AV$3="","",IF(AND(DivAs=2,AV$2&lt;ExDivPct),ExDivTree!AV11+DivAmount*EXP(IntRate*(AV$2-ExDivPct)),ExDivTree!AV11))</f>
        <v>225.6682477578</v>
      </c>
      <c r="AW11" s="17">
        <f>IF(AW$3="","",IF(AND(DivAs=2,AW$2&lt;ExDivPct),ExDivTree!AW11+DivAmount*EXP(IntRate*(AW$2-ExDivPct)),ExDivTree!AW11))</f>
        <v>232.4998033951</v>
      </c>
      <c r="AX11" s="17">
        <f>IF(AX$3="","",IF(AND(DivAs=2,AX$2&lt;ExDivPct),ExDivTree!AX11+DivAmount*EXP(IntRate*(AX$2-ExDivPct)),ExDivTree!AX11))</f>
        <v>239.5381677124</v>
      </c>
      <c r="AY11" s="17">
        <f>IF(AY$3="","",IF(AND(DivAs=2,AY$2&lt;ExDivPct),ExDivTree!AY11+DivAmount*EXP(IntRate*(AY$2-ExDivPct)),ExDivTree!AY11))</f>
        <v>246.7896013379</v>
      </c>
      <c r="AZ11" s="17">
        <f>IF(AZ$3="","",IF(AND(DivAs=2,AZ$2&lt;ExDivPct),ExDivTree!AZ11+DivAmount*EXP(IntRate*(AZ$2-ExDivPct)),ExDivTree!AZ11))</f>
        <v>254.26055442500001</v>
      </c>
      <c r="BA11" s="17">
        <f>IF(BA$3="","",IF(AND(DivAs=2,BA$2&lt;ExDivPct),ExDivTree!BA11+DivAmount*EXP(IntRate*(BA$2-ExDivPct)),ExDivTree!BA11))</f>
        <v>261.95767238989998</v>
      </c>
      <c r="BB11" s="17">
        <f>IF(BB$3="","",IF(AND(DivAs=2,BB$2&lt;ExDivPct),ExDivTree!BB11+DivAmount*EXP(IntRate*(BB$2-ExDivPct)),ExDivTree!BB11))</f>
        <v>269.88780182250002</v>
      </c>
      <c r="BC11" s="17">
        <f>IF(BC$3="","",IF(AND(DivAs=2,BC$2&lt;ExDivPct),ExDivTree!BC11+DivAmount*EXP(IntRate*(BC$2-ExDivPct)),ExDivTree!BC11))</f>
        <v>278.05799657649999</v>
      </c>
      <c r="BD11" s="17">
        <f>IF(BD$3="","",IF(AND(DivAs=2,BD$2&lt;ExDivPct),ExDivTree!BD11+DivAmount*EXP(IntRate*(BD$2-ExDivPct)),ExDivTree!BD11))</f>
        <v>286.47552404390001</v>
      </c>
      <c r="BE11" s="17">
        <f>IF(BE$3="","",IF(AND(DivAs=2,BE$2&lt;ExDivPct),ExDivTree!BE11+DivAmount*EXP(IntRate*(BE$2-ExDivPct)),ExDivTree!BE11))</f>
        <v>295.14787161909999</v>
      </c>
      <c r="BF11" s="17">
        <f>IF(BF$3="","",IF(AND(DivAs=2,BF$2&lt;ExDivPct),ExDivTree!BF11+DivAmount*EXP(IntRate*(BF$2-ExDivPct)),ExDivTree!BF11))</f>
        <v>304.08275335920001</v>
      </c>
      <c r="BG11" s="17">
        <f>IF(BG$3="","",IF(AND(DivAs=2,BG$2&lt;ExDivPct),ExDivTree!BG11+DivAmount*EXP(IntRate*(BG$2-ExDivPct)),ExDivTree!BG11))</f>
        <v>313.28811684549999</v>
      </c>
      <c r="BH11" s="17">
        <f>IF(BH$3="","",IF(AND(DivAs=2,BH$2&lt;ExDivPct),ExDivTree!BH11+DivAmount*EXP(IntRate*(BH$2-ExDivPct)),ExDivTree!BH11))</f>
        <v>322.77215025300001</v>
      </c>
      <c r="BI11" s="17">
        <f>IF(BI$3="","",IF(AND(DivAs=2,BI$2&lt;ExDivPct),ExDivTree!BI11+DivAmount*EXP(IntRate*(BI$2-ExDivPct)),ExDivTree!BI11))</f>
        <v>332.5432896337</v>
      </c>
      <c r="BJ11" s="17">
        <f>IF(BJ$3="","",IF(AND(DivAs=2,BJ$2&lt;ExDivPct),ExDivTree!BJ11+DivAmount*EXP(IntRate*(BJ$2-ExDivPct)),ExDivTree!BJ11))</f>
        <v>342.61022642040001</v>
      </c>
      <c r="BK11" s="17">
        <f>IF(BK$3="","",IF(AND(DivAs=2,BK$2&lt;ExDivPct),ExDivTree!BK11+DivAmount*EXP(IntRate*(BK$2-ExDivPct)),ExDivTree!BK11))</f>
        <v>352.98191515799999</v>
      </c>
      <c r="BL11" s="17">
        <f>IF(BL$3="","",IF(AND(DivAs=2,BL$2&lt;ExDivPct),ExDivTree!BL11+DivAmount*EXP(IntRate*(BL$2-ExDivPct)),ExDivTree!BL11))</f>
        <v>363.6675814683</v>
      </c>
      <c r="BM11" s="17">
        <f>IF(BM$3="","",IF(AND(DivAs=2,BM$2&lt;ExDivPct),ExDivTree!BM11+DivAmount*EXP(IntRate*(BM$2-ExDivPct)),ExDivTree!BM11))</f>
        <v>374.6767302563</v>
      </c>
      <c r="BN11" s="17">
        <f>IF(BN$3="","",IF(AND(DivAs=2,BN$2&lt;ExDivPct),ExDivTree!BN11+DivAmount*EXP(IntRate*(BN$2-ExDivPct)),ExDivTree!BN11))</f>
        <v>386.0191541648</v>
      </c>
      <c r="BO11" s="17">
        <f>IF(BO$3="","",IF(AND(DivAs=2,BO$2&lt;ExDivPct),ExDivTree!BO11+DivAmount*EXP(IntRate*(BO$2-ExDivPct)),ExDivTree!BO11))</f>
        <v>397.70494228500002</v>
      </c>
      <c r="BP11" s="17">
        <f>IF(BP$3="","",IF(AND(DivAs=2,BP$2&lt;ExDivPct),ExDivTree!BP11+DivAmount*EXP(IntRate*(BP$2-ExDivPct)),ExDivTree!BP11))</f>
        <v>409.7444891307</v>
      </c>
      <c r="BQ11" s="17">
        <f>IF(BQ$3="","",IF(AND(DivAs=2,BQ$2&lt;ExDivPct),ExDivTree!BQ11+DivAmount*EXP(IntRate*(BQ$2-ExDivPct)),ExDivTree!BQ11))</f>
        <v>422.14850388420001</v>
      </c>
      <c r="BR11" s="17">
        <f>IF(BR$3="","",IF(AND(DivAs=2,BR$2&lt;ExDivPct),ExDivTree!BR11+DivAmount*EXP(IntRate*(BR$2-ExDivPct)),ExDivTree!BR11))</f>
        <v>434.92801992220001</v>
      </c>
      <c r="BS11" s="17">
        <f>IF(BS$3="","",IF(AND(DivAs=2,BS$2&lt;ExDivPct),ExDivTree!BS11+DivAmount*EXP(IntRate*(BS$2-ExDivPct)),ExDivTree!BS11))</f>
        <v>448.09440463009997</v>
      </c>
      <c r="BT11" s="17">
        <f>IF(BT$3="","",IF(AND(DivAs=2,BT$2&lt;ExDivPct),ExDivTree!BT11+DivAmount*EXP(IntRate*(BT$2-ExDivPct)),ExDivTree!BT11))</f>
        <v>461.65936951290001</v>
      </c>
      <c r="BU11" s="17">
        <f>IF(BU$3="","",IF(AND(DivAs=2,BU$2&lt;ExDivPct),ExDivTree!BU11+DivAmount*EXP(IntRate*(BU$2-ExDivPct)),ExDivTree!BU11))</f>
        <v>475.63498061310003</v>
      </c>
      <c r="BV11" s="17">
        <f>IF(BV$3="","",IF(AND(DivAs=2,BV$2&lt;ExDivPct),ExDivTree!BV11+DivAmount*EXP(IntRate*(BV$2-ExDivPct)),ExDivTree!BV11))</f>
        <v>490.03366924300002</v>
      </c>
      <c r="BW11" s="17">
        <f>IF(BW$3="","",IF(AND(DivAs=2,BW$2&lt;ExDivPct),ExDivTree!BW11+DivAmount*EXP(IntRate*(BW$2-ExDivPct)),ExDivTree!BW11))</f>
        <v>504.8682430426</v>
      </c>
      <c r="BX11" s="17">
        <f>IF(BX$3="","",IF(AND(DivAs=2,BX$2&lt;ExDivPct),ExDivTree!BX11+DivAmount*EXP(IntRate*(BX$2-ExDivPct)),ExDivTree!BX11))</f>
        <v>520.15189737200001</v>
      </c>
      <c r="BY11" s="17">
        <f>IF(BY$3="","",IF(AND(DivAs=2,BY$2&lt;ExDivPct),ExDivTree!BY11+DivAmount*EXP(IntRate*(BY$2-ExDivPct)),ExDivTree!BY11))</f>
        <v>535.89822704870005</v>
      </c>
      <c r="BZ11" s="17">
        <f>IF(BZ$3="","",IF(AND(DivAs=2,BZ$2&lt;ExDivPct),ExDivTree!BZ11+DivAmount*EXP(IntRate*(BZ$2-ExDivPct)),ExDivTree!BZ11))</f>
        <v>552.12123843999996</v>
      </c>
      <c r="CA11" s="17">
        <f>IF(CA$3="","",IF(AND(DivAs=2,CA$2&lt;ExDivPct),ExDivTree!CA11+DivAmount*EXP(IntRate*(CA$2-ExDivPct)),ExDivTree!CA11))</f>
        <v>568.83536192179997</v>
      </c>
      <c r="CB11" s="17">
        <f>IF(CB$3="","",IF(AND(DivAs=2,CB$2&lt;ExDivPct),ExDivTree!CB11+DivAmount*EXP(IntRate*(CB$2-ExDivPct)),ExDivTree!CB11))</f>
        <v>586.05546471449998</v>
      </c>
      <c r="CC11" s="17">
        <f>IF(CC$3="","",IF(AND(DivAs=2,CC$2&lt;ExDivPct),ExDivTree!CC11+DivAmount*EXP(IntRate*(CC$2-ExDivPct)),ExDivTree!CC11))</f>
        <v>603.79686410730005</v>
      </c>
      <c r="CD11" s="17">
        <f>IF(CD$3="","",IF(AND(DivAs=2,CD$2&lt;ExDivPct),ExDivTree!CD11+DivAmount*EXP(IntRate*(CD$2-ExDivPct)),ExDivTree!CD11))</f>
        <v>622.07534108300001</v>
      </c>
      <c r="CE11" s="17">
        <f>IF(CE$3="","",IF(AND(DivAs=2,CE$2&lt;ExDivPct),ExDivTree!CE11+DivAmount*EXP(IntRate*(CE$2-ExDivPct)),ExDivTree!CE11))</f>
        <v>640.90715435510003</v>
      </c>
      <c r="CF11" s="17">
        <f>IF(CF$3="","",IF(AND(DivAs=2,CF$2&lt;ExDivPct),ExDivTree!CF11+DivAmount*EXP(IntRate*(CF$2-ExDivPct)),ExDivTree!CF11))</f>
        <v>660.30905483000004</v>
      </c>
      <c r="CG11" s="17">
        <f>IF(CG$3="","",IF(AND(DivAs=2,CG$2&lt;ExDivPct),ExDivTree!CG11+DivAmount*EXP(IntRate*(CG$2-ExDivPct)),ExDivTree!CG11))</f>
        <v>680.29830050689998</v>
      </c>
      <c r="CH11" s="17">
        <f>IF(CH$3="","",IF(AND(DivAs=2,CH$2&lt;ExDivPct),ExDivTree!CH11+DivAmount*EXP(IntRate*(CH$2-ExDivPct)),ExDivTree!CH11))</f>
        <v>700.89267182879996</v>
      </c>
      <c r="CI11" s="17">
        <f>IF(CI$3="","",IF(AND(DivAs=2,CI$2&lt;ExDivPct),ExDivTree!CI11+DivAmount*EXP(IntRate*(CI$2-ExDivPct)),ExDivTree!CI11))</f>
        <v>722.11048749830002</v>
      </c>
      <c r="CJ11" s="17">
        <f>IF(CJ$3="","",IF(AND(DivAs=2,CJ$2&lt;ExDivPct),ExDivTree!CJ11+DivAmount*EXP(IntRate*(CJ$2-ExDivPct)),ExDivTree!CJ11))</f>
        <v>743.97062077199996</v>
      </c>
      <c r="CK11" s="17">
        <f>IF(CK$3="","",IF(AND(DivAs=2,CK$2&lt;ExDivPct),ExDivTree!CK11+DivAmount*EXP(IntRate*(CK$2-ExDivPct)),ExDivTree!CK11))</f>
        <v>766.49251624839997</v>
      </c>
      <c r="CL11" s="17">
        <f>IF(CL$3="","",IF(AND(DivAs=2,CL$2&lt;ExDivPct),ExDivTree!CL11+DivAmount*EXP(IntRate*(CL$2-ExDivPct)),ExDivTree!CL11))</f>
        <v>789.69620716359998</v>
      </c>
      <c r="CM11" s="17">
        <f>IF(CM$3="","",IF(AND(DivAs=2,CM$2&lt;ExDivPct),ExDivTree!CM11+DivAmount*EXP(IntRate*(CM$2-ExDivPct)),ExDivTree!CM11))</f>
        <v>813.60233321110002</v>
      </c>
      <c r="CN11" s="17">
        <f>IF(CN$3="","",IF(AND(DivAs=2,CN$2&lt;ExDivPct),ExDivTree!CN11+DivAmount*EXP(IntRate*(CN$2-ExDivPct)),ExDivTree!CN11))</f>
        <v>838.23215890079996</v>
      </c>
      <c r="CO11" s="17">
        <f>IF(CO$3="","",IF(AND(DivAs=2,CO$2&lt;ExDivPct),ExDivTree!CO11+DivAmount*EXP(IntRate*(CO$2-ExDivPct)),ExDivTree!CO11))</f>
        <v>863.60759247379997</v>
      </c>
      <c r="CP11" s="17">
        <f>IF(CP$3="","",IF(AND(DivAs=2,CP$2&lt;ExDivPct),ExDivTree!CP11+DivAmount*EXP(IntRate*(CP$2-ExDivPct)),ExDivTree!CP11))</f>
        <v>889.75120538969998</v>
      </c>
      <c r="CQ11" s="17">
        <f>IF(CQ$3="","",IF(AND(DivAs=2,CQ$2&lt;ExDivPct),ExDivTree!CQ11+DivAmount*EXP(IntRate*(CQ$2-ExDivPct)),ExDivTree!CQ11))</f>
        <v>916.68625240400002</v>
      </c>
      <c r="CR11" s="17">
        <f>IF(CR$3="","",IF(AND(DivAs=2,CR$2&lt;ExDivPct),ExDivTree!CR11+DivAmount*EXP(IntRate*(CR$2-ExDivPct)),ExDivTree!CR11))</f>
        <v>944.43669225309998</v>
      </c>
      <c r="CS11" s="17">
        <f>IF(CS$3="","",IF(AND(DivAs=2,CS$2&lt;ExDivPct),ExDivTree!CS11+DivAmount*EXP(IntRate*(CS$2-ExDivPct)),ExDivTree!CS11))</f>
        <v>973.02720896580001</v>
      </c>
      <c r="CT11" s="17">
        <f>IF(CT$3="","",IF(AND(DivAs=2,CT$2&lt;ExDivPct),ExDivTree!CT11+DivAmount*EXP(IntRate*(CT$2-ExDivPct)),ExDivTree!CT11))</f>
        <v>1002.4832338195999</v>
      </c>
      <c r="CU11" s="17">
        <f>IF(CU$3="","",IF(AND(DivAs=2,CU$2&lt;ExDivPct),ExDivTree!CU11+DivAmount*EXP(IntRate*(CU$2-ExDivPct)),ExDivTree!CU11))</f>
        <v>1032.8309679618999</v>
      </c>
      <c r="CV11" s="17">
        <f>IF(CV$3="","",IF(AND(DivAs=2,CV$2&lt;ExDivPct),ExDivTree!CV11+DivAmount*EXP(IntRate*(CV$2-ExDivPct)),ExDivTree!CV11))</f>
        <v>1064.0974057159001</v>
      </c>
      <c r="CW11" s="17">
        <f>IF(CW$3="","",IF(AND(DivAs=2,CW$2&lt;ExDivPct),ExDivTree!CW11+DivAmount*EXP(IntRate*(CW$2-ExDivPct)),ExDivTree!CW11))</f>
        <v>1096.3103585921001</v>
      </c>
      <c r="CX11" s="17">
        <f>IF(CX$3="","",IF(AND(DivAs=2,CX$2&lt;ExDivPct),ExDivTree!CX11+DivAmount*EXP(IntRate*(CX$2-ExDivPct)),ExDivTree!CX11))</f>
        <v>1129.4984800266</v>
      </c>
      <c r="CY11" s="17">
        <f>IF(CY$3="","",IF(AND(DivAs=2,CY$2&lt;ExDivPct),ExDivTree!CY11+DivAmount*EXP(IntRate*(CY$2-ExDivPct)),ExDivTree!CY11))</f>
        <v>1163.6912908683</v>
      </c>
      <c r="CZ11" s="17">
        <f>IF(CZ$3="","",IF(AND(DivAs=2,CZ$2&lt;ExDivPct),ExDivTree!CZ11+DivAmount*EXP(IntRate*(CZ$2-ExDivPct)),ExDivTree!CZ11))</f>
        <v>1198.919205638</v>
      </c>
      <c r="DA11" s="17">
        <f>IF(DA$3="","",IF(AND(DivAs=2,DA$2&lt;ExDivPct),ExDivTree!DA11+DivAmount*EXP(IntRate*(DA$2-ExDivPct)),ExDivTree!DA11))</f>
        <v>1235.2135595817001</v>
      </c>
      <c r="DB11" s="17">
        <f>IF(DB$3="","",IF(AND(DivAs=2,DB$2&lt;ExDivPct),ExDivTree!DB11+DivAmount*EXP(IntRate*(DB$2-ExDivPct)),ExDivTree!DB11))</f>
        <v>1272.6066365434999</v>
      </c>
    </row>
    <row r="12" spans="1:106" x14ac:dyDescent="0.2">
      <c r="A12">
        <f>ExDivTree!A12</f>
        <v>202095455099.99994</v>
      </c>
      <c r="B12" s="71">
        <f>ExDivTree!B12</f>
        <v>7.9712601825619149E-20</v>
      </c>
      <c r="C12" s="71">
        <f>ExDivTree!C12</f>
        <v>9.9819555924848361E-20</v>
      </c>
      <c r="D12" s="177">
        <f>ExDivTree!D12</f>
        <v>8</v>
      </c>
      <c r="M12" s="17">
        <f>IF(M$3="","",IF(AND(DivAs=2,M$2&lt;ExDivPct),ExDivTree!M12+DivAmount*EXP(IntRate*(M$2-ExDivPct)),ExDivTree!M12))</f>
        <v>79.853873158329549</v>
      </c>
      <c r="N12" s="17">
        <f>IF(N$3="","",IF(AND(DivAs=2,N$2&lt;ExDivPct),ExDivTree!N12+DivAmount*EXP(IntRate*(N$2-ExDivPct)),ExDivTree!N12))</f>
        <v>82.122674502883896</v>
      </c>
      <c r="O12" s="17">
        <f>IF(O$3="","",IF(AND(DivAs=2,O$2&lt;ExDivPct),ExDivTree!O12+DivAmount*EXP(IntRate*(O$2-ExDivPct)),ExDivTree!O12))</f>
        <v>79.459907546799997</v>
      </c>
      <c r="P12" s="17">
        <f>IF(P$3="","",IF(AND(DivAs=2,P$2&lt;ExDivPct),ExDivTree!P12+DivAmount*EXP(IntRate*(P$2-ExDivPct)),ExDivTree!P12))</f>
        <v>81.865362389200001</v>
      </c>
      <c r="Q12" s="17">
        <f>IF(Q$3="","",IF(AND(DivAs=2,Q$2&lt;ExDivPct),ExDivTree!Q12+DivAmount*EXP(IntRate*(Q$2-ExDivPct)),ExDivTree!Q12))</f>
        <v>84.343636508299994</v>
      </c>
      <c r="R12" s="17">
        <f>IF(R$3="","",IF(AND(DivAs=2,R$2&lt;ExDivPct),ExDivTree!R12+DivAmount*EXP(IntRate*(R$2-ExDivPct)),ExDivTree!R12))</f>
        <v>86.896934330099995</v>
      </c>
      <c r="S12" s="17">
        <f>IF(S$3="","",IF(AND(DivAs=2,S$2&lt;ExDivPct),ExDivTree!S12+DivAmount*EXP(IntRate*(S$2-ExDivPct)),ExDivTree!S12))</f>
        <v>89.527527014200004</v>
      </c>
      <c r="T12" s="17">
        <f>IF(T$3="","",IF(AND(DivAs=2,T$2&lt;ExDivPct),ExDivTree!T12+DivAmount*EXP(IntRate*(T$2-ExDivPct)),ExDivTree!T12))</f>
        <v>92.237754473999999</v>
      </c>
      <c r="U12" s="17">
        <f>IF(U$3="","",IF(AND(DivAs=2,U$2&lt;ExDivPct),ExDivTree!U12+DivAmount*EXP(IntRate*(U$2-ExDivPct)),ExDivTree!U12))</f>
        <v>95.030027458000006</v>
      </c>
      <c r="V12" s="17">
        <f>IF(V$3="","",IF(AND(DivAs=2,V$2&lt;ExDivPct),ExDivTree!V12+DivAmount*EXP(IntRate*(V$2-ExDivPct)),ExDivTree!V12))</f>
        <v>97.906829694199999</v>
      </c>
      <c r="W12" s="17">
        <f>IF(W$3="","",IF(AND(DivAs=2,W$2&lt;ExDivPct),ExDivTree!W12+DivAmount*EXP(IntRate*(W$2-ExDivPct)),ExDivTree!W12))</f>
        <v>100.87072009960001</v>
      </c>
      <c r="X12" s="17">
        <f>IF(X$3="","",IF(AND(DivAs=2,X$2&lt;ExDivPct),ExDivTree!X12+DivAmount*EXP(IntRate*(X$2-ExDivPct)),ExDivTree!X12))</f>
        <v>103.924335056</v>
      </c>
      <c r="Y12" s="17">
        <f>IF(Y$3="","",IF(AND(DivAs=2,Y$2&lt;ExDivPct),ExDivTree!Y12+DivAmount*EXP(IntRate*(Y$2-ExDivPct)),ExDivTree!Y12))</f>
        <v>107.0703907553</v>
      </c>
      <c r="Z12" s="17">
        <f>IF(Z$3="","",IF(AND(DivAs=2,Z$2&lt;ExDivPct),ExDivTree!Z12+DivAmount*EXP(IntRate*(Z$2-ExDivPct)),ExDivTree!Z12))</f>
        <v>110.31168561539999</v>
      </c>
      <c r="AA12" s="17">
        <f>IF(AA$3="","",IF(AND(DivAs=2,AA$2&lt;ExDivPct),ExDivTree!AA12+DivAmount*EXP(IntRate*(AA$2-ExDivPct)),ExDivTree!AA12))</f>
        <v>113.6511027696</v>
      </c>
      <c r="AB12" s="17">
        <f>IF(AB$3="","",IF(AND(DivAs=2,AB$2&lt;ExDivPct),ExDivTree!AB12+DivAmount*EXP(IntRate*(AB$2-ExDivPct)),ExDivTree!AB12))</f>
        <v>117.091612631</v>
      </c>
      <c r="AC12" s="17">
        <f>IF(AC$3="","",IF(AND(DivAs=2,AC$2&lt;ExDivPct),ExDivTree!AC12+DivAmount*EXP(IntRate*(AC$2-ExDivPct)),ExDivTree!AC12))</f>
        <v>120.6362755346</v>
      </c>
      <c r="AD12" s="17">
        <f>IF(AD$3="","",IF(AND(DivAs=2,AD$2&lt;ExDivPct),ExDivTree!AD12+DivAmount*EXP(IntRate*(AD$2-ExDivPct)),ExDivTree!AD12))</f>
        <v>124.2882444597</v>
      </c>
      <c r="AE12" s="17">
        <f>IF(AE$3="","",IF(AND(DivAs=2,AE$2&lt;ExDivPct),ExDivTree!AE12+DivAmount*EXP(IntRate*(AE$2-ExDivPct)),ExDivTree!AE12))</f>
        <v>128.05076783429999</v>
      </c>
      <c r="AF12" s="17">
        <f>IF(AF$3="","",IF(AND(DivAs=2,AF$2&lt;ExDivPct),ExDivTree!AF12+DivAmount*EXP(IntRate*(AF$2-ExDivPct)),ExDivTree!AF12))</f>
        <v>131.92719242460001</v>
      </c>
      <c r="AG12" s="17">
        <f>IF(AG$3="","",IF(AND(DivAs=2,AG$2&lt;ExDivPct),ExDivTree!AG12+DivAmount*EXP(IntRate*(AG$2-ExDivPct)),ExDivTree!AG12))</f>
        <v>135.92096631210001</v>
      </c>
      <c r="AH12" s="17">
        <f>IF(AH$3="","",IF(AND(DivAs=2,AH$2&lt;ExDivPct),ExDivTree!AH12+DivAmount*EXP(IntRate*(AH$2-ExDivPct)),ExDivTree!AH12))</f>
        <v>140.0356419604</v>
      </c>
      <c r="AI12" s="17">
        <f>IF(AI$3="","",IF(AND(DivAs=2,AI$2&lt;ExDivPct),ExDivTree!AI12+DivAmount*EXP(IntRate*(AI$2-ExDivPct)),ExDivTree!AI12))</f>
        <v>144.2748793753</v>
      </c>
      <c r="AJ12" s="17">
        <f>IF(AJ$3="","",IF(AND(DivAs=2,AJ$2&lt;ExDivPct),ExDivTree!AJ12+DivAmount*EXP(IntRate*(AJ$2-ExDivPct)),ExDivTree!AJ12))</f>
        <v>148.6424493605</v>
      </c>
      <c r="AK12" s="17">
        <f>IF(AK$3="","",IF(AND(DivAs=2,AK$2&lt;ExDivPct),ExDivTree!AK12+DivAmount*EXP(IntRate*(AK$2-ExDivPct)),ExDivTree!AK12))</f>
        <v>153.1422368714</v>
      </c>
      <c r="AL12" s="17">
        <f>IF(AL$3="","",IF(AND(DivAs=2,AL$2&lt;ExDivPct),ExDivTree!AL12+DivAmount*EXP(IntRate*(AL$2-ExDivPct)),ExDivTree!AL12))</f>
        <v>157.77824447110001</v>
      </c>
      <c r="AM12" s="17">
        <f>IF(AM$3="","",IF(AND(DivAs=2,AM$2&lt;ExDivPct),ExDivTree!AM12+DivAmount*EXP(IntRate*(AM$2-ExDivPct)),ExDivTree!AM12))</f>
        <v>162.55459589040001</v>
      </c>
      <c r="AN12" s="17">
        <f>IF(AN$3="","",IF(AND(DivAs=2,AN$2&lt;ExDivPct),ExDivTree!AN12+DivAmount*EXP(IntRate*(AN$2-ExDivPct)),ExDivTree!AN12))</f>
        <v>167.475539696</v>
      </c>
      <c r="AO12" s="17">
        <f>IF(AO$3="","",IF(AND(DivAs=2,AO$2&lt;ExDivPct),ExDivTree!AO12+DivAmount*EXP(IntRate*(AO$2-ExDivPct)),ExDivTree!AO12))</f>
        <v>172.54545306969999</v>
      </c>
      <c r="AP12" s="17">
        <f>IF(AP$3="","",IF(AND(DivAs=2,AP$2&lt;ExDivPct),ExDivTree!AP12+DivAmount*EXP(IntRate*(AP$2-ExDivPct)),ExDivTree!AP12))</f>
        <v>177.7688457017</v>
      </c>
      <c r="AQ12" s="17">
        <f>IF(AQ$3="","",IF(AND(DivAs=2,AQ$2&lt;ExDivPct),ExDivTree!AQ12+DivAmount*EXP(IntRate*(AQ$2-ExDivPct)),ExDivTree!AQ12))</f>
        <v>183.1503638021</v>
      </c>
      <c r="AR12" s="17">
        <f>IF(AR$3="","",IF(AND(DivAs=2,AR$2&lt;ExDivPct),ExDivTree!AR12+DivAmount*EXP(IntRate*(AR$2-ExDivPct)),ExDivTree!AR12))</f>
        <v>188.69479423370001</v>
      </c>
      <c r="AS12" s="17">
        <f>IF(AS$3="","",IF(AND(DivAs=2,AS$2&lt;ExDivPct),ExDivTree!AS12+DivAmount*EXP(IntRate*(AS$2-ExDivPct)),ExDivTree!AS12))</f>
        <v>194.40706876979999</v>
      </c>
      <c r="AT12" s="17">
        <f>IF(AT$3="","",IF(AND(DivAs=2,AT$2&lt;ExDivPct),ExDivTree!AT12+DivAmount*EXP(IntRate*(AT$2-ExDivPct)),ExDivTree!AT12))</f>
        <v>200.2922684813</v>
      </c>
      <c r="AU12" s="17">
        <f>IF(AU$3="","",IF(AND(DivAs=2,AU$2&lt;ExDivPct),ExDivTree!AU12+DivAmount*EXP(IntRate*(AU$2-ExDivPct)),ExDivTree!AU12))</f>
        <v>206.3556282559</v>
      </c>
      <c r="AV12" s="17">
        <f>IF(AV$3="","",IF(AND(DivAs=2,AV$2&lt;ExDivPct),ExDivTree!AV12+DivAmount*EXP(IntRate*(AV$2-ExDivPct)),ExDivTree!AV12))</f>
        <v>212.60254145490001</v>
      </c>
      <c r="AW12" s="17">
        <f>IF(AW$3="","",IF(AND(DivAs=2,AW$2&lt;ExDivPct),ExDivTree!AW12+DivAmount*EXP(IntRate*(AW$2-ExDivPct)),ExDivTree!AW12))</f>
        <v>219.03856471029999</v>
      </c>
      <c r="AX12" s="17">
        <f>IF(AX$3="","",IF(AND(DivAs=2,AX$2&lt;ExDivPct),ExDivTree!AX12+DivAmount*EXP(IntRate*(AX$2-ExDivPct)),ExDivTree!AX12))</f>
        <v>225.66942286779999</v>
      </c>
      <c r="AY12" s="17">
        <f>IF(AY$3="","",IF(AND(DivAs=2,AY$2&lt;ExDivPct),ExDivTree!AY12+DivAmount*EXP(IntRate*(AY$2-ExDivPct)),ExDivTree!AY12))</f>
        <v>232.5010140787</v>
      </c>
      <c r="AZ12" s="17">
        <f>IF(AZ$3="","",IF(AND(DivAs=2,AZ$2&lt;ExDivPct),ExDivTree!AZ12+DivAmount*EXP(IntRate*(AZ$2-ExDivPct)),ExDivTree!AZ12))</f>
        <v>239.53941504650001</v>
      </c>
      <c r="BA12" s="17">
        <f>IF(BA$3="","",IF(AND(DivAs=2,BA$2&lt;ExDivPct),ExDivTree!BA12+DivAmount*EXP(IntRate*(BA$2-ExDivPct)),ExDivTree!BA12))</f>
        <v>246.79088643200001</v>
      </c>
      <c r="BB12" s="17">
        <f>IF(BB$3="","",IF(AND(DivAs=2,BB$2&lt;ExDivPct),ExDivTree!BB12+DivAmount*EXP(IntRate*(BB$2-ExDivPct)),ExDivTree!BB12))</f>
        <v>254.2618784222</v>
      </c>
      <c r="BC12" s="17">
        <f>IF(BC$3="","",IF(AND(DivAs=2,BC$2&lt;ExDivPct),ExDivTree!BC12+DivAmount*EXP(IntRate*(BC$2-ExDivPct)),ExDivTree!BC12))</f>
        <v>261.95903646789998</v>
      </c>
      <c r="BD12" s="17">
        <f>IF(BD$3="","",IF(AND(DivAs=2,BD$2&lt;ExDivPct),ExDivTree!BD12+DivAmount*EXP(IntRate*(BD$2-ExDivPct)),ExDivTree!BD12))</f>
        <v>269.88920719470002</v>
      </c>
      <c r="BE12" s="17">
        <f>IF(BE$3="","",IF(AND(DivAs=2,BE$2&lt;ExDivPct),ExDivTree!BE12+DivAmount*EXP(IntRate*(BE$2-ExDivPct)),ExDivTree!BE12))</f>
        <v>278.059444493</v>
      </c>
      <c r="BF12" s="17">
        <f>IF(BF$3="","",IF(AND(DivAs=2,BF$2&lt;ExDivPct),ExDivTree!BF12+DivAmount*EXP(IntRate*(BF$2-ExDivPct)),ExDivTree!BF12))</f>
        <v>286.47701579250003</v>
      </c>
      <c r="BG12" s="17">
        <f>IF(BG$3="","",IF(AND(DivAs=2,BG$2&lt;ExDivPct),ExDivTree!BG12+DivAmount*EXP(IntRate*(BG$2-ExDivPct)),ExDivTree!BG12))</f>
        <v>295.14940852669997</v>
      </c>
      <c r="BH12" s="17">
        <f>IF(BH$3="","",IF(AND(DivAs=2,BH$2&lt;ExDivPct),ExDivTree!BH12+DivAmount*EXP(IntRate*(BH$2-ExDivPct)),ExDivTree!BH12))</f>
        <v>304.08433679289999</v>
      </c>
      <c r="BI12" s="17">
        <f>IF(BI$3="","",IF(AND(DivAs=2,BI$2&lt;ExDivPct),ExDivTree!BI12+DivAmount*EXP(IntRate*(BI$2-ExDivPct)),ExDivTree!BI12))</f>
        <v>313.28974821380001</v>
      </c>
      <c r="BJ12" s="17">
        <f>IF(BJ$3="","",IF(AND(DivAs=2,BJ$2&lt;ExDivPct),ExDivTree!BJ12+DivAmount*EXP(IntRate*(BJ$2-ExDivPct)),ExDivTree!BJ12))</f>
        <v>322.77383100700001</v>
      </c>
      <c r="BK12" s="17">
        <f>IF(BK$3="","",IF(AND(DivAs=2,BK$2&lt;ExDivPct),ExDivTree!BK12+DivAmount*EXP(IntRate*(BK$2-ExDivPct)),ExDivTree!BK12))</f>
        <v>332.54502126839998</v>
      </c>
      <c r="BL12" s="17">
        <f>IF(BL$3="","",IF(AND(DivAs=2,BL$2&lt;ExDivPct),ExDivTree!BL12+DivAmount*EXP(IntRate*(BL$2-ExDivPct)),ExDivTree!BL12))</f>
        <v>342.61201047610001</v>
      </c>
      <c r="BM12" s="17">
        <f>IF(BM$3="","",IF(AND(DivAs=2,BM$2&lt;ExDivPct),ExDivTree!BM12+DivAmount*EXP(IntRate*(BM$2-ExDivPct)),ExDivTree!BM12))</f>
        <v>352.98375322160001</v>
      </c>
      <c r="BN12" s="17">
        <f>IF(BN$3="","",IF(AND(DivAs=2,BN$2&lt;ExDivPct),ExDivTree!BN12+DivAmount*EXP(IntRate*(BN$2-ExDivPct)),ExDivTree!BN12))</f>
        <v>363.66947517480003</v>
      </c>
      <c r="BO12" s="17">
        <f>IF(BO$3="","",IF(AND(DivAs=2,BO$2&lt;ExDivPct),ExDivTree!BO12+DivAmount*EXP(IntRate*(BO$2-ExDivPct)),ExDivTree!BO12))</f>
        <v>374.67868129009997</v>
      </c>
      <c r="BP12" s="17">
        <f>IF(BP$3="","",IF(AND(DivAs=2,BP$2&lt;ExDivPct),ExDivTree!BP12+DivAmount*EXP(IntRate*(BP$2-ExDivPct)),ExDivTree!BP12))</f>
        <v>386.02116426139997</v>
      </c>
      <c r="BQ12" s="17">
        <f>IF(BQ$3="","",IF(AND(DivAs=2,BQ$2&lt;ExDivPct),ExDivTree!BQ12+DivAmount*EXP(IntRate*(BQ$2-ExDivPct)),ExDivTree!BQ12))</f>
        <v>397.70701323230003</v>
      </c>
      <c r="BR12" s="17">
        <f>IF(BR$3="","",IF(AND(DivAs=2,BR$2&lt;ExDivPct),ExDivTree!BR12+DivAmount*EXP(IntRate*(BR$2-ExDivPct)),ExDivTree!BR12))</f>
        <v>409.7466227708</v>
      </c>
      <c r="BS12" s="17">
        <f>IF(BS$3="","",IF(AND(DivAs=2,BS$2&lt;ExDivPct),ExDivTree!BS12+DivAmount*EXP(IntRate*(BS$2-ExDivPct)),ExDivTree!BS12))</f>
        <v>422.150702115</v>
      </c>
      <c r="BT12" s="17">
        <f>IF(BT$3="","",IF(AND(DivAs=2,BT$2&lt;ExDivPct),ExDivTree!BT12+DivAmount*EXP(IntRate*(BT$2-ExDivPct)),ExDivTree!BT12))</f>
        <v>434.93028469910001</v>
      </c>
      <c r="BU12" s="17">
        <f>IF(BU$3="","",IF(AND(DivAs=2,BU$2&lt;ExDivPct),ExDivTree!BU12+DivAmount*EXP(IntRate*(BU$2-ExDivPct)),ExDivTree!BU12))</f>
        <v>448.09673796760001</v>
      </c>
      <c r="BV12" s="17">
        <f>IF(BV$3="","",IF(AND(DivAs=2,BV$2&lt;ExDivPct),ExDivTree!BV12+DivAmount*EXP(IntRate*(BV$2-ExDivPct)),ExDivTree!BV12))</f>
        <v>461.66177348650001</v>
      </c>
      <c r="BW12" s="17">
        <f>IF(BW$3="","",IF(AND(DivAs=2,BW$2&lt;ExDivPct),ExDivTree!BW12+DivAmount*EXP(IntRate*(BW$2-ExDivPct)),ExDivTree!BW12))</f>
        <v>475.63745736110002</v>
      </c>
      <c r="BX12" s="17">
        <f>IF(BX$3="","",IF(AND(DivAs=2,BX$2&lt;ExDivPct),ExDivTree!BX12+DivAmount*EXP(IntRate*(BX$2-ExDivPct)),ExDivTree!BX12))</f>
        <v>490.0362209685</v>
      </c>
      <c r="BY12" s="17">
        <f>IF(BY$3="","",IF(AND(DivAs=2,BY$2&lt;ExDivPct),ExDivTree!BY12+DivAmount*EXP(IntRate*(BY$2-ExDivPct)),ExDivTree!BY12))</f>
        <v>504.87087201539998</v>
      </c>
      <c r="BZ12" s="17">
        <f>IF(BZ$3="","",IF(AND(DivAs=2,BZ$2&lt;ExDivPct),ExDivTree!BZ12+DivAmount*EXP(IntRate*(BZ$2-ExDivPct)),ExDivTree!BZ12))</f>
        <v>520.15460593060004</v>
      </c>
      <c r="CA12" s="17">
        <f>IF(CA$3="","",IF(AND(DivAs=2,CA$2&lt;ExDivPct),ExDivTree!CA12+DivAmount*EXP(IntRate*(CA$2-ExDivPct)),ExDivTree!CA12))</f>
        <v>535.90101760230004</v>
      </c>
      <c r="CB12" s="17">
        <f>IF(CB$3="","",IF(AND(DivAs=2,CB$2&lt;ExDivPct),ExDivTree!CB12+DivAmount*EXP(IntRate*(CB$2-ExDivPct)),ExDivTree!CB12))</f>
        <v>552.12411347080001</v>
      </c>
      <c r="CC12" s="17">
        <f>IF(CC$3="","",IF(AND(DivAs=2,CC$2&lt;ExDivPct),ExDivTree!CC12+DivAmount*EXP(IntRate*(CC$2-ExDivPct)),ExDivTree!CC12))</f>
        <v>568.83832398720006</v>
      </c>
      <c r="CD12" s="17">
        <f>IF(CD$3="","",IF(AND(DivAs=2,CD$2&lt;ExDivPct),ExDivTree!CD12+DivAmount*EXP(IntRate*(CD$2-ExDivPct)),ExDivTree!CD12))</f>
        <v>586.05851644920006</v>
      </c>
      <c r="CE12" s="17">
        <f>IF(CE$3="","",IF(AND(DivAs=2,CE$2&lt;ExDivPct),ExDivTree!CE12+DivAmount*EXP(IntRate*(CE$2-ExDivPct)),ExDivTree!CE12))</f>
        <v>603.8000082259</v>
      </c>
      <c r="CF12" s="17">
        <f>IF(CF$3="","",IF(AND(DivAs=2,CF$2&lt;ExDivPct),ExDivTree!CF12+DivAmount*EXP(IntRate*(CF$2-ExDivPct)),ExDivTree!CF12))</f>
        <v>622.07858038209997</v>
      </c>
      <c r="CG12" s="17">
        <f>IF(CG$3="","",IF(AND(DivAs=2,CG$2&lt;ExDivPct),ExDivTree!CG12+DivAmount*EXP(IntRate*(CG$2-ExDivPct)),ExDivTree!CG12))</f>
        <v>640.91049171609995</v>
      </c>
      <c r="CH12" s="17">
        <f>IF(CH$3="","",IF(AND(DivAs=2,CH$2&lt;ExDivPct),ExDivTree!CH12+DivAmount*EXP(IntRate*(CH$2-ExDivPct)),ExDivTree!CH12))</f>
        <v>660.31249322140002</v>
      </c>
      <c r="CI12" s="17">
        <f>IF(CI$3="","",IF(AND(DivAs=2,CI$2&lt;ExDivPct),ExDivTree!CI12+DivAmount*EXP(IntRate*(CI$2-ExDivPct)),ExDivTree!CI12))</f>
        <v>680.30184298719996</v>
      </c>
      <c r="CJ12" s="17">
        <f>IF(CJ$3="","",IF(AND(DivAs=2,CJ$2&lt;ExDivPct),ExDivTree!CJ12+DivAmount*EXP(IntRate*(CJ$2-ExDivPct)),ExDivTree!CJ12))</f>
        <v>700.89632154900005</v>
      </c>
      <c r="CK12" s="17">
        <f>IF(CK$3="","",IF(AND(DivAs=2,CK$2&lt;ExDivPct),ExDivTree!CK12+DivAmount*EXP(IntRate*(CK$2-ExDivPct)),ExDivTree!CK12))</f>
        <v>722.11424770489998</v>
      </c>
      <c r="CL12" s="17">
        <f>IF(CL$3="","",IF(AND(DivAs=2,CL$2&lt;ExDivPct),ExDivTree!CL12+DivAmount*EXP(IntRate*(CL$2-ExDivPct)),ExDivTree!CL12))</f>
        <v>743.97449480969999</v>
      </c>
      <c r="CM12" s="17">
        <f>IF(CM$3="","",IF(AND(DivAs=2,CM$2&lt;ExDivPct),ExDivTree!CM12+DivAmount*EXP(IntRate*(CM$2-ExDivPct)),ExDivTree!CM12))</f>
        <v>766.49650756309995</v>
      </c>
      <c r="CN12" s="17">
        <f>IF(CN$3="","",IF(AND(DivAs=2,CN$2&lt;ExDivPct),ExDivTree!CN12+DivAmount*EXP(IntRate*(CN$2-ExDivPct)),ExDivTree!CN12))</f>
        <v>789.70031930560003</v>
      </c>
      <c r="CO12" s="17">
        <f>IF(CO$3="","",IF(AND(DivAs=2,CO$2&lt;ExDivPct),ExDivTree!CO12+DivAmount*EXP(IntRate*(CO$2-ExDivPct)),ExDivTree!CO12))</f>
        <v>813.60656983820002</v>
      </c>
      <c r="CP12" s="17">
        <f>IF(CP$3="","",IF(AND(DivAs=2,CP$2&lt;ExDivPct),ExDivTree!CP12+DivAmount*EXP(IntRate*(CP$2-ExDivPct)),ExDivTree!CP12))</f>
        <v>838.23652378149995</v>
      </c>
      <c r="CQ12" s="17">
        <f>IF(CQ$3="","",IF(AND(DivAs=2,CQ$2&lt;ExDivPct),ExDivTree!CQ12+DivAmount*EXP(IntRate*(CQ$2-ExDivPct)),ExDivTree!CQ12))</f>
        <v>863.61208949060006</v>
      </c>
      <c r="CR12" s="17">
        <f>IF(CR$3="","",IF(AND(DivAs=2,CR$2&lt;ExDivPct),ExDivTree!CR12+DivAmount*EXP(IntRate*(CR$2-ExDivPct)),ExDivTree!CR12))</f>
        <v>889.75583854269996</v>
      </c>
      <c r="CS12" s="17">
        <f>IF(CS$3="","",IF(AND(DivAs=2,CS$2&lt;ExDivPct),ExDivTree!CS12+DivAmount*EXP(IntRate*(CS$2-ExDivPct)),ExDivTree!CS12))</f>
        <v>916.69102581439995</v>
      </c>
      <c r="CT12" s="17">
        <f>IF(CT$3="","",IF(AND(DivAs=2,CT$2&lt;ExDivPct),ExDivTree!CT12+DivAmount*EXP(IntRate*(CT$2-ExDivPct)),ExDivTree!CT12))</f>
        <v>944.44161016689998</v>
      </c>
      <c r="CU12" s="17">
        <f>IF(CU$3="","",IF(AND(DivAs=2,CU$2&lt;ExDivPct),ExDivTree!CU12+DivAmount*EXP(IntRate*(CU$2-ExDivPct)),ExDivTree!CU12))</f>
        <v>973.03227575749997</v>
      </c>
      <c r="CV12" s="17">
        <f>IF(CV$3="","",IF(AND(DivAs=2,CV$2&lt;ExDivPct),ExDivTree!CV12+DivAmount*EXP(IntRate*(CV$2-ExDivPct)),ExDivTree!CV12))</f>
        <v>1002.4884539961</v>
      </c>
      <c r="CW12" s="17">
        <f>IF(CW$3="","",IF(AND(DivAs=2,CW$2&lt;ExDivPct),ExDivTree!CW12+DivAmount*EXP(IntRate*(CW$2-ExDivPct)),ExDivTree!CW12))</f>
        <v>1032.8363461665001</v>
      </c>
      <c r="CX12" s="17">
        <f>IF(CX$3="","",IF(AND(DivAs=2,CX$2&lt;ExDivPct),ExDivTree!CX12+DivAmount*EXP(IntRate*(CX$2-ExDivPct)),ExDivTree!CX12))</f>
        <v>1064.1029467325</v>
      </c>
      <c r="CY12" s="17">
        <f>IF(CY$3="","",IF(AND(DivAs=2,CY$2&lt;ExDivPct),ExDivTree!CY12+DivAmount*EXP(IntRate*(CY$2-ExDivPct)),ExDivTree!CY12))</f>
        <v>1096.3160673494999</v>
      </c>
      <c r="CZ12" s="17">
        <f>IF(CZ$3="","",IF(AND(DivAs=2,CZ$2&lt;ExDivPct),ExDivTree!CZ12+DivAmount*EXP(IntRate*(CZ$2-ExDivPct)),ExDivTree!CZ12))</f>
        <v>1129.5043616027001</v>
      </c>
      <c r="DA12" s="17">
        <f>IF(DA$3="","",IF(AND(DivAs=2,DA$2&lt;ExDivPct),ExDivTree!DA12+DivAmount*EXP(IntRate*(DA$2-ExDivPct)),ExDivTree!DA12))</f>
        <v>1163.6973504948</v>
      </c>
      <c r="DB12" s="17">
        <f>IF(DB$3="","",IF(AND(DivAs=2,DB$2&lt;ExDivPct),ExDivTree!DB12+DivAmount*EXP(IntRate*(DB$2-ExDivPct)),ExDivTree!DB12))</f>
        <v>1198.9254487049</v>
      </c>
    </row>
    <row r="13" spans="1:106" x14ac:dyDescent="0.2">
      <c r="A13">
        <f>ExDivTree!A13</f>
        <v>2088319702700</v>
      </c>
      <c r="B13" s="71">
        <f>ExDivTree!B13</f>
        <v>8.2369688553139813E-19</v>
      </c>
      <c r="C13" s="71">
        <f>ExDivTree!C13</f>
        <v>1.0260154271960537E-18</v>
      </c>
      <c r="D13" s="177">
        <f>ExDivTree!D13</f>
        <v>9</v>
      </c>
      <c r="N13" s="17">
        <f>IF(N$3="","",IF(AND(DivAs=2,N$2&lt;ExDivPct),ExDivTree!N13+DivAmount*EXP(IntRate*(N$2-ExDivPct)),ExDivTree!N13))</f>
        <v>77.657295179283892</v>
      </c>
      <c r="O13" s="17">
        <f>IF(O$3="","",IF(AND(DivAs=2,O$2&lt;ExDivPct),ExDivTree!O13+DivAmount*EXP(IntRate*(O$2-ExDivPct)),ExDivTree!O13))</f>
        <v>74.8593497584</v>
      </c>
      <c r="P13" s="17">
        <f>IF(P$3="","",IF(AND(DivAs=2,P$2&lt;ExDivPct),ExDivTree!P13+DivAmount*EXP(IntRate*(P$2-ExDivPct)),ExDivTree!P13))</f>
        <v>77.125533937699998</v>
      </c>
      <c r="Q13" s="17">
        <f>IF(Q$3="","",IF(AND(DivAs=2,Q$2&lt;ExDivPct),ExDivTree!Q13+DivAmount*EXP(IntRate*(Q$2-ExDivPct)),ExDivTree!Q13))</f>
        <v>79.460321314300003</v>
      </c>
      <c r="R13" s="17">
        <f>IF(R$3="","",IF(AND(DivAs=2,R$2&lt;ExDivPct),ExDivTree!R13+DivAmount*EXP(IntRate*(R$2-ExDivPct)),ExDivTree!R13))</f>
        <v>81.865788682499996</v>
      </c>
      <c r="S13" s="17">
        <f>IF(S$3="","",IF(AND(DivAs=2,S$2&lt;ExDivPct),ExDivTree!S13+DivAmount*EXP(IntRate*(S$2-ExDivPct)),ExDivTree!S13))</f>
        <v>84.344075706599995</v>
      </c>
      <c r="T13" s="17">
        <f>IF(T$3="","",IF(AND(DivAs=2,T$2&lt;ExDivPct),ExDivTree!T13+DivAmount*EXP(IntRate*(T$2-ExDivPct)),ExDivTree!T13))</f>
        <v>86.897386824099996</v>
      </c>
      <c r="U13" s="17">
        <f>IF(U$3="","",IF(AND(DivAs=2,U$2&lt;ExDivPct),ExDivTree!U13+DivAmount*EXP(IntRate*(U$2-ExDivPct)),ExDivTree!U13))</f>
        <v>89.527993206399998</v>
      </c>
      <c r="V13" s="17">
        <f>IF(V$3="","",IF(AND(DivAs=2,V$2&lt;ExDivPct),ExDivTree!V13+DivAmount*EXP(IntRate*(V$2-ExDivPct)),ExDivTree!V13))</f>
        <v>92.238234778999995</v>
      </c>
      <c r="W13" s="17">
        <f>IF(W$3="","",IF(AND(DivAs=2,W$2&lt;ExDivPct),ExDivTree!W13+DivAmount*EXP(IntRate*(W$2-ExDivPct)),ExDivTree!W13))</f>
        <v>95.030522302999998</v>
      </c>
      <c r="X13" s="17">
        <f>IF(X$3="","",IF(AND(DivAs=2,X$2&lt;ExDivPct),ExDivTree!X13+DivAmount*EXP(IntRate*(X$2-ExDivPct)),ExDivTree!X13))</f>
        <v>97.907339519499999</v>
      </c>
      <c r="Y13" s="17">
        <f>IF(Y$3="","",IF(AND(DivAs=2,Y$2&lt;ExDivPct),ExDivTree!Y13+DivAmount*EXP(IntRate*(Y$2-ExDivPct)),ExDivTree!Y13))</f>
        <v>100.87124535860001</v>
      </c>
      <c r="Z13" s="17">
        <f>IF(Z$3="","",IF(AND(DivAs=2,Z$2&lt;ExDivPct),ExDivTree!Z13+DivAmount*EXP(IntRate*(Z$2-ExDivPct)),ExDivTree!Z13))</f>
        <v>103.9248762159</v>
      </c>
      <c r="AA13" s="17">
        <f>IF(AA$3="","",IF(AND(DivAs=2,AA$2&lt;ExDivPct),ExDivTree!AA13+DivAmount*EXP(IntRate*(AA$2-ExDivPct)),ExDivTree!AA13))</f>
        <v>107.0709482975</v>
      </c>
      <c r="AB13" s="17">
        <f>IF(AB$3="","",IF(AND(DivAs=2,AB$2&lt;ExDivPct),ExDivTree!AB13+DivAmount*EXP(IntRate*(AB$2-ExDivPct)),ExDivTree!AB13))</f>
        <v>110.3122600359</v>
      </c>
      <c r="AC13" s="17">
        <f>IF(AC$3="","",IF(AND(DivAs=2,AC$2&lt;ExDivPct),ExDivTree!AC13+DivAmount*EXP(IntRate*(AC$2-ExDivPct)),ExDivTree!AC13))</f>
        <v>113.6516945793</v>
      </c>
      <c r="AD13" s="17">
        <f>IF(AD$3="","",IF(AND(DivAs=2,AD$2&lt;ExDivPct),ExDivTree!AD13+DivAmount*EXP(IntRate*(AD$2-ExDivPct)),ExDivTree!AD13))</f>
        <v>117.0922223563</v>
      </c>
      <c r="AE13" s="17">
        <f>IF(AE$3="","",IF(AND(DivAs=2,AE$2&lt;ExDivPct),ExDivTree!AE13+DivAmount*EXP(IntRate*(AE$2-ExDivPct)),ExDivTree!AE13))</f>
        <v>120.6369037179</v>
      </c>
      <c r="AF13" s="17">
        <f>IF(AF$3="","",IF(AND(DivAs=2,AF$2&lt;ExDivPct),ExDivTree!AF13+DivAmount*EXP(IntRate*(AF$2-ExDivPct)),ExDivTree!AF13))</f>
        <v>124.2888916597</v>
      </c>
      <c r="AG13" s="17">
        <f>IF(AG$3="","",IF(AND(DivAs=2,AG$2&lt;ExDivPct),ExDivTree!AG13+DivAmount*EXP(IntRate*(AG$2-ExDivPct)),ExDivTree!AG13))</f>
        <v>128.0514346267</v>
      </c>
      <c r="AH13" s="17">
        <f>IF(AH$3="","",IF(AND(DivAs=2,AH$2&lt;ExDivPct),ExDivTree!AH13+DivAmount*EXP(IntRate*(AH$2-ExDivPct)),ExDivTree!AH13))</f>
        <v>131.9278794025</v>
      </c>
      <c r="AI13" s="17">
        <f>IF(AI$3="","",IF(AND(DivAs=2,AI$2&lt;ExDivPct),ExDivTree!AI13+DivAmount*EXP(IntRate*(AI$2-ExDivPct)),ExDivTree!AI13))</f>
        <v>135.92167408649999</v>
      </c>
      <c r="AJ13" s="17">
        <f>IF(AJ$3="","",IF(AND(DivAs=2,AJ$2&lt;ExDivPct),ExDivTree!AJ13+DivAmount*EXP(IntRate*(AJ$2-ExDivPct)),ExDivTree!AJ13))</f>
        <v>140.03637116089999</v>
      </c>
      <c r="AK13" s="17">
        <f>IF(AK$3="","",IF(AND(DivAs=2,AK$2&lt;ExDivPct),ExDivTree!AK13+DivAmount*EXP(IntRate*(AK$2-ExDivPct)),ExDivTree!AK13))</f>
        <v>144.27563065059999</v>
      </c>
      <c r="AL13" s="17">
        <f>IF(AL$3="","",IF(AND(DivAs=2,AL$2&lt;ExDivPct),ExDivTree!AL13+DivAmount*EXP(IntRate*(AL$2-ExDivPct)),ExDivTree!AL13))</f>
        <v>148.6432233788</v>
      </c>
      <c r="AM13" s="17">
        <f>IF(AM$3="","",IF(AND(DivAs=2,AM$2&lt;ExDivPct),ExDivTree!AM13+DivAmount*EXP(IntRate*(AM$2-ExDivPct)),ExDivTree!AM13))</f>
        <v>153.14303432119999</v>
      </c>
      <c r="AN13" s="17">
        <f>IF(AN$3="","",IF(AND(DivAs=2,AN$2&lt;ExDivPct),ExDivTree!AN13+DivAmount*EXP(IntRate*(AN$2-ExDivPct)),ExDivTree!AN13))</f>
        <v>157.77906606170001</v>
      </c>
      <c r="AO13" s="17">
        <f>IF(AO$3="","",IF(AND(DivAs=2,AO$2&lt;ExDivPct),ExDivTree!AO13+DivAmount*EXP(IntRate*(AO$2-ExDivPct)),ExDivTree!AO13))</f>
        <v>162.55544235260001</v>
      </c>
      <c r="AP13" s="17">
        <f>IF(AP$3="","",IF(AND(DivAs=2,AP$2&lt;ExDivPct),ExDivTree!AP13+DivAmount*EXP(IntRate*(AP$2-ExDivPct)),ExDivTree!AP13))</f>
        <v>167.4764117828</v>
      </c>
      <c r="AQ13" s="17">
        <f>IF(AQ$3="","",IF(AND(DivAs=2,AQ$2&lt;ExDivPct),ExDivTree!AQ13+DivAmount*EXP(IntRate*(AQ$2-ExDivPct)),ExDivTree!AQ13))</f>
        <v>172.5463515568</v>
      </c>
      <c r="AR13" s="17">
        <f>IF(AR$3="","",IF(AND(DivAs=2,AR$2&lt;ExDivPct),ExDivTree!AR13+DivAmount*EXP(IntRate*(AR$2-ExDivPct)),ExDivTree!AR13))</f>
        <v>177.7697713883</v>
      </c>
      <c r="AS13" s="17">
        <f>IF(AS$3="","",IF(AND(DivAs=2,AS$2&lt;ExDivPct),ExDivTree!AS13+DivAmount*EXP(IntRate*(AS$2-ExDivPct)),ExDivTree!AS13))</f>
        <v>183.15131751160001</v>
      </c>
      <c r="AT13" s="17">
        <f>IF(AT$3="","",IF(AND(DivAs=2,AT$2&lt;ExDivPct),ExDivTree!AT13+DivAmount*EXP(IntRate*(AT$2-ExDivPct)),ExDivTree!AT13))</f>
        <v>188.69577681440001</v>
      </c>
      <c r="AU13" s="17">
        <f>IF(AU$3="","",IF(AND(DivAs=2,AU$2&lt;ExDivPct),ExDivTree!AU13+DivAmount*EXP(IntRate*(AU$2-ExDivPct)),ExDivTree!AU13))</f>
        <v>194.40808109579999</v>
      </c>
      <c r="AV13" s="17">
        <f>IF(AV$3="","",IF(AND(DivAs=2,AV$2&lt;ExDivPct),ExDivTree!AV13+DivAmount*EXP(IntRate*(AV$2-ExDivPct)),ExDivTree!AV13))</f>
        <v>200.293311453</v>
      </c>
      <c r="AW13" s="17">
        <f>IF(AW$3="","",IF(AND(DivAs=2,AW$2&lt;ExDivPct),ExDivTree!AW13+DivAmount*EXP(IntRate*(AW$2-ExDivPct)),ExDivTree!AW13))</f>
        <v>206.35670280100001</v>
      </c>
      <c r="AX13" s="17">
        <f>IF(AX$3="","",IF(AND(DivAs=2,AX$2&lt;ExDivPct),ExDivTree!AX13+DivAmount*EXP(IntRate*(AX$2-ExDivPct)),ExDivTree!AX13))</f>
        <v>212.6036485292</v>
      </c>
      <c r="AY13" s="17">
        <f>IF(AY$3="","",IF(AND(DivAs=2,AY$2&lt;ExDivPct),ExDivTree!AY13+DivAmount*EXP(IntRate*(AY$2-ExDivPct)),ExDivTree!AY13))</f>
        <v>219.03970529860001</v>
      </c>
      <c r="AZ13" s="17">
        <f>IF(AZ$3="","",IF(AND(DivAs=2,AZ$2&lt;ExDivPct),ExDivTree!AZ13+DivAmount*EXP(IntRate*(AZ$2-ExDivPct)),ExDivTree!AZ13))</f>
        <v>225.67059798459999</v>
      </c>
      <c r="BA13" s="17">
        <f>IF(BA$3="","",IF(AND(DivAs=2,BA$2&lt;ExDivPct),ExDivTree!BA13+DivAmount*EXP(IntRate*(BA$2-ExDivPct)),ExDivTree!BA13))</f>
        <v>232.5022247693</v>
      </c>
      <c r="BB13" s="17">
        <f>IF(BB$3="","",IF(AND(DivAs=2,BB$2&lt;ExDivPct),ExDivTree!BB13+DivAmount*EXP(IntRate*(BB$2-ExDivPct)),ExDivTree!BB13))</f>
        <v>239.54066238780001</v>
      </c>
      <c r="BC13" s="17">
        <f>IF(BC$3="","",IF(AND(DivAs=2,BC$2&lt;ExDivPct),ExDivTree!BC13+DivAmount*EXP(IntRate*(BC$2-ExDivPct)),ExDivTree!BC13))</f>
        <v>246.79217153350001</v>
      </c>
      <c r="BD13" s="17">
        <f>IF(BD$3="","",IF(AND(DivAs=2,BD$2&lt;ExDivPct),ExDivTree!BD13+DivAmount*EXP(IntRate*(BD$2-ExDivPct)),ExDivTree!BD13))</f>
        <v>254.26320242700001</v>
      </c>
      <c r="BE13" s="17">
        <f>IF(BE$3="","",IF(AND(DivAs=2,BE$2&lt;ExDivPct),ExDivTree!BE13+DivAmount*EXP(IntRate*(BE$2-ExDivPct)),ExDivTree!BE13))</f>
        <v>261.96040055370003</v>
      </c>
      <c r="BF13" s="17">
        <f>IF(BF$3="","",IF(AND(DivAs=2,BF$2&lt;ExDivPct),ExDivTree!BF13+DivAmount*EXP(IntRate*(BF$2-ExDivPct)),ExDivTree!BF13))</f>
        <v>269.8906125748</v>
      </c>
      <c r="BG13" s="17">
        <f>IF(BG$3="","",IF(AND(DivAs=2,BG$2&lt;ExDivPct),ExDivTree!BG13+DivAmount*EXP(IntRate*(BG$2-ExDivPct)),ExDivTree!BG13))</f>
        <v>278.06089241749999</v>
      </c>
      <c r="BH13" s="17">
        <f>IF(BH$3="","",IF(AND(DivAs=2,BH$2&lt;ExDivPct),ExDivTree!BH13+DivAmount*EXP(IntRate*(BH$2-ExDivPct)),ExDivTree!BH13))</f>
        <v>286.47850754939998</v>
      </c>
      <c r="BI13" s="17">
        <f>IF(BI$3="","",IF(AND(DivAs=2,BI$2&lt;ExDivPct),ExDivTree!BI13+DivAmount*EXP(IntRate*(BI$2-ExDivPct)),ExDivTree!BI13))</f>
        <v>295.15094544290002</v>
      </c>
      <c r="BJ13" s="17">
        <f>IF(BJ$3="","",IF(AND(DivAs=2,BJ$2&lt;ExDivPct),ExDivTree!BJ13+DivAmount*EXP(IntRate*(BJ$2-ExDivPct)),ExDivTree!BJ13))</f>
        <v>304.0859202355</v>
      </c>
      <c r="BK13" s="17">
        <f>IF(BK$3="","",IF(AND(DivAs=2,BK$2&lt;ExDivPct),ExDivTree!BK13+DivAmount*EXP(IntRate*(BK$2-ExDivPct)),ExDivTree!BK13))</f>
        <v>313.29137959119998</v>
      </c>
      <c r="BL13" s="17">
        <f>IF(BL$3="","",IF(AND(DivAs=2,BL$2&lt;ExDivPct),ExDivTree!BL13+DivAmount*EXP(IntRate*(BL$2-ExDivPct)),ExDivTree!BL13))</f>
        <v>322.7755117703</v>
      </c>
      <c r="BM13" s="17">
        <f>IF(BM$3="","",IF(AND(DivAs=2,BM$2&lt;ExDivPct),ExDivTree!BM13+DivAmount*EXP(IntRate*(BM$2-ExDivPct)),ExDivTree!BM13))</f>
        <v>332.54675291270001</v>
      </c>
      <c r="BN13" s="17">
        <f>IF(BN$3="","",IF(AND(DivAs=2,BN$2&lt;ExDivPct),ExDivTree!BN13+DivAmount*EXP(IntRate*(BN$2-ExDivPct)),ExDivTree!BN13))</f>
        <v>342.61379454180002</v>
      </c>
      <c r="BO13" s="17">
        <f>IF(BO$3="","",IF(AND(DivAs=2,BO$2&lt;ExDivPct),ExDivTree!BO13+DivAmount*EXP(IntRate*(BO$2-ExDivPct)),ExDivTree!BO13))</f>
        <v>352.98559129559999</v>
      </c>
      <c r="BP13" s="17">
        <f>IF(BP$3="","",IF(AND(DivAs=2,BP$2&lt;ExDivPct),ExDivTree!BP13+DivAmount*EXP(IntRate*(BP$2-ExDivPct)),ExDivTree!BP13))</f>
        <v>363.67136889199998</v>
      </c>
      <c r="BQ13" s="17">
        <f>IF(BQ$3="","",IF(AND(DivAs=2,BQ$2&lt;ExDivPct),ExDivTree!BQ13+DivAmount*EXP(IntRate*(BQ$2-ExDivPct)),ExDivTree!BQ13))</f>
        <v>374.68063233499998</v>
      </c>
      <c r="BR13" s="17">
        <f>IF(BR$3="","",IF(AND(DivAs=2,BR$2&lt;ExDivPct),ExDivTree!BR13+DivAmount*EXP(IntRate*(BR$2-ExDivPct)),ExDivTree!BR13))</f>
        <v>386.02317436940001</v>
      </c>
      <c r="BS13" s="17">
        <f>IF(BS$3="","",IF(AND(DivAs=2,BS$2&lt;ExDivPct),ExDivTree!BS13+DivAmount*EXP(IntRate*(BS$2-ExDivPct)),ExDivTree!BS13))</f>
        <v>397.70908419149998</v>
      </c>
      <c r="BT13" s="17">
        <f>IF(BT$3="","",IF(AND(DivAs=2,BT$2&lt;ExDivPct),ExDivTree!BT13+DivAmount*EXP(IntRate*(BT$2-ExDivPct)),ExDivTree!BT13))</f>
        <v>409.74875642329999</v>
      </c>
      <c r="BU13" s="17">
        <f>IF(BU$3="","",IF(AND(DivAs=2,BU$2&lt;ExDivPct),ExDivTree!BU13+DivAmount*EXP(IntRate*(BU$2-ExDivPct)),ExDivTree!BU13))</f>
        <v>422.15290035869998</v>
      </c>
      <c r="BV13" s="17">
        <f>IF(BV$3="","",IF(AND(DivAs=2,BV$2&lt;ExDivPct),ExDivTree!BV13+DivAmount*EXP(IntRate*(BV$2-ExDivPct)),ExDivTree!BV13))</f>
        <v>434.93254948930002</v>
      </c>
      <c r="BW13" s="17">
        <f>IF(BW$3="","",IF(AND(DivAs=2,BW$2&lt;ExDivPct),ExDivTree!BW13+DivAmount*EXP(IntRate*(BW$2-ExDivPct)),ExDivTree!BW13))</f>
        <v>448.0990713187</v>
      </c>
      <c r="BX13" s="17">
        <f>IF(BX$3="","",IF(AND(DivAs=2,BX$2&lt;ExDivPct),ExDivTree!BX13+DivAmount*EXP(IntRate*(BX$2-ExDivPct)),ExDivTree!BX13))</f>
        <v>461.66417747409997</v>
      </c>
      <c r="BY13" s="17">
        <f>IF(BY$3="","",IF(AND(DivAs=2,BY$2&lt;ExDivPct),ExDivTree!BY13+DivAmount*EXP(IntRate*(BY$2-ExDivPct)),ExDivTree!BY13))</f>
        <v>475.63993412360003</v>
      </c>
      <c r="BZ13" s="17">
        <f>IF(BZ$3="","",IF(AND(DivAs=2,BZ$2&lt;ExDivPct),ExDivTree!BZ13+DivAmount*EXP(IntRate*(BZ$2-ExDivPct)),ExDivTree!BZ13))</f>
        <v>490.03877270890001</v>
      </c>
      <c r="CA13" s="17">
        <f>IF(CA$3="","",IF(AND(DivAs=2,CA$2&lt;ExDivPct),ExDivTree!CA13+DivAmount*EXP(IntRate*(CA$2-ExDivPct)),ExDivTree!CA13))</f>
        <v>504.8735010035</v>
      </c>
      <c r="CB13" s="17">
        <f>IF(CB$3="","",IF(AND(DivAs=2,CB$2&lt;ExDivPct),ExDivTree!CB13+DivAmount*EXP(IntRate*(CB$2-ExDivPct)),ExDivTree!CB13))</f>
        <v>520.1573145049</v>
      </c>
      <c r="CC13" s="17">
        <f>IF(CC$3="","",IF(AND(DivAs=2,CC$2&lt;ExDivPct),ExDivTree!CC13+DivAmount*EXP(IntRate*(CC$2-ExDivPct)),ExDivTree!CC13))</f>
        <v>535.90380817209996</v>
      </c>
      <c r="CD13" s="17">
        <f>IF(CD$3="","",IF(AND(DivAs=2,CD$2&lt;ExDivPct),ExDivTree!CD13+DivAmount*EXP(IntRate*(CD$2-ExDivPct)),ExDivTree!CD13))</f>
        <v>552.12698851829998</v>
      </c>
      <c r="CE13" s="17">
        <f>IF(CE$3="","",IF(AND(DivAs=2,CE$2&lt;ExDivPct),ExDivTree!CE13+DivAmount*EXP(IntRate*(CE$2-ExDivPct)),ExDivTree!CE13))</f>
        <v>568.8412860697</v>
      </c>
      <c r="CF13" s="17">
        <f>IF(CF$3="","",IF(AND(DivAs=2,CF$2&lt;ExDivPct),ExDivTree!CF13+DivAmount*EXP(IntRate*(CF$2-ExDivPct)),ExDivTree!CF13))</f>
        <v>586.06156820149999</v>
      </c>
      <c r="CG13" s="17">
        <f>IF(CG$3="","",IF(AND(DivAs=2,CG$2&lt;ExDivPct),ExDivTree!CG13+DivAmount*EXP(IntRate*(CG$2-ExDivPct)),ExDivTree!CG13))</f>
        <v>603.80315236249999</v>
      </c>
      <c r="CH13" s="17">
        <f>IF(CH$3="","",IF(AND(DivAs=2,CH$2&lt;ExDivPct),ExDivTree!CH13+DivAmount*EXP(IntRate*(CH$2-ExDivPct)),ExDivTree!CH13))</f>
        <v>622.08181969980001</v>
      </c>
      <c r="CI13" s="17">
        <f>IF(CI$3="","",IF(AND(DivAs=2,CI$2&lt;ExDivPct),ExDivTree!CI13+DivAmount*EXP(IntRate*(CI$2-ExDivPct)),ExDivTree!CI13))</f>
        <v>640.91382909619995</v>
      </c>
      <c r="CJ13" s="17">
        <f>IF(CJ$3="","",IF(AND(DivAs=2,CJ$2&lt;ExDivPct),ExDivTree!CJ13+DivAmount*EXP(IntRate*(CJ$2-ExDivPct)),ExDivTree!CJ13))</f>
        <v>660.31593163260004</v>
      </c>
      <c r="CK13" s="17">
        <f>IF(CK$3="","",IF(AND(DivAs=2,CK$2&lt;ExDivPct),ExDivTree!CK13+DivAmount*EXP(IntRate*(CK$2-ExDivPct)),ExDivTree!CK13))</f>
        <v>680.30538548790003</v>
      </c>
      <c r="CL13" s="17">
        <f>IF(CL$3="","",IF(AND(DivAs=2,CL$2&lt;ExDivPct),ExDivTree!CL13+DivAmount*EXP(IntRate*(CL$2-ExDivPct)),ExDivTree!CL13))</f>
        <v>700.89997129029996</v>
      </c>
      <c r="CM13" s="17">
        <f>IF(CM$3="","",IF(AND(DivAs=2,CM$2&lt;ExDivPct),ExDivTree!CM13+DivAmount*EXP(IntRate*(CM$2-ExDivPct)),ExDivTree!CM13))</f>
        <v>722.11800793320003</v>
      </c>
      <c r="CN13" s="17">
        <f>IF(CN$3="","",IF(AND(DivAs=2,CN$2&lt;ExDivPct),ExDivTree!CN13+DivAmount*EXP(IntRate*(CN$2-ExDivPct)),ExDivTree!CN13))</f>
        <v>743.97836886979997</v>
      </c>
      <c r="CO13" s="17">
        <f>IF(CO$3="","",IF(AND(DivAs=2,CO$2&lt;ExDivPct),ExDivTree!CO13+DivAmount*EXP(IntRate*(CO$2-ExDivPct)),ExDivTree!CO13))</f>
        <v>766.50049890089997</v>
      </c>
      <c r="CP13" s="17">
        <f>IF(CP$3="","",IF(AND(DivAs=2,CP$2&lt;ExDivPct),ExDivTree!CP13+DivAmount*EXP(IntRate*(CP$2-ExDivPct)),ExDivTree!CP13))</f>
        <v>789.70443147139997</v>
      </c>
      <c r="CQ13" s="17">
        <f>IF(CQ$3="","",IF(AND(DivAs=2,CQ$2&lt;ExDivPct),ExDivTree!CQ13+DivAmount*EXP(IntRate*(CQ$2-ExDivPct)),ExDivTree!CQ13))</f>
        <v>813.61080648979998</v>
      </c>
      <c r="CR13" s="17">
        <f>IF(CR$3="","",IF(AND(DivAs=2,CR$2&lt;ExDivPct),ExDivTree!CR13+DivAmount*EXP(IntRate*(CR$2-ExDivPct)),ExDivTree!CR13))</f>
        <v>838.2408886874</v>
      </c>
      <c r="CS13" s="17">
        <f>IF(CS$3="","",IF(AND(DivAs=2,CS$2&lt;ExDivPct),ExDivTree!CS13+DivAmount*EXP(IntRate*(CS$2-ExDivPct)),ExDivTree!CS13))</f>
        <v>863.61658653339998</v>
      </c>
      <c r="CT13" s="17">
        <f>IF(CT$3="","",IF(AND(DivAs=2,CT$2&lt;ExDivPct),ExDivTree!CT13+DivAmount*EXP(IntRate*(CT$2-ExDivPct)),ExDivTree!CT13))</f>
        <v>889.76047172250003</v>
      </c>
      <c r="CU13" s="17">
        <f>IF(CU$3="","",IF(AND(DivAs=2,CU$2&lt;ExDivPct),ExDivTree!CU13+DivAmount*EXP(IntRate*(CU$2-ExDivPct)),ExDivTree!CU13))</f>
        <v>916.69579925239998</v>
      </c>
      <c r="CV13" s="17">
        <f>IF(CV$3="","",IF(AND(DivAs=2,CV$2&lt;ExDivPct),ExDivTree!CV13+DivAmount*EXP(IntRate*(CV$2-ExDivPct)),ExDivTree!CV13))</f>
        <v>944.44652810909997</v>
      </c>
      <c r="CW13" s="17">
        <f>IF(CW$3="","",IF(AND(DivAs=2,CW$2&lt;ExDivPct),ExDivTree!CW13+DivAmount*EXP(IntRate*(CW$2-ExDivPct)),ExDivTree!CW13))</f>
        <v>973.03734257839994</v>
      </c>
      <c r="CX13" s="17">
        <f>IF(CX$3="","",IF(AND(DivAs=2,CX$2&lt;ExDivPct),ExDivTree!CX13+DivAmount*EXP(IntRate*(CX$2-ExDivPct)),ExDivTree!CX13))</f>
        <v>1002.4936742026</v>
      </c>
      <c r="CY13" s="17">
        <f>IF(CY$3="","",IF(AND(DivAs=2,CY$2&lt;ExDivPct),ExDivTree!CY13+DivAmount*EXP(IntRate*(CY$2-ExDivPct)),ExDivTree!CY13))</f>
        <v>1032.841724402</v>
      </c>
      <c r="CZ13" s="17">
        <f>IF(CZ$3="","",IF(AND(DivAs=2,CZ$2&lt;ExDivPct),ExDivTree!CZ13+DivAmount*EXP(IntRate*(CZ$2-ExDivPct)),ExDivTree!CZ13))</f>
        <v>1064.1084877809999</v>
      </c>
      <c r="DA13" s="17">
        <f>IF(DA$3="","",IF(AND(DivAs=2,DA$2&lt;ExDivPct),ExDivTree!DA13+DivAmount*EXP(IntRate*(DA$2-ExDivPct)),ExDivTree!DA13))</f>
        <v>1096.3217761397</v>
      </c>
      <c r="DB13" s="17">
        <f>IF(DB$3="","",IF(AND(DivAs=2,DB$2&lt;ExDivPct),ExDivTree!DB13+DivAmount*EXP(IntRate*(DB$2-ExDivPct)),ExDivTree!DB13))</f>
        <v>1129.5102432126</v>
      </c>
    </row>
    <row r="14" spans="1:106" x14ac:dyDescent="0.2">
      <c r="A14">
        <f>ExDivTree!A14</f>
        <v>19212541264840</v>
      </c>
      <c r="B14" s="71">
        <f>ExDivTree!B14</f>
        <v>7.5780113468888628E-18</v>
      </c>
      <c r="C14" s="71">
        <f>ExDivTree!C14</f>
        <v>9.3894366592070468E-18</v>
      </c>
      <c r="D14" s="177">
        <f>ExDivTree!D14</f>
        <v>10</v>
      </c>
      <c r="O14" s="17">
        <f>IF(O$3="","",IF(AND(DivAs=2,O$2&lt;ExDivPct),ExDivTree!O14+DivAmount*EXP(IntRate*(O$2-ExDivPct)),ExDivTree!O14))</f>
        <v>70.525154373600003</v>
      </c>
      <c r="P14" s="17">
        <f>IF(P$3="","",IF(AND(DivAs=2,P$2&lt;ExDivPct),ExDivTree!P14+DivAmount*EXP(IntRate*(P$2-ExDivPct)),ExDivTree!P14))</f>
        <v>72.660131361799998</v>
      </c>
      <c r="Q14" s="17">
        <f>IF(Q$3="","",IF(AND(DivAs=2,Q$2&lt;ExDivPct),ExDivTree!Q14+DivAmount*EXP(IntRate*(Q$2-ExDivPct)),ExDivTree!Q14))</f>
        <v>74.859739569599995</v>
      </c>
      <c r="R14" s="17">
        <f>IF(R$3="","",IF(AND(DivAs=2,R$2&lt;ExDivPct),ExDivTree!R14+DivAmount*EXP(IntRate*(R$2-ExDivPct)),ExDivTree!R14))</f>
        <v>77.125935549499999</v>
      </c>
      <c r="S14" s="17">
        <f>IF(S$3="","",IF(AND(DivAs=2,S$2&lt;ExDivPct),ExDivTree!S14+DivAmount*EXP(IntRate*(S$2-ExDivPct)),ExDivTree!S14))</f>
        <v>79.460735083900005</v>
      </c>
      <c r="T14" s="17">
        <f>IF(T$3="","",IF(AND(DivAs=2,T$2&lt;ExDivPct),ExDivTree!T14+DivAmount*EXP(IntRate*(T$2-ExDivPct)),ExDivTree!T14))</f>
        <v>81.866214978000002</v>
      </c>
      <c r="U14" s="17">
        <f>IF(U$3="","",IF(AND(DivAs=2,U$2&lt;ExDivPct),ExDivTree!U14+DivAmount*EXP(IntRate*(U$2-ExDivPct)),ExDivTree!U14))</f>
        <v>84.344514907199994</v>
      </c>
      <c r="V14" s="17">
        <f>IF(V$3="","",IF(AND(DivAs=2,V$2&lt;ExDivPct),ExDivTree!V14+DivAmount*EXP(IntRate*(V$2-ExDivPct)),ExDivTree!V14))</f>
        <v>86.897839320399996</v>
      </c>
      <c r="W14" s="17">
        <f>IF(W$3="","",IF(AND(DivAs=2,W$2&lt;ExDivPct),ExDivTree!W14+DivAmount*EXP(IntRate*(W$2-ExDivPct)),ExDivTree!W14))</f>
        <v>89.528459400900005</v>
      </c>
      <c r="X14" s="17">
        <f>IF(X$3="","",IF(AND(DivAs=2,X$2&lt;ExDivPct),ExDivTree!X14+DivAmount*EXP(IntRate*(X$2-ExDivPct)),ExDivTree!X14))</f>
        <v>92.238715086400006</v>
      </c>
      <c r="Y14" s="17">
        <f>IF(Y$3="","",IF(AND(DivAs=2,Y$2&lt;ExDivPct),ExDivTree!Y14+DivAmount*EXP(IntRate*(Y$2-ExDivPct)),ExDivTree!Y14))</f>
        <v>95.031017150599993</v>
      </c>
      <c r="Z14" s="17">
        <f>IF(Z$3="","",IF(AND(DivAs=2,Z$2&lt;ExDivPct),ExDivTree!Z14+DivAmount*EXP(IntRate*(Z$2-ExDivPct)),ExDivTree!Z14))</f>
        <v>97.907849347400003</v>
      </c>
      <c r="AA14" s="17">
        <f>IF(AA$3="","",IF(AND(DivAs=2,AA$2&lt;ExDivPct),ExDivTree!AA14+DivAmount*EXP(IntRate*(AA$2-ExDivPct)),ExDivTree!AA14))</f>
        <v>100.8717706203</v>
      </c>
      <c r="AB14" s="17">
        <f>IF(AB$3="","",IF(AND(DivAs=2,AB$2&lt;ExDivPct),ExDivTree!AB14+DivAmount*EXP(IntRate*(AB$2-ExDivPct)),ExDivTree!AB14))</f>
        <v>103.9254173786</v>
      </c>
      <c r="AC14" s="17">
        <f>IF(AC$3="","",IF(AND(DivAs=2,AC$2&lt;ExDivPct),ExDivTree!AC14+DivAmount*EXP(IntRate*(AC$2-ExDivPct)),ExDivTree!AC14))</f>
        <v>107.0715058426</v>
      </c>
      <c r="AD14" s="17">
        <f>IF(AD$3="","",IF(AND(DivAs=2,AD$2&lt;ExDivPct),ExDivTree!AD14+DivAmount*EXP(IntRate*(AD$2-ExDivPct)),ExDivTree!AD14))</f>
        <v>110.31283445930001</v>
      </c>
      <c r="AE14" s="17">
        <f>IF(AE$3="","",IF(AND(DivAs=2,AE$2&lt;ExDivPct),ExDivTree!AE14+DivAmount*EXP(IntRate*(AE$2-ExDivPct)),ExDivTree!AE14))</f>
        <v>113.65228639199999</v>
      </c>
      <c r="AF14" s="17">
        <f>IF(AF$3="","",IF(AND(DivAs=2,AF$2&lt;ExDivPct),ExDivTree!AF14+DivAmount*EXP(IntRate*(AF$2-ExDivPct)),ExDivTree!AF14))</f>
        <v>117.09283208470001</v>
      </c>
      <c r="AG14" s="17">
        <f>IF(AG$3="","",IF(AND(DivAs=2,AG$2&lt;ExDivPct),ExDivTree!AG14+DivAmount*EXP(IntRate*(AG$2-ExDivPct)),ExDivTree!AG14))</f>
        <v>120.6375319043</v>
      </c>
      <c r="AH14" s="17">
        <f>IF(AH$3="","",IF(AND(DivAs=2,AH$2&lt;ExDivPct),ExDivTree!AH14+DivAmount*EXP(IntRate*(AH$2-ExDivPct)),ExDivTree!AH14))</f>
        <v>124.2895388629</v>
      </c>
      <c r="AI14" s="17">
        <f>IF(AI$3="","",IF(AND(DivAs=2,AI$2&lt;ExDivPct),ExDivTree!AI14+DivAmount*EXP(IntRate*(AI$2-ExDivPct)),ExDivTree!AI14))</f>
        <v>128.0521014224</v>
      </c>
      <c r="AJ14" s="17">
        <f>IF(AJ$3="","",IF(AND(DivAs=2,AJ$2&lt;ExDivPct),ExDivTree!AJ14+DivAmount*EXP(IntRate*(AJ$2-ExDivPct)),ExDivTree!AJ14))</f>
        <v>131.92856638379999</v>
      </c>
      <c r="AK14" s="17">
        <f>IF(AK$3="","",IF(AND(DivAs=2,AK$2&lt;ExDivPct),ExDivTree!AK14+DivAmount*EXP(IntRate*(AK$2-ExDivPct)),ExDivTree!AK14))</f>
        <v>135.92238186450001</v>
      </c>
      <c r="AL14" s="17">
        <f>IF(AL$3="","",IF(AND(DivAs=2,AL$2&lt;ExDivPct),ExDivTree!AL14+DivAmount*EXP(IntRate*(AL$2-ExDivPct)),ExDivTree!AL14))</f>
        <v>140.03710036519999</v>
      </c>
      <c r="AM14" s="17">
        <f>IF(AM$3="","",IF(AND(DivAs=2,AM$2&lt;ExDivPct),ExDivTree!AM14+DivAmount*EXP(IntRate*(AM$2-ExDivPct)),ExDivTree!AM14))</f>
        <v>144.27638192980001</v>
      </c>
      <c r="AN14" s="17">
        <f>IF(AN$3="","",IF(AND(DivAs=2,AN$2&lt;ExDivPct),ExDivTree!AN14+DivAmount*EXP(IntRate*(AN$2-ExDivPct)),ExDivTree!AN14))</f>
        <v>148.64399740120001</v>
      </c>
      <c r="AO14" s="17">
        <f>IF(AO$3="","",IF(AND(DivAs=2,AO$2&lt;ExDivPct),ExDivTree!AO14+DivAmount*EXP(IntRate*(AO$2-ExDivPct)),ExDivTree!AO14))</f>
        <v>153.14383177529999</v>
      </c>
      <c r="AP14" s="17">
        <f>IF(AP$3="","",IF(AND(DivAs=2,AP$2&lt;ExDivPct),ExDivTree!AP14+DivAmount*EXP(IntRate*(AP$2-ExDivPct)),ExDivTree!AP14))</f>
        <v>157.77988765680001</v>
      </c>
      <c r="AQ14" s="17">
        <f>IF(AQ$3="","",IF(AND(DivAs=2,AQ$2&lt;ExDivPct),ExDivTree!AQ14+DivAmount*EXP(IntRate*(AQ$2-ExDivPct)),ExDivTree!AQ14))</f>
        <v>162.5562888195</v>
      </c>
      <c r="AR14" s="17">
        <f>IF(AR$3="","",IF(AND(DivAs=2,AR$2&lt;ExDivPct),ExDivTree!AR14+DivAmount*EXP(IntRate*(AR$2-ExDivPct)),ExDivTree!AR14))</f>
        <v>167.4772838744</v>
      </c>
      <c r="AS14" s="17">
        <f>IF(AS$3="","",IF(AND(DivAs=2,AS$2&lt;ExDivPct),ExDivTree!AS14+DivAmount*EXP(IntRate*(AS$2-ExDivPct)),ExDivTree!AS14))</f>
        <v>172.54725004880001</v>
      </c>
      <c r="AT14" s="17">
        <f>IF(AT$3="","",IF(AND(DivAs=2,AT$2&lt;ExDivPct),ExDivTree!AT14+DivAmount*EXP(IntRate*(AT$2-ExDivPct)),ExDivTree!AT14))</f>
        <v>177.7706970799</v>
      </c>
      <c r="AU14" s="17">
        <f>IF(AU$3="","",IF(AND(DivAs=2,AU$2&lt;ExDivPct),ExDivTree!AU14+DivAmount*EXP(IntRate*(AU$2-ExDivPct)),ExDivTree!AU14))</f>
        <v>183.1522712263</v>
      </c>
      <c r="AV14" s="17">
        <f>IF(AV$3="","",IF(AND(DivAs=2,AV$2&lt;ExDivPct),ExDivTree!AV14+DivAmount*EXP(IntRate*(AV$2-ExDivPct)),ExDivTree!AV14))</f>
        <v>188.69675940050001</v>
      </c>
      <c r="AW14" s="17">
        <f>IF(AW$3="","",IF(AND(DivAs=2,AW$2&lt;ExDivPct),ExDivTree!AW14+DivAmount*EXP(IntRate*(AW$2-ExDivPct)),ExDivTree!AW14))</f>
        <v>194.40909342730001</v>
      </c>
      <c r="AX14" s="17">
        <f>IF(AX$3="","",IF(AND(DivAs=2,AX$2&lt;ExDivPct),ExDivTree!AX14+DivAmount*EXP(IntRate*(AX$2-ExDivPct)),ExDivTree!AX14))</f>
        <v>200.29435443029999</v>
      </c>
      <c r="AY14" s="17">
        <f>IF(AY$3="","",IF(AND(DivAs=2,AY$2&lt;ExDivPct),ExDivTree!AY14+DivAmount*EXP(IntRate*(AY$2-ExDivPct)),ExDivTree!AY14))</f>
        <v>206.35777735190001</v>
      </c>
      <c r="AZ14" s="17">
        <f>IF(AZ$3="","",IF(AND(DivAs=2,AZ$2&lt;ExDivPct),ExDivTree!AZ14+DivAmount*EXP(IntRate*(AZ$2-ExDivPct)),ExDivTree!AZ14))</f>
        <v>212.60475560949999</v>
      </c>
      <c r="BA14" s="17">
        <f>IF(BA$3="","",IF(AND(DivAs=2,BA$2&lt;ExDivPct),ExDivTree!BA14+DivAmount*EXP(IntRate*(BA$2-ExDivPct)),ExDivTree!BA14))</f>
        <v>219.0408458931</v>
      </c>
      <c r="BB14" s="17">
        <f>IF(BB$3="","",IF(AND(DivAs=2,BB$2&lt;ExDivPct),ExDivTree!BB14+DivAmount*EXP(IntRate*(BB$2-ExDivPct)),ExDivTree!BB14))</f>
        <v>225.67177310790001</v>
      </c>
      <c r="BC14" s="17">
        <f>IF(BC$3="","",IF(AND(DivAs=2,BC$2&lt;ExDivPct),ExDivTree!BC14+DivAmount*EXP(IntRate*(BC$2-ExDivPct)),ExDivTree!BC14))</f>
        <v>232.5034354666</v>
      </c>
      <c r="BD14" s="17">
        <f>IF(BD$3="","",IF(AND(DivAs=2,BD$2&lt;ExDivPct),ExDivTree!BD14+DivAmount*EXP(IntRate*(BD$2-ExDivPct)),ExDivTree!BD14))</f>
        <v>239.54190973600001</v>
      </c>
      <c r="BE14" s="17">
        <f>IF(BE$3="","",IF(AND(DivAs=2,BE$2&lt;ExDivPct),ExDivTree!BE14+DivAmount*EXP(IntRate*(BE$2-ExDivPct)),ExDivTree!BE14))</f>
        <v>246.79345664210001</v>
      </c>
      <c r="BF14" s="17">
        <f>IF(BF$3="","",IF(AND(DivAs=2,BF$2&lt;ExDivPct),ExDivTree!BF14+DivAmount*EXP(IntRate*(BF$2-ExDivPct)),ExDivTree!BF14))</f>
        <v>254.26452643920001</v>
      </c>
      <c r="BG14" s="17">
        <f>IF(BG$3="","",IF(AND(DivAs=2,BG$2&lt;ExDivPct),ExDivTree!BG14+DivAmount*EXP(IntRate*(BG$2-ExDivPct)),ExDivTree!BG14))</f>
        <v>261.96176464720003</v>
      </c>
      <c r="BH14" s="17">
        <f>IF(BH$3="","",IF(AND(DivAs=2,BH$2&lt;ExDivPct),ExDivTree!BH14+DivAmount*EXP(IntRate*(BH$2-ExDivPct)),ExDivTree!BH14))</f>
        <v>269.89201796290001</v>
      </c>
      <c r="BI14" s="17">
        <f>IF(BI$3="","",IF(AND(DivAs=2,BI$2&lt;ExDivPct),ExDivTree!BI14+DivAmount*EXP(IntRate*(BI$2-ExDivPct)),ExDivTree!BI14))</f>
        <v>278.06234035030002</v>
      </c>
      <c r="BJ14" s="17">
        <f>IF(BJ$3="","",IF(AND(DivAs=2,BJ$2&lt;ExDivPct),ExDivTree!BJ14+DivAmount*EXP(IntRate*(BJ$2-ExDivPct)),ExDivTree!BJ14))</f>
        <v>286.47999931480001</v>
      </c>
      <c r="BK14" s="17">
        <f>IF(BK$3="","",IF(AND(DivAs=2,BK$2&lt;ExDivPct),ExDivTree!BK14+DivAmount*EXP(IntRate*(BK$2-ExDivPct)),ExDivTree!BK14))</f>
        <v>295.15248236790001</v>
      </c>
      <c r="BL14" s="17">
        <f>IF(BL$3="","",IF(AND(DivAs=2,BL$2&lt;ExDivPct),ExDivTree!BL14+DivAmount*EXP(IntRate*(BL$2-ExDivPct)),ExDivTree!BL14))</f>
        <v>304.08750368710002</v>
      </c>
      <c r="BM14" s="17">
        <f>IF(BM$3="","",IF(AND(DivAs=2,BM$2&lt;ExDivPct),ExDivTree!BM14+DivAmount*EXP(IntRate*(BM$2-ExDivPct)),ExDivTree!BM14))</f>
        <v>313.29301097799998</v>
      </c>
      <c r="BN14" s="17">
        <f>IF(BN$3="","",IF(AND(DivAs=2,BN$2&lt;ExDivPct),ExDivTree!BN14+DivAmount*EXP(IntRate*(BN$2-ExDivPct)),ExDivTree!BN14))</f>
        <v>322.77719254340002</v>
      </c>
      <c r="BO14" s="17">
        <f>IF(BO$3="","",IF(AND(DivAs=2,BO$2&lt;ExDivPct),ExDivTree!BO14+DivAmount*EXP(IntRate*(BO$2-ExDivPct)),ExDivTree!BO14))</f>
        <v>332.54848456709999</v>
      </c>
      <c r="BP14" s="17">
        <f>IF(BP$3="","",IF(AND(DivAs=2,BP$2&lt;ExDivPct),ExDivTree!BP14+DivAmount*EXP(IntRate*(BP$2-ExDivPct)),ExDivTree!BP14))</f>
        <v>342.6155786178</v>
      </c>
      <c r="BQ14" s="17">
        <f>IF(BQ$3="","",IF(AND(DivAs=2,BQ$2&lt;ExDivPct),ExDivTree!BQ14+DivAmount*EXP(IntRate*(BQ$2-ExDivPct)),ExDivTree!BQ14))</f>
        <v>352.98742938010002</v>
      </c>
      <c r="BR14" s="17">
        <f>IF(BR$3="","",IF(AND(DivAs=2,BR$2&lt;ExDivPct),ExDivTree!BR14+DivAmount*EXP(IntRate*(BR$2-ExDivPct)),ExDivTree!BR14))</f>
        <v>363.67326262</v>
      </c>
      <c r="BS14" s="17">
        <f>IF(BS$3="","",IF(AND(DivAs=2,BS$2&lt;ExDivPct),ExDivTree!BS14+DivAmount*EXP(IntRate*(BS$2-ExDivPct)),ExDivTree!BS14))</f>
        <v>374.68258339099998</v>
      </c>
      <c r="BT14" s="17">
        <f>IF(BT$3="","",IF(AND(DivAs=2,BT$2&lt;ExDivPct),ExDivTree!BT14+DivAmount*EXP(IntRate*(BT$2-ExDivPct)),ExDivTree!BT14))</f>
        <v>386.02518448889998</v>
      </c>
      <c r="BU14" s="17">
        <f>IF(BU$3="","",IF(AND(DivAs=2,BU$2&lt;ExDivPct),ExDivTree!BU14+DivAmount*EXP(IntRate*(BU$2-ExDivPct)),ExDivTree!BU14))</f>
        <v>397.71115516240002</v>
      </c>
      <c r="BV14" s="17">
        <f>IF(BV$3="","",IF(AND(DivAs=2,BV$2&lt;ExDivPct),ExDivTree!BV14+DivAmount*EXP(IntRate*(BV$2-ExDivPct)),ExDivTree!BV14))</f>
        <v>409.75089008779997</v>
      </c>
      <c r="BW14" s="17">
        <f>IF(BW$3="","",IF(AND(DivAs=2,BW$2&lt;ExDivPct),ExDivTree!BW14+DivAmount*EXP(IntRate*(BW$2-ExDivPct)),ExDivTree!BW14))</f>
        <v>422.15509861459998</v>
      </c>
      <c r="BX14" s="17">
        <f>IF(BX$3="","",IF(AND(DivAs=2,BX$2&lt;ExDivPct),ExDivTree!BX14+DivAmount*EXP(IntRate*(BX$2-ExDivPct)),ExDivTree!BX14))</f>
        <v>434.934814292</v>
      </c>
      <c r="BY14" s="17">
        <f>IF(BY$3="","",IF(AND(DivAs=2,BY$2&lt;ExDivPct),ExDivTree!BY14+DivAmount*EXP(IntRate*(BY$2-ExDivPct)),ExDivTree!BY14))</f>
        <v>448.10140468280002</v>
      </c>
      <c r="BZ14" s="17">
        <f>IF(BZ$3="","",IF(AND(DivAs=2,BZ$2&lt;ExDivPct),ExDivTree!BZ14+DivAmount*EXP(IntRate*(BZ$2-ExDivPct)),ExDivTree!BZ14))</f>
        <v>461.66658147509997</v>
      </c>
      <c r="CA14" s="17">
        <f>IF(CA$3="","",IF(AND(DivAs=2,CA$2&lt;ExDivPct),ExDivTree!CA14+DivAmount*EXP(IntRate*(CA$2-ExDivPct)),ExDivTree!CA14))</f>
        <v>475.64241089979998</v>
      </c>
      <c r="CB14" s="17">
        <f>IF(CB$3="","",IF(AND(DivAs=2,CB$2&lt;ExDivPct),ExDivTree!CB14+DivAmount*EXP(IntRate*(CB$2-ExDivPct)),ExDivTree!CB14))</f>
        <v>490.04132446350002</v>
      </c>
      <c r="CC14" s="17">
        <f>IF(CC$3="","",IF(AND(DivAs=2,CC$2&lt;ExDivPct),ExDivTree!CC14+DivAmount*EXP(IntRate*(CC$2-ExDivPct)),ExDivTree!CC14))</f>
        <v>504.87613000620001</v>
      </c>
      <c r="CD14" s="17">
        <f>IF(CD$3="","",IF(AND(DivAs=2,CD$2&lt;ExDivPct),ExDivTree!CD14+DivAmount*EXP(IntRate*(CD$2-ExDivPct)),ExDivTree!CD14))</f>
        <v>520.16002309420003</v>
      </c>
      <c r="CE14" s="17">
        <f>IF(CE$3="","",IF(AND(DivAs=2,CE$2&lt;ExDivPct),ExDivTree!CE14+DivAmount*EXP(IntRate*(CE$2-ExDivPct)),ExDivTree!CE14))</f>
        <v>535.9065987573</v>
      </c>
      <c r="CF14" s="17">
        <f>IF(CF$3="","",IF(AND(DivAs=2,CF$2&lt;ExDivPct),ExDivTree!CF14+DivAmount*EXP(IntRate*(CF$2-ExDivPct)),ExDivTree!CF14))</f>
        <v>552.12986358160003</v>
      </c>
      <c r="CG14" s="17">
        <f>IF(CG$3="","",IF(AND(DivAs=2,CG$2&lt;ExDivPct),ExDivTree!CG14+DivAmount*EXP(IntRate*(CG$2-ExDivPct)),ExDivTree!CG14))</f>
        <v>568.84424816850003</v>
      </c>
      <c r="CH14" s="17">
        <f>IF(CH$3="","",IF(AND(DivAs=2,CH$2&lt;ExDivPct),ExDivTree!CH14+DivAmount*EXP(IntRate*(CH$2-ExDivPct)),ExDivTree!CH14))</f>
        <v>586.06461997070005</v>
      </c>
      <c r="CI14" s="17">
        <f>IF(CI$3="","",IF(AND(DivAs=2,CI$2&lt;ExDivPct),ExDivTree!CI14+DivAmount*EXP(IntRate*(CI$2-ExDivPct)),ExDivTree!CI14))</f>
        <v>603.80629651660001</v>
      </c>
      <c r="CJ14" s="17">
        <f>IF(CJ$3="","",IF(AND(DivAs=2,CJ$2&lt;ExDivPct),ExDivTree!CJ14+DivAmount*EXP(IntRate*(CJ$2-ExDivPct)),ExDivTree!CJ14))</f>
        <v>622.08505903549997</v>
      </c>
      <c r="CK14" s="17">
        <f>IF(CK$3="","",IF(AND(DivAs=2,CK$2&lt;ExDivPct),ExDivTree!CK14+DivAmount*EXP(IntRate*(CK$2-ExDivPct)),ExDivTree!CK14))</f>
        <v>640.91716649490002</v>
      </c>
      <c r="CL14" s="17">
        <f>IF(CL$3="","",IF(AND(DivAs=2,CL$2&lt;ExDivPct),ExDivTree!CL14+DivAmount*EXP(IntRate*(CL$2-ExDivPct)),ExDivTree!CL14))</f>
        <v>660.31937006290002</v>
      </c>
      <c r="CM14" s="17">
        <f>IF(CM$3="","",IF(AND(DivAs=2,CM$2&lt;ExDivPct),ExDivTree!CM14+DivAmount*EXP(IntRate*(CM$2-ExDivPct)),ExDivTree!CM14))</f>
        <v>680.30892800829997</v>
      </c>
      <c r="CN14" s="17">
        <f>IF(CN$3="","",IF(AND(DivAs=2,CN$2&lt;ExDivPct),ExDivTree!CN14+DivAmount*EXP(IntRate*(CN$2-ExDivPct)),ExDivTree!CN14))</f>
        <v>700.90362105190002</v>
      </c>
      <c r="CO14" s="17">
        <f>IF(CO$3="","",IF(AND(DivAs=2,CO$2&lt;ExDivPct),ExDivTree!CO14+DivAmount*EXP(IntRate*(CO$2-ExDivPct)),ExDivTree!CO14))</f>
        <v>722.12176818240005</v>
      </c>
      <c r="CP14" s="17">
        <f>IF(CP$3="","",IF(AND(DivAs=2,CP$2&lt;ExDivPct),ExDivTree!CP14+DivAmount*EXP(IntRate*(CP$2-ExDivPct)),ExDivTree!CP14))</f>
        <v>743.98224295130001</v>
      </c>
      <c r="CQ14" s="17">
        <f>IF(CQ$3="","",IF(AND(DivAs=2,CQ$2&lt;ExDivPct),ExDivTree!CQ14+DivAmount*EXP(IntRate*(CQ$2-ExDivPct)),ExDivTree!CQ14))</f>
        <v>766.50449026080003</v>
      </c>
      <c r="CR14" s="17">
        <f>IF(CR$3="","",IF(AND(DivAs=2,CR$2&lt;ExDivPct),ExDivTree!CR14+DivAmount*EXP(IntRate*(CR$2-ExDivPct)),ExDivTree!CR14))</f>
        <v>789.70854366000003</v>
      </c>
      <c r="CS14" s="17">
        <f>IF(CS$3="","",IF(AND(DivAs=2,CS$2&lt;ExDivPct),ExDivTree!CS14+DivAmount*EXP(IntRate*(CS$2-ExDivPct)),ExDivTree!CS14))</f>
        <v>813.6150431648</v>
      </c>
      <c r="CT14" s="17">
        <f>IF(CT$3="","",IF(AND(DivAs=2,CT$2&lt;ExDivPct),ExDivTree!CT14+DivAmount*EXP(IntRate*(CT$2-ExDivPct)),ExDivTree!CT14))</f>
        <v>838.24525361739995</v>
      </c>
      <c r="CU14" s="17">
        <f>IF(CU$3="","",IF(AND(DivAs=2,CU$2&lt;ExDivPct),ExDivTree!CU14+DivAmount*EXP(IntRate*(CU$2-ExDivPct)),ExDivTree!CU14))</f>
        <v>863.62108360100001</v>
      </c>
      <c r="CV14" s="17">
        <f>IF(CV$3="","",IF(AND(DivAs=2,CV$2&lt;ExDivPct),ExDivTree!CV14+DivAmount*EXP(IntRate*(CV$2-ExDivPct)),ExDivTree!CV14))</f>
        <v>889.76510492789998</v>
      </c>
      <c r="CW14" s="17">
        <f>IF(CW$3="","",IF(AND(DivAs=2,CW$2&lt;ExDivPct),ExDivTree!CW14+DivAmount*EXP(IntRate*(CW$2-ExDivPct)),ExDivTree!CW14))</f>
        <v>916.70057271680002</v>
      </c>
      <c r="CX14" s="17">
        <f>IF(CX$3="","",IF(AND(DivAs=2,CX$2&lt;ExDivPct),ExDivTree!CX14+DivAmount*EXP(IntRate*(CX$2-ExDivPct)),ExDivTree!CX14))</f>
        <v>944.4514460785</v>
      </c>
      <c r="CY14" s="17">
        <f>IF(CY$3="","",IF(AND(DivAs=2,CY$2&lt;ExDivPct),ExDivTree!CY14+DivAmount*EXP(IntRate*(CY$2-ExDivPct)),ExDivTree!CY14))</f>
        <v>973.04240942729996</v>
      </c>
      <c r="CZ14" s="17">
        <f>IF(CZ$3="","",IF(AND(DivAs=2,CZ$2&lt;ExDivPct),ExDivTree!CZ14+DivAmount*EXP(IntRate*(CZ$2-ExDivPct)),ExDivTree!CZ14))</f>
        <v>1002.498894438</v>
      </c>
      <c r="DA14" s="17">
        <f>IF(DA$3="","",IF(AND(DivAs=2,DA$2&lt;ExDivPct),ExDivTree!DA14+DivAmount*EXP(IntRate*(DA$2-ExDivPct)),ExDivTree!DA14))</f>
        <v>1032.8471026673001</v>
      </c>
      <c r="DB14" s="17">
        <f>IF(DB$3="","",IF(AND(DivAs=2,DB$2&lt;ExDivPct),ExDivTree!DB14+DivAmount*EXP(IntRate*(DB$2-ExDivPct)),ExDivTree!DB14))</f>
        <v>1064.1140288602001</v>
      </c>
    </row>
    <row r="15" spans="1:106" x14ac:dyDescent="0.2">
      <c r="A15">
        <f>ExDivTree!A15</f>
        <v>158940114100040.06</v>
      </c>
      <c r="B15" s="71">
        <f>ExDivTree!B15</f>
        <v>6.2690821142444253E-17</v>
      </c>
      <c r="C15" s="71">
        <f>ExDivTree!C15</f>
        <v>7.7265578758774959E-17</v>
      </c>
      <c r="D15" s="177">
        <f>ExDivTree!D15</f>
        <v>11</v>
      </c>
      <c r="P15" s="17">
        <f>IF(P$3="","",IF(AND(DivAs=2,P$2&lt;ExDivPct),ExDivTree!P15+DivAmount*EXP(IntRate*(P$2-ExDivPct)),ExDivTree!P15))</f>
        <v>68.453265993299993</v>
      </c>
      <c r="Q15" s="17">
        <f>IF(Q$3="","",IF(AND(DivAs=2,Q$2&lt;ExDivPct),ExDivTree!Q15+DivAmount*EXP(IntRate*(Q$2-ExDivPct)),ExDivTree!Q15))</f>
        <v>70.525521615599999</v>
      </c>
      <c r="R15" s="17">
        <f>IF(R$3="","",IF(AND(DivAs=2,R$2&lt;ExDivPct),ExDivTree!R15+DivAmount*EXP(IntRate*(R$2-ExDivPct)),ExDivTree!R15))</f>
        <v>72.6605097212</v>
      </c>
      <c r="S15" s="17">
        <f>IF(S$3="","",IF(AND(DivAs=2,S$2&lt;ExDivPct),ExDivTree!S15+DivAmount*EXP(IntRate*(S$2-ExDivPct)),ExDivTree!S15))</f>
        <v>74.860129382899999</v>
      </c>
      <c r="T15" s="17">
        <f>IF(T$3="","",IF(AND(DivAs=2,T$2&lt;ExDivPct),ExDivTree!T15+DivAmount*EXP(IntRate*(T$2-ExDivPct)),ExDivTree!T15))</f>
        <v>77.126337163499997</v>
      </c>
      <c r="U15" s="17">
        <f>IF(U$3="","",IF(AND(DivAs=2,U$2&lt;ExDivPct),ExDivTree!U15+DivAmount*EXP(IntRate*(U$2-ExDivPct)),ExDivTree!U15))</f>
        <v>79.461148855800005</v>
      </c>
      <c r="V15" s="17">
        <f>IF(V$3="","",IF(AND(DivAs=2,V$2&lt;ExDivPct),ExDivTree!V15+DivAmount*EXP(IntRate*(V$2-ExDivPct)),ExDivTree!V15))</f>
        <v>81.866641275800006</v>
      </c>
      <c r="W15" s="17">
        <f>IF(W$3="","",IF(AND(DivAs=2,W$2&lt;ExDivPct),ExDivTree!W15+DivAmount*EXP(IntRate*(W$2-ExDivPct)),ExDivTree!W15))</f>
        <v>84.344954110100005</v>
      </c>
      <c r="X15" s="17">
        <f>IF(X$3="","",IF(AND(DivAs=2,X$2&lt;ExDivPct),ExDivTree!X15+DivAmount*EXP(IntRate*(X$2-ExDivPct)),ExDivTree!X15))</f>
        <v>86.898291819099995</v>
      </c>
      <c r="Y15" s="17">
        <f>IF(Y$3="","",IF(AND(DivAs=2,Y$2&lt;ExDivPct),ExDivTree!Y15+DivAmount*EXP(IntRate*(Y$2-ExDivPct)),ExDivTree!Y15))</f>
        <v>89.528925597899999</v>
      </c>
      <c r="Z15" s="17">
        <f>IF(Z$3="","",IF(AND(DivAs=2,Z$2&lt;ExDivPct),ExDivTree!Z15+DivAmount*EXP(IntRate*(Z$2-ExDivPct)),ExDivTree!Z15))</f>
        <v>92.239195396400007</v>
      </c>
      <c r="AA15" s="17">
        <f>IF(AA$3="","",IF(AND(DivAs=2,AA$2&lt;ExDivPct),ExDivTree!AA15+DivAmount*EXP(IntRate*(AA$2-ExDivPct)),ExDivTree!AA15))</f>
        <v>95.031512000800006</v>
      </c>
      <c r="AB15" s="17">
        <f>IF(AB$3="","",IF(AND(DivAs=2,AB$2&lt;ExDivPct),ExDivTree!AB15+DivAmount*EXP(IntRate*(AB$2-ExDivPct)),ExDivTree!AB15))</f>
        <v>97.908359177899996</v>
      </c>
      <c r="AC15" s="17">
        <f>IF(AC$3="","",IF(AND(DivAs=2,AC$2&lt;ExDivPct),ExDivTree!AC15+DivAmount*EXP(IntRate*(AC$2-ExDivPct)),ExDivTree!AC15))</f>
        <v>100.87229588469999</v>
      </c>
      <c r="AD15" s="17">
        <f>IF(AD$3="","",IF(AND(DivAs=2,AD$2&lt;ExDivPct),ExDivTree!AD15+DivAmount*EXP(IntRate*(AD$2-ExDivPct)),ExDivTree!AD15))</f>
        <v>103.9259585441</v>
      </c>
      <c r="AE15" s="17">
        <f>IF(AE$3="","",IF(AND(DivAs=2,AE$2&lt;ExDivPct),ExDivTree!AE15+DivAmount*EXP(IntRate*(AE$2-ExDivPct)),ExDivTree!AE15))</f>
        <v>107.07206339050001</v>
      </c>
      <c r="AF15" s="17">
        <f>IF(AF$3="","",IF(AND(DivAs=2,AF$2&lt;ExDivPct),ExDivTree!AF15+DivAmount*EXP(IntRate*(AF$2-ExDivPct)),ExDivTree!AF15))</f>
        <v>110.3134088856</v>
      </c>
      <c r="AG15" s="17">
        <f>IF(AG$3="","",IF(AND(DivAs=2,AG$2&lt;ExDivPct),ExDivTree!AG15+DivAmount*EXP(IntRate*(AG$2-ExDivPct)),ExDivTree!AG15))</f>
        <v>113.6528782076</v>
      </c>
      <c r="AH15" s="17">
        <f>IF(AH$3="","",IF(AND(DivAs=2,AH$2&lt;ExDivPct),ExDivTree!AH15+DivAmount*EXP(IntRate*(AH$2-ExDivPct)),ExDivTree!AH15))</f>
        <v>117.093441816</v>
      </c>
      <c r="AI15" s="17">
        <f>IF(AI$3="","",IF(AND(DivAs=2,AI$2&lt;ExDivPct),ExDivTree!AI15+DivAmount*EXP(IntRate*(AI$2-ExDivPct)),ExDivTree!AI15))</f>
        <v>120.63816009369999</v>
      </c>
      <c r="AJ15" s="17">
        <f>IF(AJ$3="","",IF(AND(DivAs=2,AJ$2&lt;ExDivPct),ExDivTree!AJ15+DivAmount*EXP(IntRate*(AJ$2-ExDivPct)),ExDivTree!AJ15))</f>
        <v>124.2901860692</v>
      </c>
      <c r="AK15" s="17">
        <f>IF(AK$3="","",IF(AND(DivAs=2,AK$2&lt;ExDivPct),ExDivTree!AK15+DivAmount*EXP(IntRate*(AK$2-ExDivPct)),ExDivTree!AK15))</f>
        <v>128.0527682213</v>
      </c>
      <c r="AL15" s="17">
        <f>IF(AL$3="","",IF(AND(DivAs=2,AL$2&lt;ExDivPct),ExDivTree!AL15+DivAmount*EXP(IntRate*(AL$2-ExDivPct)),ExDivTree!AL15))</f>
        <v>131.92925336850001</v>
      </c>
      <c r="AM15" s="17">
        <f>IF(AM$3="","",IF(AND(DivAs=2,AM$2&lt;ExDivPct),ExDivTree!AM15+DivAmount*EXP(IntRate*(AM$2-ExDivPct)),ExDivTree!AM15))</f>
        <v>135.92308964599999</v>
      </c>
      <c r="AN15" s="17">
        <f>IF(AN$3="","",IF(AND(DivAs=2,AN$2&lt;ExDivPct),ExDivTree!AN15+DivAmount*EXP(IntRate*(AN$2-ExDivPct)),ExDivTree!AN15))</f>
        <v>140.03782957300001</v>
      </c>
      <c r="AO15" s="17">
        <f>IF(AO$3="","",IF(AND(DivAs=2,AO$2&lt;ExDivPct),ExDivTree!AO15+DivAmount*EXP(IntRate*(AO$2-ExDivPct)),ExDivTree!AO15))</f>
        <v>144.27713321260001</v>
      </c>
      <c r="AP15" s="17">
        <f>IF(AP$3="","",IF(AND(DivAs=2,AP$2&lt;ExDivPct),ExDivTree!AP15+DivAmount*EXP(IntRate*(AP$2-ExDivPct)),ExDivTree!AP15))</f>
        <v>148.6447714272</v>
      </c>
      <c r="AQ15" s="17">
        <f>IF(AQ$3="","",IF(AND(DivAs=2,AQ$2&lt;ExDivPct),ExDivTree!AQ15+DivAmount*EXP(IntRate*(AQ$2-ExDivPct)),ExDivTree!AQ15))</f>
        <v>153.14462923299999</v>
      </c>
      <c r="AR15" s="17">
        <f>IF(AR$3="","",IF(AND(DivAs=2,AR$2&lt;ExDivPct),ExDivTree!AR15+DivAmount*EXP(IntRate*(AR$2-ExDivPct)),ExDivTree!AR15))</f>
        <v>157.78070925559999</v>
      </c>
      <c r="AS15" s="17">
        <f>IF(AS$3="","",IF(AND(DivAs=2,AS$2&lt;ExDivPct),ExDivTree!AS15+DivAmount*EXP(IntRate*(AS$2-ExDivPct)),ExDivTree!AS15))</f>
        <v>162.55713529019999</v>
      </c>
      <c r="AT15" s="17">
        <f>IF(AT$3="","",IF(AND(DivAs=2,AT$2&lt;ExDivPct),ExDivTree!AT15+DivAmount*EXP(IntRate*(AT$2-ExDivPct)),ExDivTree!AT15))</f>
        <v>167.4781559699</v>
      </c>
      <c r="AU15" s="17">
        <f>IF(AU$3="","",IF(AND(DivAs=2,AU$2&lt;ExDivPct),ExDivTree!AU15+DivAmount*EXP(IntRate*(AU$2-ExDivPct)),ExDivTree!AU15))</f>
        <v>172.54814854489999</v>
      </c>
      <c r="AV15" s="17">
        <f>IF(AV$3="","",IF(AND(DivAs=2,AV$2&lt;ExDivPct),ExDivTree!AV15+DivAmount*EXP(IntRate*(AV$2-ExDivPct)),ExDivTree!AV15))</f>
        <v>177.77162277580001</v>
      </c>
      <c r="AW15" s="17">
        <f>IF(AW$3="","",IF(AND(DivAs=2,AW$2&lt;ExDivPct),ExDivTree!AW15+DivAmount*EXP(IntRate*(AW$2-ExDivPct)),ExDivTree!AW15))</f>
        <v>183.1532249453</v>
      </c>
      <c r="AX15" s="17">
        <f>IF(AX$3="","",IF(AND(DivAs=2,AX$2&lt;ExDivPct),ExDivTree!AX15+DivAmount*EXP(IntRate*(AX$2-ExDivPct)),ExDivTree!AX15))</f>
        <v>188.69774199099999</v>
      </c>
      <c r="AY15" s="17">
        <f>IF(AY$3="","",IF(AND(DivAs=2,AY$2&lt;ExDivPct),ExDivTree!AY15+DivAmount*EXP(IntRate*(AY$2-ExDivPct)),ExDivTree!AY15))</f>
        <v>194.41010576330001</v>
      </c>
      <c r="AZ15" s="17">
        <f>IF(AZ$3="","",IF(AND(DivAs=2,AZ$2&lt;ExDivPct),ExDivTree!AZ15+DivAmount*EXP(IntRate*(AZ$2-ExDivPct)),ExDivTree!AZ15))</f>
        <v>200.29539741229999</v>
      </c>
      <c r="BA15" s="17">
        <f>IF(BA$3="","",IF(AND(DivAs=2,BA$2&lt;ExDivPct),ExDivTree!BA15+DivAmount*EXP(IntRate*(BA$2-ExDivPct)),ExDivTree!BA15))</f>
        <v>206.35885190760001</v>
      </c>
      <c r="BB15" s="17">
        <f>IF(BB$3="","",IF(AND(DivAs=2,BB$2&lt;ExDivPct),ExDivTree!BB15+DivAmount*EXP(IntRate*(BB$2-ExDivPct)),ExDivTree!BB15))</f>
        <v>212.60586269469999</v>
      </c>
      <c r="BC15" s="17">
        <f>IF(BC$3="","",IF(AND(DivAs=2,BC$2&lt;ExDivPct),ExDivTree!BC15+DivAmount*EXP(IntRate*(BC$2-ExDivPct)),ExDivTree!BC15))</f>
        <v>219.04198649259999</v>
      </c>
      <c r="BD15" s="17">
        <f>IF(BD$3="","",IF(AND(DivAs=2,BD$2&lt;ExDivPct),ExDivTree!BD15+DivAmount*EXP(IntRate*(BD$2-ExDivPct)),ExDivTree!BD15))</f>
        <v>225.6729482362</v>
      </c>
      <c r="BE15" s="17">
        <f>IF(BE$3="","",IF(AND(DivAs=2,BE$2&lt;ExDivPct),ExDivTree!BE15+DivAmount*EXP(IntRate*(BE$2-ExDivPct)),ExDivTree!BE15))</f>
        <v>232.50464616900001</v>
      </c>
      <c r="BF15" s="17">
        <f>IF(BF$3="","",IF(AND(DivAs=2,BF$2&lt;ExDivPct),ExDivTree!BF15+DivAmount*EXP(IntRate*(BF$2-ExDivPct)),ExDivTree!BF15))</f>
        <v>239.54315708940001</v>
      </c>
      <c r="BG15" s="17">
        <f>IF(BG$3="","",IF(AND(DivAs=2,BG$2&lt;ExDivPct),ExDivTree!BG15+DivAmount*EXP(IntRate*(BG$2-ExDivPct)),ExDivTree!BG15))</f>
        <v>246.7947417561</v>
      </c>
      <c r="BH15" s="17">
        <f>IF(BH$3="","",IF(AND(DivAs=2,BH$2&lt;ExDivPct),ExDivTree!BH15+DivAmount*EXP(IntRate*(BH$2-ExDivPct)),ExDivTree!BH15))</f>
        <v>254.2658504568</v>
      </c>
      <c r="BI15" s="17">
        <f>IF(BI$3="","",IF(AND(DivAs=2,BI$2&lt;ExDivPct),ExDivTree!BI15+DivAmount*EXP(IntRate*(BI$2-ExDivPct)),ExDivTree!BI15))</f>
        <v>261.96312874620003</v>
      </c>
      <c r="BJ15" s="17">
        <f>IF(BJ$3="","",IF(AND(DivAs=2,BJ$2&lt;ExDivPct),ExDivTree!BJ15+DivAmount*EXP(IntRate*(BJ$2-ExDivPct)),ExDivTree!BJ15))</f>
        <v>269.8934233567</v>
      </c>
      <c r="BK15" s="17">
        <f>IF(BK$3="","",IF(AND(DivAs=2,BK$2&lt;ExDivPct),ExDivTree!BK15+DivAmount*EXP(IntRate*(BK$2-ExDivPct)),ExDivTree!BK15))</f>
        <v>278.063788289</v>
      </c>
      <c r="BL15" s="17">
        <f>IF(BL$3="","",IF(AND(DivAs=2,BL$2&lt;ExDivPct),ExDivTree!BL15+DivAmount*EXP(IntRate*(BL$2-ExDivPct)),ExDivTree!BL15))</f>
        <v>286.48149108630003</v>
      </c>
      <c r="BM15" s="17">
        <f>IF(BM$3="","",IF(AND(DivAs=2,BM$2&lt;ExDivPct),ExDivTree!BM15+DivAmount*EXP(IntRate*(BM$2-ExDivPct)),ExDivTree!BM15))</f>
        <v>295.15401929910001</v>
      </c>
      <c r="BN15" s="17">
        <f>IF(BN$3="","",IF(AND(DivAs=2,BN$2&lt;ExDivPct),ExDivTree!BN15+DivAmount*EXP(IntRate*(BN$2-ExDivPct)),ExDivTree!BN15))</f>
        <v>304.08908714519998</v>
      </c>
      <c r="BO15" s="17">
        <f>IF(BO$3="","",IF(AND(DivAs=2,BO$2&lt;ExDivPct),ExDivTree!BO15+DivAmount*EXP(IntRate*(BO$2-ExDivPct)),ExDivTree!BO15))</f>
        <v>313.29464237140002</v>
      </c>
      <c r="BP15" s="17">
        <f>IF(BP$3="","",IF(AND(DivAs=2,BP$2&lt;ExDivPct),ExDivTree!BP15+DivAmount*EXP(IntRate*(BP$2-ExDivPct)),ExDivTree!BP15))</f>
        <v>322.7788733232</v>
      </c>
      <c r="BQ15" s="17">
        <f>IF(BQ$3="","",IF(AND(DivAs=2,BQ$2&lt;ExDivPct),ExDivTree!BQ15+DivAmount*EXP(IntRate*(BQ$2-ExDivPct)),ExDivTree!BQ15))</f>
        <v>332.55021622840002</v>
      </c>
      <c r="BR15" s="17">
        <f>IF(BR$3="","",IF(AND(DivAs=2,BR$2&lt;ExDivPct),ExDivTree!BR15+DivAmount*EXP(IntRate*(BR$2-ExDivPct)),ExDivTree!BR15))</f>
        <v>342.6173627009</v>
      </c>
      <c r="BS15" s="17">
        <f>IF(BS$3="","",IF(AND(DivAs=2,BS$2&lt;ExDivPct),ExDivTree!BS15+DivAmount*EXP(IntRate*(BS$2-ExDivPct)),ExDivTree!BS15))</f>
        <v>352.98926747199999</v>
      </c>
      <c r="BT15" s="17">
        <f>IF(BT$3="","",IF(AND(DivAs=2,BT$2&lt;ExDivPct),ExDivTree!BT15+DivAmount*EXP(IntRate*(BT$2-ExDivPct)),ExDivTree!BT15))</f>
        <v>363.67515635569998</v>
      </c>
      <c r="BU15" s="17">
        <f>IF(BU$3="","",IF(AND(DivAs=2,BU$2&lt;ExDivPct),ExDivTree!BU15+DivAmount*EXP(IntRate*(BU$2-ExDivPct)),ExDivTree!BU15))</f>
        <v>374.68453445490002</v>
      </c>
      <c r="BV15" s="17">
        <f>IF(BV$3="","",IF(AND(DivAs=2,BV$2&lt;ExDivPct),ExDivTree!BV15+DivAmount*EXP(IntRate*(BV$2-ExDivPct)),ExDivTree!BV15))</f>
        <v>386.02719461650003</v>
      </c>
      <c r="BW15" s="17">
        <f>IF(BW$3="","",IF(AND(DivAs=2,BW$2&lt;ExDivPct),ExDivTree!BW15+DivAmount*EXP(IntRate*(BW$2-ExDivPct)),ExDivTree!BW15))</f>
        <v>397.71322614169998</v>
      </c>
      <c r="BX15" s="17">
        <f>IF(BX$3="","",IF(AND(DivAs=2,BX$2&lt;ExDivPct),ExDivTree!BX15+DivAmount*EXP(IntRate*(BX$2-ExDivPct)),ExDivTree!BX15))</f>
        <v>409.75302376090002</v>
      </c>
      <c r="BY15" s="17">
        <f>IF(BY$3="","",IF(AND(DivAs=2,BY$2&lt;ExDivPct),ExDivTree!BY15+DivAmount*EXP(IntRate*(BY$2-ExDivPct)),ExDivTree!BY15))</f>
        <v>422.1572968795</v>
      </c>
      <c r="BZ15" s="17">
        <f>IF(BZ$3="","",IF(AND(DivAs=2,BZ$2&lt;ExDivPct),ExDivTree!BZ15+DivAmount*EXP(IntRate*(BZ$2-ExDivPct)),ExDivTree!BZ15))</f>
        <v>434.93707910400002</v>
      </c>
      <c r="CA15" s="17">
        <f>IF(CA$3="","",IF(AND(DivAs=2,CA$2&lt;ExDivPct),ExDivTree!CA15+DivAmount*EXP(IntRate*(CA$2-ExDivPct)),ExDivTree!CA15))</f>
        <v>448.10373805649999</v>
      </c>
      <c r="CB15" s="17">
        <f>IF(CB$3="","",IF(AND(DivAs=2,CB$2&lt;ExDivPct),ExDivTree!CB15+DivAmount*EXP(IntRate*(CB$2-ExDivPct)),ExDivTree!CB15))</f>
        <v>461.668985486</v>
      </c>
      <c r="CC15" s="17">
        <f>IF(CC$3="","",IF(AND(DivAs=2,CC$2&lt;ExDivPct),ExDivTree!CC15+DivAmount*EXP(IntRate*(CC$2-ExDivPct)),ExDivTree!CC15))</f>
        <v>475.64488768630002</v>
      </c>
      <c r="CD15" s="17">
        <f>IF(CD$3="","",IF(AND(DivAs=2,CD$2&lt;ExDivPct),ExDivTree!CD15+DivAmount*EXP(IntRate*(CD$2-ExDivPct)),ExDivTree!CD15))</f>
        <v>490.04387622860003</v>
      </c>
      <c r="CE15" s="17">
        <f>IF(CE$3="","",IF(AND(DivAs=2,CE$2&lt;ExDivPct),ExDivTree!CE15+DivAmount*EXP(IntRate*(CE$2-ExDivPct)),ExDivTree!CE15))</f>
        <v>504.87875901979999</v>
      </c>
      <c r="CF15" s="17">
        <f>IF(CF$3="","",IF(AND(DivAs=2,CF$2&lt;ExDivPct),ExDivTree!CF15+DivAmount*EXP(IntRate*(CF$2-ExDivPct)),ExDivTree!CF15))</f>
        <v>520.16273169479996</v>
      </c>
      <c r="CG15" s="17">
        <f>IF(CG$3="","",IF(AND(DivAs=2,CG$2&lt;ExDivPct),ExDivTree!CG15+DivAmount*EXP(IntRate*(CG$2-ExDivPct)),ExDivTree!CG15))</f>
        <v>535.90938935420002</v>
      </c>
      <c r="CH15" s="17">
        <f>IF(CH$3="","",IF(AND(DivAs=2,CH$2&lt;ExDivPct),ExDivTree!CH15+DivAmount*EXP(IntRate*(CH$2-ExDivPct)),ExDivTree!CH15))</f>
        <v>552.132738657</v>
      </c>
      <c r="CI15" s="17">
        <f>IF(CI$3="","",IF(AND(DivAs=2,CI$2&lt;ExDivPct),ExDivTree!CI15+DivAmount*EXP(IntRate*(CI$2-ExDivPct)),ExDivTree!CI15))</f>
        <v>568.84721027980004</v>
      </c>
      <c r="CJ15" s="17">
        <f>IF(CJ$3="","",IF(AND(DivAs=2,CJ$2&lt;ExDivPct),ExDivTree!CJ15+DivAmount*EXP(IntRate*(CJ$2-ExDivPct)),ExDivTree!CJ15))</f>
        <v>586.06767175269999</v>
      </c>
      <c r="CK15" s="17">
        <f>IF(CK$3="","",IF(AND(DivAs=2,CK$2&lt;ExDivPct),ExDivTree!CK15+DivAmount*EXP(IntRate*(CK$2-ExDivPct)),ExDivTree!CK15))</f>
        <v>603.80944068379995</v>
      </c>
      <c r="CL15" s="17">
        <f>IF(CL$3="","",IF(AND(DivAs=2,CL$2&lt;ExDivPct),ExDivTree!CL15+DivAmount*EXP(IntRate*(CL$2-ExDivPct)),ExDivTree!CL15))</f>
        <v>622.08829838470001</v>
      </c>
      <c r="CM15" s="17">
        <f>IF(CM$3="","",IF(AND(DivAs=2,CM$2&lt;ExDivPct),ExDivTree!CM15+DivAmount*EXP(IntRate*(CM$2-ExDivPct)),ExDivTree!CM15))</f>
        <v>640.92050390750001</v>
      </c>
      <c r="CN15" s="17">
        <f>IF(CN$3="","",IF(AND(DivAs=2,CN$2&lt;ExDivPct),ExDivTree!CN15+DivAmount*EXP(IntRate*(CN$2-ExDivPct)),ExDivTree!CN15))</f>
        <v>660.32280850749999</v>
      </c>
      <c r="CO15" s="17">
        <f>IF(CO$3="","",IF(AND(DivAs=2,CO$2&lt;ExDivPct),ExDivTree!CO15+DivAmount*EXP(IntRate*(CO$2-ExDivPct)),ExDivTree!CO15))</f>
        <v>680.31247054339997</v>
      </c>
      <c r="CP15" s="17">
        <f>IF(CP$3="","",IF(AND(DivAs=2,CP$2&lt;ExDivPct),ExDivTree!CP15+DivAmount*EXP(IntRate*(CP$2-ExDivPct)),ExDivTree!CP15))</f>
        <v>700.90727082859996</v>
      </c>
      <c r="CQ15" s="17">
        <f>IF(CQ$3="","",IF(AND(DivAs=2,CQ$2&lt;ExDivPct),ExDivTree!CQ15+DivAmount*EXP(IntRate*(CQ$2-ExDivPct)),ExDivTree!CQ15))</f>
        <v>722.12552844720005</v>
      </c>
      <c r="CR15" s="17">
        <f>IF(CR$3="","",IF(AND(DivAs=2,CR$2&lt;ExDivPct),ExDivTree!CR15+DivAmount*EXP(IntRate*(CR$2-ExDivPct)),ExDivTree!CR15))</f>
        <v>743.98611704899997</v>
      </c>
      <c r="CS15" s="17">
        <f>IF(CS$3="","",IF(AND(DivAs=2,CS$2&lt;ExDivPct),ExDivTree!CS15+DivAmount*EXP(IntRate*(CS$2-ExDivPct)),ExDivTree!CS15))</f>
        <v>766.50848163729995</v>
      </c>
      <c r="CT15" s="17">
        <f>IF(CT$3="","",IF(AND(DivAs=2,CT$2&lt;ExDivPct),ExDivTree!CT15+DivAmount*EXP(IntRate*(CT$2-ExDivPct)),ExDivTree!CT15))</f>
        <v>789.71265586569996</v>
      </c>
      <c r="CU15" s="17">
        <f>IF(CU$3="","",IF(AND(DivAs=2,CU$2&lt;ExDivPct),ExDivTree!CU15+DivAmount*EXP(IntRate*(CU$2-ExDivPct)),ExDivTree!CU15))</f>
        <v>813.61927985750003</v>
      </c>
      <c r="CV15" s="17">
        <f>IF(CV$3="","",IF(AND(DivAs=2,CV$2&lt;ExDivPct),ExDivTree!CV15+DivAmount*EXP(IntRate*(CV$2-ExDivPct)),ExDivTree!CV15))</f>
        <v>838.24961856560003</v>
      </c>
      <c r="CW15" s="17">
        <f>IF(CW$3="","",IF(AND(DivAs=2,CW$2&lt;ExDivPct),ExDivTree!CW15+DivAmount*EXP(IntRate*(CW$2-ExDivPct)),ExDivTree!CW15))</f>
        <v>863.62558068739997</v>
      </c>
      <c r="CX15" s="17">
        <f>IF(CX$3="","",IF(AND(DivAs=2,CX$2&lt;ExDivPct),ExDivTree!CX15+DivAmount*EXP(IntRate*(CX$2-ExDivPct)),ExDivTree!CX15))</f>
        <v>889.76973815259998</v>
      </c>
      <c r="CY15" s="17">
        <f>IF(CY$3="","",IF(AND(DivAs=2,CY$2&lt;ExDivPct),ExDivTree!CY15+DivAmount*EXP(IntRate*(CY$2-ExDivPct)),ExDivTree!CY15))</f>
        <v>916.70534620110004</v>
      </c>
      <c r="CZ15" s="17">
        <f>IF(CZ$3="","",IF(AND(DivAs=2,CZ$2&lt;ExDivPct),ExDivTree!CZ15+DivAmount*EXP(IntRate*(CZ$2-ExDivPct)),ExDivTree!CZ15))</f>
        <v>944.45636406840003</v>
      </c>
      <c r="DA15" s="17">
        <f>IF(DA$3="","",IF(AND(DivAs=2,DA$2&lt;ExDivPct),ExDivTree!DA15+DivAmount*EXP(IntRate*(DA$2-ExDivPct)),ExDivTree!DA15))</f>
        <v>973.04747629730002</v>
      </c>
      <c r="DB15" s="17">
        <f>IF(DB$3="","",IF(AND(DivAs=2,DB$2&lt;ExDivPct),ExDivTree!DB15+DivAmount*EXP(IntRate*(DB$2-ExDivPct)),ExDivTree!DB15))</f>
        <v>1002.5041146951</v>
      </c>
    </row>
    <row r="16" spans="1:106" x14ac:dyDescent="0.2">
      <c r="A16">
        <f>ExDivTree!A16</f>
        <v>1192050855750300.2</v>
      </c>
      <c r="B16" s="71">
        <f>ExDivTree!B16</f>
        <v>4.7018115856833181E-16</v>
      </c>
      <c r="C16" s="71">
        <f>ExDivTree!C16</f>
        <v>5.7642809985338303E-16</v>
      </c>
      <c r="D16" s="177">
        <f>ExDivTree!D16</f>
        <v>12</v>
      </c>
      <c r="Q16" s="17">
        <f>IF(Q$3="","",IF(AND(DivAs=2,Q$2&lt;ExDivPct),ExDivTree!Q16+DivAmount*EXP(IntRate*(Q$2-ExDivPct)),ExDivTree!Q16))</f>
        <v>66.442245561500002</v>
      </c>
      <c r="R16" s="17">
        <f>IF(R$3="","",IF(AND(DivAs=2,R$2&lt;ExDivPct),ExDivTree!R16+DivAmount*EXP(IntRate*(R$2-ExDivPct)),ExDivTree!R16))</f>
        <v>68.453622446500006</v>
      </c>
      <c r="S16" s="17">
        <f>IF(S$3="","",IF(AND(DivAs=2,S$2&lt;ExDivPct),ExDivTree!S16+DivAmount*EXP(IntRate*(S$2-ExDivPct)),ExDivTree!S16))</f>
        <v>70.5258888595</v>
      </c>
      <c r="T16" s="17">
        <f>IF(T$3="","",IF(AND(DivAs=2,T$2&lt;ExDivPct),ExDivTree!T16+DivAmount*EXP(IntRate*(T$2-ExDivPct)),ExDivTree!T16))</f>
        <v>72.660888082499994</v>
      </c>
      <c r="U16" s="17">
        <f>IF(U$3="","",IF(AND(DivAs=2,U$2&lt;ExDivPct),ExDivTree!U16+DivAmount*EXP(IntRate*(U$2-ExDivPct)),ExDivTree!U16))</f>
        <v>74.860519198199995</v>
      </c>
      <c r="V16" s="17">
        <f>IF(V$3="","",IF(AND(DivAs=2,V$2&lt;ExDivPct),ExDivTree!V16+DivAmount*EXP(IntRate*(V$2-ExDivPct)),ExDivTree!V16))</f>
        <v>77.126738779500002</v>
      </c>
      <c r="W16" s="17">
        <f>IF(W$3="","",IF(AND(DivAs=2,W$2&lt;ExDivPct),ExDivTree!W16+DivAmount*EXP(IntRate*(W$2-ExDivPct)),ExDivTree!W16))</f>
        <v>79.461562629699998</v>
      </c>
      <c r="X16" s="17">
        <f>IF(X$3="","",IF(AND(DivAs=2,X$2&lt;ExDivPct),ExDivTree!X16+DivAmount*EXP(IntRate*(X$2-ExDivPct)),ExDivTree!X16))</f>
        <v>81.867067575700005</v>
      </c>
      <c r="Y16" s="17">
        <f>IF(Y$3="","",IF(AND(DivAs=2,Y$2&lt;ExDivPct),ExDivTree!Y16+DivAmount*EXP(IntRate*(Y$2-ExDivPct)),ExDivTree!Y16))</f>
        <v>84.345393315199999</v>
      </c>
      <c r="Z16" s="17">
        <f>IF(Z$3="","",IF(AND(DivAs=2,Z$2&lt;ExDivPct),ExDivTree!Z16+DivAmount*EXP(IntRate*(Z$2-ExDivPct)),ExDivTree!Z16))</f>
        <v>86.898744320099993</v>
      </c>
      <c r="AA16" s="17">
        <f>IF(AA$3="","",IF(AND(DivAs=2,AA$2&lt;ExDivPct),ExDivTree!AA16+DivAmount*EXP(IntRate*(AA$2-ExDivPct)),ExDivTree!AA16))</f>
        <v>89.529391797200006</v>
      </c>
      <c r="AB16" s="17">
        <f>IF(AB$3="","",IF(AND(DivAs=2,AB$2&lt;ExDivPct),ExDivTree!AB16+DivAmount*EXP(IntRate*(AB$2-ExDivPct)),ExDivTree!AB16))</f>
        <v>92.239675708700005</v>
      </c>
      <c r="AC16" s="17">
        <f>IF(AC$3="","",IF(AND(DivAs=2,AC$2&lt;ExDivPct),ExDivTree!AC16+DivAmount*EXP(IntRate*(AC$2-ExDivPct)),ExDivTree!AC16))</f>
        <v>95.032006853300004</v>
      </c>
      <c r="AD16" s="17">
        <f>IF(AD$3="","",IF(AND(DivAs=2,AD$2&lt;ExDivPct),ExDivTree!AD16+DivAmount*EXP(IntRate*(AD$2-ExDivPct)),ExDivTree!AD16))</f>
        <v>97.908869010900005</v>
      </c>
      <c r="AE16" s="17">
        <f>IF(AE$3="","",IF(AND(DivAs=2,AE$2&lt;ExDivPct),ExDivTree!AE16+DivAmount*EXP(IntRate*(AE$2-ExDivPct)),ExDivTree!AE16))</f>
        <v>100.87282115159999</v>
      </c>
      <c r="AF16" s="17">
        <f>IF(AF$3="","",IF(AND(DivAs=2,AF$2&lt;ExDivPct),ExDivTree!AF16+DivAmount*EXP(IntRate*(AF$2-ExDivPct)),ExDivTree!AF16))</f>
        <v>103.9264997122</v>
      </c>
      <c r="AG16" s="17">
        <f>IF(AG$3="","",IF(AND(DivAs=2,AG$2&lt;ExDivPct),ExDivTree!AG16+DivAmount*EXP(IntRate*(AG$2-ExDivPct)),ExDivTree!AG16))</f>
        <v>107.0726209412</v>
      </c>
      <c r="AH16" s="17">
        <f>IF(AH$3="","",IF(AND(DivAs=2,AH$2&lt;ExDivPct),ExDivTree!AH16+DivAmount*EXP(IntRate*(AH$2-ExDivPct)),ExDivTree!AH16))</f>
        <v>110.3139833148</v>
      </c>
      <c r="AI16" s="17">
        <f>IF(AI$3="","",IF(AND(DivAs=2,AI$2&lt;ExDivPct),ExDivTree!AI16+DivAmount*EXP(IntRate*(AI$2-ExDivPct)),ExDivTree!AI16))</f>
        <v>113.6534700263</v>
      </c>
      <c r="AJ16" s="17">
        <f>IF(AJ$3="","",IF(AND(DivAs=2,AJ$2&lt;ExDivPct),ExDivTree!AJ16+DivAmount*EXP(IntRate*(AJ$2-ExDivPct)),ExDivTree!AJ16))</f>
        <v>117.0940515506</v>
      </c>
      <c r="AK16" s="17">
        <f>IF(AK$3="","",IF(AND(DivAs=2,AK$2&lt;ExDivPct),ExDivTree!AK16+DivAmount*EXP(IntRate*(AK$2-ExDivPct)),ExDivTree!AK16))</f>
        <v>120.6387882866</v>
      </c>
      <c r="AL16" s="17">
        <f>IF(AL$3="","",IF(AND(DivAs=2,AL$2&lt;ExDivPct),ExDivTree!AL16+DivAmount*EXP(IntRate*(AL$2-ExDivPct)),ExDivTree!AL16))</f>
        <v>124.2908332791</v>
      </c>
      <c r="AM16" s="17">
        <f>IF(AM$3="","",IF(AND(DivAs=2,AM$2&lt;ExDivPct),ExDivTree!AM16+DivAmount*EXP(IntRate*(AM$2-ExDivPct)),ExDivTree!AM16))</f>
        <v>128.05343502389999</v>
      </c>
      <c r="AN16" s="17">
        <f>IF(AN$3="","",IF(AND(DivAs=2,AN$2&lt;ExDivPct),ExDivTree!AN16+DivAmount*EXP(IntRate*(AN$2-ExDivPct)),ExDivTree!AN16))</f>
        <v>131.9299403569</v>
      </c>
      <c r="AO16" s="17">
        <f>IF(AO$3="","",IF(AND(DivAs=2,AO$2&lt;ExDivPct),ExDivTree!AO16+DivAmount*EXP(IntRate*(AO$2-ExDivPct)),ExDivTree!AO16))</f>
        <v>135.92379743129999</v>
      </c>
      <c r="AP16" s="17">
        <f>IF(AP$3="","",IF(AND(DivAs=2,AP$2&lt;ExDivPct),ExDivTree!AP16+DivAmount*EXP(IntRate*(AP$2-ExDivPct)),ExDivTree!AP16))</f>
        <v>140.03855878479999</v>
      </c>
      <c r="AQ16" s="17">
        <f>IF(AQ$3="","",IF(AND(DivAs=2,AQ$2&lt;ExDivPct),ExDivTree!AQ16+DivAmount*EXP(IntRate*(AQ$2-ExDivPct)),ExDivTree!AQ16))</f>
        <v>144.2778844995</v>
      </c>
      <c r="AR16" s="17">
        <f>IF(AR$3="","",IF(AND(DivAs=2,AR$2&lt;ExDivPct),ExDivTree!AR16+DivAmount*EXP(IntRate*(AR$2-ExDivPct)),ExDivTree!AR16))</f>
        <v>148.64554545749999</v>
      </c>
      <c r="AS16" s="17">
        <f>IF(AS$3="","",IF(AND(DivAs=2,AS$2&lt;ExDivPct),ExDivTree!AS16+DivAmount*EXP(IntRate*(AS$2-ExDivPct)),ExDivTree!AS16))</f>
        <v>153.1454266952</v>
      </c>
      <c r="AT16" s="17">
        <f>IF(AT$3="","",IF(AND(DivAs=2,AT$2&lt;ExDivPct),ExDivTree!AT16+DivAmount*EXP(IntRate*(AT$2-ExDivPct)),ExDivTree!AT16))</f>
        <v>157.78153085899999</v>
      </c>
      <c r="AU16" s="17">
        <f>IF(AU$3="","",IF(AND(DivAs=2,AU$2&lt;ExDivPct),ExDivTree!AU16+DivAmount*EXP(IntRate*(AU$2-ExDivPct)),ExDivTree!AU16))</f>
        <v>162.5579817656</v>
      </c>
      <c r="AV16" s="17">
        <f>IF(AV$3="","",IF(AND(DivAs=2,AV$2&lt;ExDivPct),ExDivTree!AV16+DivAmount*EXP(IntRate*(AV$2-ExDivPct)),ExDivTree!AV16))</f>
        <v>167.47902807029999</v>
      </c>
      <c r="AW16" s="17">
        <f>IF(AW$3="","",IF(AND(DivAs=2,AW$2&lt;ExDivPct),ExDivTree!AW16+DivAmount*EXP(IntRate*(AW$2-ExDivPct)),ExDivTree!AW16))</f>
        <v>172.549047046</v>
      </c>
      <c r="AX16" s="17">
        <f>IF(AX$3="","",IF(AND(DivAs=2,AX$2&lt;ExDivPct),ExDivTree!AX16+DivAmount*EXP(IntRate*(AX$2-ExDivPct)),ExDivTree!AX16))</f>
        <v>177.7725484769</v>
      </c>
      <c r="AY16" s="17">
        <f>IF(AY$3="","",IF(AND(DivAs=2,AY$2&lt;ExDivPct),ExDivTree!AY16+DivAmount*EXP(IntRate*(AY$2-ExDivPct)),ExDivTree!AY16))</f>
        <v>183.15417866979999</v>
      </c>
      <c r="AZ16" s="17">
        <f>IF(AZ$3="","",IF(AND(DivAs=2,AZ$2&lt;ExDivPct),ExDivTree!AZ16+DivAmount*EXP(IntRate*(AZ$2-ExDivPct)),ExDivTree!AZ16))</f>
        <v>188.69872458719999</v>
      </c>
      <c r="BA16" s="17">
        <f>IF(BA$3="","",IF(AND(DivAs=2,BA$2&lt;ExDivPct),ExDivTree!BA16+DivAmount*EXP(IntRate*(BA$2-ExDivPct)),ExDivTree!BA16))</f>
        <v>194.41111810519999</v>
      </c>
      <c r="BB16" s="17">
        <f>IF(BB$3="","",IF(AND(DivAs=2,BB$2&lt;ExDivPct),ExDivTree!BB16+DivAmount*EXP(IntRate*(BB$2-ExDivPct)),ExDivTree!BB16))</f>
        <v>200.2964404004</v>
      </c>
      <c r="BC16" s="17">
        <f>IF(BC$3="","",IF(AND(DivAs=2,BC$2&lt;ExDivPct),ExDivTree!BC16+DivAmount*EXP(IntRate*(BC$2-ExDivPct)),ExDivTree!BC16))</f>
        <v>206.35992646970001</v>
      </c>
      <c r="BD16" s="17">
        <f>IF(BD$3="","",IF(AND(DivAs=2,BD$2&lt;ExDivPct),ExDivTree!BD16+DivAmount*EXP(IntRate*(BD$2-ExDivPct)),ExDivTree!BD16))</f>
        <v>212.60696978659999</v>
      </c>
      <c r="BE16" s="17">
        <f>IF(BE$3="","",IF(AND(DivAs=2,BE$2&lt;ExDivPct),ExDivTree!BE16+DivAmount*EXP(IntRate*(BE$2-ExDivPct)),ExDivTree!BE16))</f>
        <v>219.043127099</v>
      </c>
      <c r="BF16" s="17">
        <f>IF(BF$3="","",IF(AND(DivAs=2,BF$2&lt;ExDivPct),ExDivTree!BF16+DivAmount*EXP(IntRate*(BF$2-ExDivPct)),ExDivTree!BF16))</f>
        <v>225.67412337170001</v>
      </c>
      <c r="BG16" s="17">
        <f>IF(BG$3="","",IF(AND(DivAs=2,BG$2&lt;ExDivPct),ExDivTree!BG16+DivAmount*EXP(IntRate*(BG$2-ExDivPct)),ExDivTree!BG16))</f>
        <v>232.5058568789</v>
      </c>
      <c r="BH16" s="17">
        <f>IF(BH$3="","",IF(AND(DivAs=2,BH$2&lt;ExDivPct),ExDivTree!BH16+DivAmount*EXP(IntRate*(BH$2-ExDivPct)),ExDivTree!BH16))</f>
        <v>239.54440445060001</v>
      </c>
      <c r="BI16" s="17">
        <f>IF(BI$3="","",IF(AND(DivAs=2,BI$2&lt;ExDivPct),ExDivTree!BI16+DivAmount*EXP(IntRate*(BI$2-ExDivPct)),ExDivTree!BI16))</f>
        <v>246.79602687810001</v>
      </c>
      <c r="BJ16" s="17">
        <f>IF(BJ$3="","",IF(AND(DivAs=2,BJ$2&lt;ExDivPct),ExDivTree!BJ16+DivAmount*EXP(IntRate*(BJ$2-ExDivPct)),ExDivTree!BJ16))</f>
        <v>254.26717448279999</v>
      </c>
      <c r="BK16" s="17">
        <f>IF(BK$3="","",IF(AND(DivAs=2,BK$2&lt;ExDivPct),ExDivTree!BK16+DivAmount*EXP(IntRate*(BK$2-ExDivPct)),ExDivTree!BK16))</f>
        <v>261.96449285379998</v>
      </c>
      <c r="BL16" s="17">
        <f>IF(BL$3="","",IF(AND(DivAs=2,BL$2&lt;ExDivPct),ExDivTree!BL16+DivAmount*EXP(IntRate*(BL$2-ExDivPct)),ExDivTree!BL16))</f>
        <v>269.89482875930003</v>
      </c>
      <c r="BM16" s="17">
        <f>IF(BM$3="","",IF(AND(DivAs=2,BM$2&lt;ExDivPct),ExDivTree!BM16+DivAmount*EXP(IntRate*(BM$2-ExDivPct)),ExDivTree!BM16))</f>
        <v>278.0652362367</v>
      </c>
      <c r="BN16" s="17">
        <f>IF(BN$3="","",IF(AND(DivAs=2,BN$2&lt;ExDivPct),ExDivTree!BN16+DivAmount*EXP(IntRate*(BN$2-ExDivPct)),ExDivTree!BN16))</f>
        <v>286.48298286710002</v>
      </c>
      <c r="BO16" s="17">
        <f>IF(BO$3="","",IF(AND(DivAs=2,BO$2&lt;ExDivPct),ExDivTree!BO16+DivAmount*EXP(IntRate*(BO$2-ExDivPct)),ExDivTree!BO16))</f>
        <v>295.15555623990002</v>
      </c>
      <c r="BP16" s="17">
        <f>IF(BP$3="","",IF(AND(DivAs=2,BP$2&lt;ExDivPct),ExDivTree!BP16+DivAmount*EXP(IntRate*(BP$2-ExDivPct)),ExDivTree!BP16))</f>
        <v>304.09067061309997</v>
      </c>
      <c r="BQ16" s="17">
        <f>IF(BQ$3="","",IF(AND(DivAs=2,BQ$2&lt;ExDivPct),ExDivTree!BQ16+DivAmount*EXP(IntRate*(BQ$2-ExDivPct)),ExDivTree!BQ16))</f>
        <v>313.29627377489999</v>
      </c>
      <c r="BR16" s="17">
        <f>IF(BR$3="","",IF(AND(DivAs=2,BR$2&lt;ExDivPct),ExDivTree!BR16+DivAmount*EXP(IntRate*(BR$2-ExDivPct)),ExDivTree!BR16))</f>
        <v>322.78055411349999</v>
      </c>
      <c r="BS16" s="17">
        <f>IF(BS$3="","",IF(AND(DivAs=2,BS$2&lt;ExDivPct),ExDivTree!BS16+DivAmount*EXP(IntRate*(BS$2-ExDivPct)),ExDivTree!BS16))</f>
        <v>332.55194790050001</v>
      </c>
      <c r="BT16" s="17">
        <f>IF(BT$3="","",IF(AND(DivAs=2,BT$2&lt;ExDivPct),ExDivTree!BT16+DivAmount*EXP(IntRate*(BT$2-ExDivPct)),ExDivTree!BT16))</f>
        <v>342.61914679509999</v>
      </c>
      <c r="BU16" s="17">
        <f>IF(BU$3="","",IF(AND(DivAs=2,BU$2&lt;ExDivPct),ExDivTree!BU16+DivAmount*EXP(IntRate*(BU$2-ExDivPct)),ExDivTree!BU16))</f>
        <v>352.99110557530003</v>
      </c>
      <c r="BV16" s="17">
        <f>IF(BV$3="","",IF(AND(DivAs=2,BV$2&lt;ExDivPct),ExDivTree!BV16+DivAmount*EXP(IntRate*(BV$2-ExDivPct)),ExDivTree!BV16))</f>
        <v>363.67705010309999</v>
      </c>
      <c r="BW16" s="17">
        <f>IF(BW$3="","",IF(AND(DivAs=2,BW$2&lt;ExDivPct),ExDivTree!BW16+DivAmount*EXP(IntRate*(BW$2-ExDivPct)),ExDivTree!BW16))</f>
        <v>374.68648553089997</v>
      </c>
      <c r="BX16" s="17">
        <f>IF(BX$3="","",IF(AND(DivAs=2,BX$2&lt;ExDivPct),ExDivTree!BX16+DivAmount*EXP(IntRate*(BX$2-ExDivPct)),ExDivTree!BX16))</f>
        <v>386.02920475650001</v>
      </c>
      <c r="BY16" s="17">
        <f>IF(BY$3="","",IF(AND(DivAs=2,BY$2&lt;ExDivPct),ExDivTree!BY16+DivAmount*EXP(IntRate*(BY$2-ExDivPct)),ExDivTree!BY16))</f>
        <v>397.71529713379999</v>
      </c>
      <c r="BZ16" s="17">
        <f>IF(BZ$3="","",IF(AND(DivAs=2,BZ$2&lt;ExDivPct),ExDivTree!BZ16+DivAmount*EXP(IntRate*(BZ$2-ExDivPct)),ExDivTree!BZ16))</f>
        <v>409.75515744720002</v>
      </c>
      <c r="CA16" s="17">
        <f>IF(CA$3="","",IF(AND(DivAs=2,CA$2&lt;ExDivPct),ExDivTree!CA16+DivAmount*EXP(IntRate*(CA$2-ExDivPct)),ExDivTree!CA16))</f>
        <v>422.15949515789998</v>
      </c>
      <c r="CB16" s="17">
        <f>IF(CB$3="","",IF(AND(DivAs=2,CB$2&lt;ExDivPct),ExDivTree!CB16+DivAmount*EXP(IntRate*(CB$2-ExDivPct)),ExDivTree!CB16))</f>
        <v>434.93934392990002</v>
      </c>
      <c r="CC16" s="17">
        <f>IF(CC$3="","",IF(AND(DivAs=2,CC$2&lt;ExDivPct),ExDivTree!CC16+DivAmount*EXP(IntRate*(CC$2-ExDivPct)),ExDivTree!CC16))</f>
        <v>448.1060714445</v>
      </c>
      <c r="CD16" s="17">
        <f>IF(CD$3="","",IF(AND(DivAs=2,CD$2&lt;ExDivPct),ExDivTree!CD16+DivAmount*EXP(IntRate*(CD$2-ExDivPct)),ExDivTree!CD16))</f>
        <v>461.6713895117</v>
      </c>
      <c r="CE16" s="17">
        <f>IF(CE$3="","",IF(AND(DivAs=2,CE$2&lt;ExDivPct),ExDivTree!CE16+DivAmount*EXP(IntRate*(CE$2-ExDivPct)),ExDivTree!CE16))</f>
        <v>475.64736448799999</v>
      </c>
      <c r="CF16" s="17">
        <f>IF(CF$3="","",IF(AND(DivAs=2,CF$2&lt;ExDivPct),ExDivTree!CF16+DivAmount*EXP(IntRate*(CF$2-ExDivPct)),ExDivTree!CF16))</f>
        <v>490.0464280095</v>
      </c>
      <c r="CG16" s="17">
        <f>IF(CG$3="","",IF(AND(DivAs=2,CG$2&lt;ExDivPct),ExDivTree!CG16+DivAmount*EXP(IntRate*(CG$2-ExDivPct)),ExDivTree!CG16))</f>
        <v>504.88138804959999</v>
      </c>
      <c r="CH16" s="17">
        <f>IF(CH$3="","",IF(AND(DivAs=2,CH$2&lt;ExDivPct),ExDivTree!CH16+DivAmount*EXP(IntRate*(CH$2-ExDivPct)),ExDivTree!CH16))</f>
        <v>520.16544031210003</v>
      </c>
      <c r="CI16" s="17">
        <f>IF(CI$3="","",IF(AND(DivAs=2,CI$2&lt;ExDivPct),ExDivTree!CI16+DivAmount*EXP(IntRate*(CI$2-ExDivPct)),ExDivTree!CI16))</f>
        <v>535.91217996830005</v>
      </c>
      <c r="CJ16" s="17">
        <f>IF(CJ$3="","",IF(AND(DivAs=2,CJ$2&lt;ExDivPct),ExDivTree!CJ16+DivAmount*EXP(IntRate*(CJ$2-ExDivPct)),ExDivTree!CJ16))</f>
        <v>552.13561375020004</v>
      </c>
      <c r="CK16" s="17">
        <f>IF(CK$3="","",IF(AND(DivAs=2,CK$2&lt;ExDivPct),ExDivTree!CK16+DivAmount*EXP(IntRate*(CK$2-ExDivPct)),ExDivTree!CK16))</f>
        <v>568.85017240950003</v>
      </c>
      <c r="CL16" s="17">
        <f>IF(CL$3="","",IF(AND(DivAs=2,CL$2&lt;ExDivPct),ExDivTree!CL16+DivAmount*EXP(IntRate*(CL$2-ExDivPct)),ExDivTree!CL16))</f>
        <v>586.07072355360003</v>
      </c>
      <c r="CM16" s="17">
        <f>IF(CM$3="","",IF(AND(DivAs=2,CM$2&lt;ExDivPct),ExDivTree!CM16+DivAmount*EXP(IntRate*(CM$2-ExDivPct)),ExDivTree!CM16))</f>
        <v>603.81258487059995</v>
      </c>
      <c r="CN16" s="17">
        <f>IF(CN$3="","",IF(AND(DivAs=2,CN$2&lt;ExDivPct),ExDivTree!CN16+DivAmount*EXP(IntRate*(CN$2-ExDivPct)),ExDivTree!CN16))</f>
        <v>622.09153775410005</v>
      </c>
      <c r="CO16" s="17">
        <f>IF(CO$3="","",IF(AND(DivAs=2,CO$2&lt;ExDivPct),ExDivTree!CO16+DivAmount*EXP(IntRate*(CO$2-ExDivPct)),ExDivTree!CO16))</f>
        <v>640.92384134090003</v>
      </c>
      <c r="CP16" s="17">
        <f>IF(CP$3="","",IF(AND(DivAs=2,CP$2&lt;ExDivPct),ExDivTree!CP16+DivAmount*EXP(IntRate*(CP$2-ExDivPct)),ExDivTree!CP16))</f>
        <v>660.32624697350002</v>
      </c>
      <c r="CQ16" s="17">
        <f>IF(CQ$3="","",IF(AND(DivAs=2,CQ$2&lt;ExDivPct),ExDivTree!CQ16+DivAmount*EXP(IntRate*(CQ$2-ExDivPct)),ExDivTree!CQ16))</f>
        <v>680.3160131006</v>
      </c>
      <c r="CR16" s="17">
        <f>IF(CR$3="","",IF(AND(DivAs=2,CR$2&lt;ExDivPct),ExDivTree!CR16+DivAmount*EXP(IntRate*(CR$2-ExDivPct)),ExDivTree!CR16))</f>
        <v>700.91092062810003</v>
      </c>
      <c r="CS16" s="17">
        <f>IF(CS$3="","",IF(AND(DivAs=2,CS$2&lt;ExDivPct),ExDivTree!CS16+DivAmount*EXP(IntRate*(CS$2-ExDivPct)),ExDivTree!CS16))</f>
        <v>722.12928873550004</v>
      </c>
      <c r="CT16" s="17">
        <f>IF(CT$3="","",IF(AND(DivAs=2,CT$2&lt;ExDivPct),ExDivTree!CT16+DivAmount*EXP(IntRate*(CT$2-ExDivPct)),ExDivTree!CT16))</f>
        <v>743.98999117079995</v>
      </c>
      <c r="CU16" s="17">
        <f>IF(CU$3="","",IF(AND(DivAs=2,CU$2&lt;ExDivPct),ExDivTree!CU16+DivAmount*EXP(IntRate*(CU$2-ExDivPct)),ExDivTree!CU16))</f>
        <v>766.51247303870002</v>
      </c>
      <c r="CV16" s="17">
        <f>IF(CV$3="","",IF(AND(DivAs=2,CV$2&lt;ExDivPct),ExDivTree!CV16+DivAmount*EXP(IntRate*(CV$2-ExDivPct)),ExDivTree!CV16))</f>
        <v>789.716768097</v>
      </c>
      <c r="CW16" s="17">
        <f>IF(CW$3="","",IF(AND(DivAs=2,CW$2&lt;ExDivPct),ExDivTree!CW16+DivAmount*EXP(IntRate*(CW$2-ExDivPct)),ExDivTree!CW16))</f>
        <v>813.62351657659997</v>
      </c>
      <c r="CX16" s="17">
        <f>IF(CX$3="","",IF(AND(DivAs=2,CX$2&lt;ExDivPct),ExDivTree!CX16+DivAmount*EXP(IntRate*(CX$2-ExDivPct)),ExDivTree!CX16))</f>
        <v>838.25398354100003</v>
      </c>
      <c r="CY16" s="17">
        <f>IF(CY$3="","",IF(AND(DivAs=2,CY$2&lt;ExDivPct),ExDivTree!CY16+DivAmount*EXP(IntRate*(CY$2-ExDivPct)),ExDivTree!CY16))</f>
        <v>863.63007780179998</v>
      </c>
      <c r="CZ16" s="17">
        <f>IF(CZ$3="","",IF(AND(DivAs=2,CZ$2&lt;ExDivPct),ExDivTree!CZ16+DivAmount*EXP(IntRate*(CZ$2-ExDivPct)),ExDivTree!CZ16))</f>
        <v>889.77437140619998</v>
      </c>
      <c r="DA16" s="17">
        <f>IF(DA$3="","",IF(AND(DivAs=2,DA$2&lt;ExDivPct),ExDivTree!DA16+DivAmount*EXP(IntRate*(DA$2-ExDivPct)),ExDivTree!DA16))</f>
        <v>916.71011971509995</v>
      </c>
      <c r="DB16" s="17">
        <f>IF(DB$3="","",IF(AND(DivAs=2,DB$2&lt;ExDivPct),ExDivTree!DB16+DivAmount*EXP(IntRate*(DB$2-ExDivPct)),ExDivTree!DB16))</f>
        <v>944.46128208879998</v>
      </c>
    </row>
    <row r="17" spans="1:106" x14ac:dyDescent="0.2">
      <c r="A17">
        <f>ExDivTree!A17</f>
        <v>8160963550905900</v>
      </c>
      <c r="B17" s="71">
        <f>ExDivTree!B17</f>
        <v>3.2189325471216556E-15</v>
      </c>
      <c r="C17" s="71">
        <f>ExDivTree!C17</f>
        <v>3.9254515045323708E-15</v>
      </c>
      <c r="D17" s="177">
        <f>ExDivTree!D17</f>
        <v>13</v>
      </c>
      <c r="R17" s="17">
        <f>IF(R$3="","",IF(AND(DivAs=2,R$2&lt;ExDivPct),ExDivTree!R17+DivAmount*EXP(IntRate*(R$2-ExDivPct)),ExDivTree!R17))</f>
        <v>64.490304899199998</v>
      </c>
      <c r="S17" s="17">
        <f>IF(S$3="","",IF(AND(DivAs=2,S$2&lt;ExDivPct),ExDivTree!S17+DivAmount*EXP(IntRate*(S$2-ExDivPct)),ExDivTree!S17))</f>
        <v>66.442591542800002</v>
      </c>
      <c r="T17" s="17">
        <f>IF(T$3="","",IF(AND(DivAs=2,T$2&lt;ExDivPct),ExDivTree!T17+DivAmount*EXP(IntRate*(T$2-ExDivPct)),ExDivTree!T17))</f>
        <v>68.453978901599996</v>
      </c>
      <c r="U17" s="17">
        <f>IF(U$3="","",IF(AND(DivAs=2,U$2&lt;ExDivPct),ExDivTree!U17+DivAmount*EXP(IntRate*(U$2-ExDivPct)),ExDivTree!U17))</f>
        <v>70.526256105499996</v>
      </c>
      <c r="V17" s="17">
        <f>IF(V$3="","",IF(AND(DivAs=2,V$2&lt;ExDivPct),ExDivTree!V17+DivAmount*EXP(IntRate*(V$2-ExDivPct)),ExDivTree!V17))</f>
        <v>72.661266445999999</v>
      </c>
      <c r="W17" s="17">
        <f>IF(W$3="","",IF(AND(DivAs=2,W$2&lt;ExDivPct),ExDivTree!W17+DivAmount*EXP(IntRate*(W$2-ExDivPct)),ExDivTree!W17))</f>
        <v>74.860909015700003</v>
      </c>
      <c r="X17" s="17">
        <f>IF(X$3="","",IF(AND(DivAs=2,X$2&lt;ExDivPct),ExDivTree!X17+DivAmount*EXP(IntRate*(X$2-ExDivPct)),ExDivTree!X17))</f>
        <v>77.127140397700003</v>
      </c>
      <c r="Y17" s="17">
        <f>IF(Y$3="","",IF(AND(DivAs=2,Y$2&lt;ExDivPct),ExDivTree!Y17+DivAmount*EXP(IntRate*(Y$2-ExDivPct)),ExDivTree!Y17))</f>
        <v>79.461976405900003</v>
      </c>
      <c r="Z17" s="17">
        <f>IF(Z$3="","",IF(AND(DivAs=2,Z$2&lt;ExDivPct),ExDivTree!Z17+DivAmount*EXP(IntRate*(Z$2-ExDivPct)),ExDivTree!Z17))</f>
        <v>81.867493877900003</v>
      </c>
      <c r="AA17" s="17">
        <f>IF(AA$3="","",IF(AND(DivAs=2,AA$2&lt;ExDivPct),ExDivTree!AA17+DivAmount*EXP(IntRate*(AA$2-ExDivPct)),ExDivTree!AA17))</f>
        <v>84.345832522699993</v>
      </c>
      <c r="AB17" s="17">
        <f>IF(AB$3="","",IF(AND(DivAs=2,AB$2&lt;ExDivPct),ExDivTree!AB17+DivAmount*EXP(IntRate*(AB$2-ExDivPct)),ExDivTree!AB17))</f>
        <v>86.899196823500006</v>
      </c>
      <c r="AC17" s="17">
        <f>IF(AC$3="","",IF(AND(DivAs=2,AC$2&lt;ExDivPct),ExDivTree!AC17+DivAmount*EXP(IntRate*(AC$2-ExDivPct)),ExDivTree!AC17))</f>
        <v>89.529857999100003</v>
      </c>
      <c r="AD17" s="17">
        <f>IF(AD$3="","",IF(AND(DivAs=2,AD$2&lt;ExDivPct),ExDivTree!AD17+DivAmount*EXP(IntRate*(AD$2-ExDivPct)),ExDivTree!AD17))</f>
        <v>92.240156023699996</v>
      </c>
      <c r="AE17" s="17">
        <f>IF(AE$3="","",IF(AND(DivAs=2,AE$2&lt;ExDivPct),ExDivTree!AE17+DivAmount*EXP(IntRate*(AE$2-ExDivPct)),ExDivTree!AE17))</f>
        <v>95.032501708699996</v>
      </c>
      <c r="AF17" s="17">
        <f>IF(AF$3="","",IF(AND(DivAs=2,AF$2&lt;ExDivPct),ExDivTree!AF17+DivAmount*EXP(IntRate*(AF$2-ExDivPct)),ExDivTree!AF17))</f>
        <v>97.909378846799996</v>
      </c>
      <c r="AG17" s="17">
        <f>IF(AG$3="","",IF(AND(DivAs=2,AG$2&lt;ExDivPct),ExDivTree!AG17+DivAmount*EXP(IntRate*(AG$2-ExDivPct)),ExDivTree!AG17))</f>
        <v>100.8733464216</v>
      </c>
      <c r="AH17" s="17">
        <f>IF(AH$3="","",IF(AND(DivAs=2,AH$2&lt;ExDivPct),ExDivTree!AH17+DivAmount*EXP(IntRate*(AH$2-ExDivPct)),ExDivTree!AH17))</f>
        <v>103.9270408835</v>
      </c>
      <c r="AI17" s="17">
        <f>IF(AI$3="","",IF(AND(DivAs=2,AI$2&lt;ExDivPct),ExDivTree!AI17+DivAmount*EXP(IntRate*(AI$2-ExDivPct)),ExDivTree!AI17))</f>
        <v>107.0731784951</v>
      </c>
      <c r="AJ17" s="17">
        <f>IF(AJ$3="","",IF(AND(DivAs=2,AJ$2&lt;ExDivPct),ExDivTree!AJ17+DivAmount*EXP(IntRate*(AJ$2-ExDivPct)),ExDivTree!AJ17))</f>
        <v>110.3145577473</v>
      </c>
      <c r="AK17" s="17">
        <f>IF(AK$3="","",IF(AND(DivAs=2,AK$2&lt;ExDivPct),ExDivTree!AK17+DivAmount*EXP(IntRate*(AK$2-ExDivPct)),ExDivTree!AK17))</f>
        <v>113.6540618483</v>
      </c>
      <c r="AL17" s="17">
        <f>IF(AL$3="","",IF(AND(DivAs=2,AL$2&lt;ExDivPct),ExDivTree!AL17+DivAmount*EXP(IntRate*(AL$2-ExDivPct)),ExDivTree!AL17))</f>
        <v>117.09466128859999</v>
      </c>
      <c r="AM17" s="17">
        <f>IF(AM$3="","",IF(AND(DivAs=2,AM$2&lt;ExDivPct),ExDivTree!AM17+DivAmount*EXP(IntRate*(AM$2-ExDivPct)),ExDivTree!AM17))</f>
        <v>120.6394164829</v>
      </c>
      <c r="AN17" s="17">
        <f>IF(AN$3="","",IF(AND(DivAs=2,AN$2&lt;ExDivPct),ExDivTree!AN17+DivAmount*EXP(IntRate*(AN$2-ExDivPct)),ExDivTree!AN17))</f>
        <v>124.2914804925</v>
      </c>
      <c r="AO17" s="17">
        <f>IF(AO$3="","",IF(AND(DivAs=2,AO$2&lt;ExDivPct),ExDivTree!AO17+DivAmount*EXP(IntRate*(AO$2-ExDivPct)),ExDivTree!AO17))</f>
        <v>128.0541018301</v>
      </c>
      <c r="AP17" s="17">
        <f>IF(AP$3="","",IF(AND(DivAs=2,AP$2&lt;ExDivPct),ExDivTree!AP17+DivAmount*EXP(IntRate*(AP$2-ExDivPct)),ExDivTree!AP17))</f>
        <v>131.93062734899999</v>
      </c>
      <c r="AQ17" s="17">
        <f>IF(AQ$3="","",IF(AND(DivAs=2,AQ$2&lt;ExDivPct),ExDivTree!AQ17+DivAmount*EXP(IntRate*(AQ$2-ExDivPct)),ExDivTree!AQ17))</f>
        <v>135.92450522039999</v>
      </c>
      <c r="AR17" s="17">
        <f>IF(AR$3="","",IF(AND(DivAs=2,AR$2&lt;ExDivPct),ExDivTree!AR17+DivAmount*EXP(IntRate*(AR$2-ExDivPct)),ExDivTree!AR17))</f>
        <v>140.03928800049999</v>
      </c>
      <c r="AS17" s="17">
        <f>IF(AS$3="","",IF(AND(DivAs=2,AS$2&lt;ExDivPct),ExDivTree!AS17+DivAmount*EXP(IntRate*(AS$2-ExDivPct)),ExDivTree!AS17))</f>
        <v>144.27863579039999</v>
      </c>
      <c r="AT17" s="17">
        <f>IF(AT$3="","",IF(AND(DivAs=2,AT$2&lt;ExDivPct),ExDivTree!AT17+DivAmount*EXP(IntRate*(AT$2-ExDivPct)),ExDivTree!AT17))</f>
        <v>148.64631949189999</v>
      </c>
      <c r="AU17" s="17">
        <f>IF(AU$3="","",IF(AND(DivAs=2,AU$2&lt;ExDivPct),ExDivTree!AU17+DivAmount*EXP(IntRate*(AU$2-ExDivPct)),ExDivTree!AU17))</f>
        <v>153.1462241616</v>
      </c>
      <c r="AV17" s="17">
        <f>IF(AV$3="","",IF(AND(DivAs=2,AV$2&lt;ExDivPct),ExDivTree!AV17+DivAmount*EXP(IntRate*(AV$2-ExDivPct)),ExDivTree!AV17))</f>
        <v>157.78235246680001</v>
      </c>
      <c r="AW17" s="17">
        <f>IF(AW$3="","",IF(AND(DivAs=2,AW$2&lt;ExDivPct),ExDivTree!AW17+DivAmount*EXP(IntRate*(AW$2-ExDivPct)),ExDivTree!AW17))</f>
        <v>162.55882824560001</v>
      </c>
      <c r="AX17" s="17">
        <f>IF(AX$3="","",IF(AND(DivAs=2,AX$2&lt;ExDivPct),ExDivTree!AX17+DivAmount*EXP(IntRate*(AX$2-ExDivPct)),ExDivTree!AX17))</f>
        <v>167.47990017539999</v>
      </c>
      <c r="AY17" s="17">
        <f>IF(AY$3="","",IF(AND(DivAs=2,AY$2&lt;ExDivPct),ExDivTree!AY17+DivAmount*EXP(IntRate*(AY$2-ExDivPct)),ExDivTree!AY17))</f>
        <v>172.549945552</v>
      </c>
      <c r="AZ17" s="17">
        <f>IF(AZ$3="","",IF(AND(DivAs=2,AZ$2&lt;ExDivPct),ExDivTree!AZ17+DivAmount*EXP(IntRate*(AZ$2-ExDivPct)),ExDivTree!AZ17))</f>
        <v>177.7734741829</v>
      </c>
      <c r="BA17" s="17">
        <f>IF(BA$3="","",IF(AND(DivAs=2,BA$2&lt;ExDivPct),ExDivTree!BA17+DivAmount*EXP(IntRate*(BA$2-ExDivPct)),ExDivTree!BA17))</f>
        <v>183.15513239929999</v>
      </c>
      <c r="BB17" s="17">
        <f>IF(BB$3="","",IF(AND(DivAs=2,BB$2&lt;ExDivPct),ExDivTree!BB17+DivAmount*EXP(IntRate*(BB$2-ExDivPct)),ExDivTree!BB17))</f>
        <v>188.69970718850001</v>
      </c>
      <c r="BC17" s="17">
        <f>IF(BC$3="","",IF(AND(DivAs=2,BC$2&lt;ExDivPct),ExDivTree!BC17+DivAmount*EXP(IntRate*(BC$2-ExDivPct)),ExDivTree!BC17))</f>
        <v>194.41213045239999</v>
      </c>
      <c r="BD17" s="17">
        <f>IF(BD$3="","",IF(AND(DivAs=2,BD$2&lt;ExDivPct),ExDivTree!BD17+DivAmount*EXP(IntRate*(BD$2-ExDivPct)),ExDivTree!BD17))</f>
        <v>200.2974833939</v>
      </c>
      <c r="BE17" s="17">
        <f>IF(BE$3="","",IF(AND(DivAs=2,BE$2&lt;ExDivPct),ExDivTree!BE17+DivAmount*EXP(IntRate*(BE$2-ExDivPct)),ExDivTree!BE17))</f>
        <v>206.3610010372</v>
      </c>
      <c r="BF17" s="17">
        <f>IF(BF$3="","",IF(AND(DivAs=2,BF$2&lt;ExDivPct),ExDivTree!BF17+DivAmount*EXP(IntRate*(BF$2-ExDivPct)),ExDivTree!BF17))</f>
        <v>212.60807688400001</v>
      </c>
      <c r="BG17" s="17">
        <f>IF(BG$3="","",IF(AND(DivAs=2,BG$2&lt;ExDivPct),ExDivTree!BG17+DivAmount*EXP(IntRate*(BG$2-ExDivPct)),ExDivTree!BG17))</f>
        <v>219.04426771109999</v>
      </c>
      <c r="BH17" s="17">
        <f>IF(BH$3="","",IF(AND(DivAs=2,BH$2&lt;ExDivPct),ExDivTree!BH17+DivAmount*EXP(IntRate*(BH$2-ExDivPct)),ExDivTree!BH17))</f>
        <v>225.675298513</v>
      </c>
      <c r="BI17" s="17">
        <f>IF(BI$3="","",IF(AND(DivAs=2,BI$2&lt;ExDivPct),ExDivTree!BI17+DivAmount*EXP(IntRate*(BI$2-ExDivPct)),ExDivTree!BI17))</f>
        <v>232.5070675947</v>
      </c>
      <c r="BJ17" s="17">
        <f>IF(BJ$3="","",IF(AND(DivAs=2,BJ$2&lt;ExDivPct),ExDivTree!BJ17+DivAmount*EXP(IntRate*(BJ$2-ExDivPct)),ExDivTree!BJ17))</f>
        <v>239.54565181789999</v>
      </c>
      <c r="BK17" s="17">
        <f>IF(BK$3="","",IF(AND(DivAs=2,BK$2&lt;ExDivPct),ExDivTree!BK17+DivAmount*EXP(IntRate*(BK$2-ExDivPct)),ExDivTree!BK17))</f>
        <v>246.79731200640001</v>
      </c>
      <c r="BL17" s="17">
        <f>IF(BL$3="","",IF(AND(DivAs=2,BL$2&lt;ExDivPct),ExDivTree!BL17+DivAmount*EXP(IntRate*(BL$2-ExDivPct)),ExDivTree!BL17))</f>
        <v>254.26849851520001</v>
      </c>
      <c r="BM17" s="17">
        <f>IF(BM$3="","",IF(AND(DivAs=2,BM$2&lt;ExDivPct),ExDivTree!BM17+DivAmount*EXP(IntRate*(BM$2-ExDivPct)),ExDivTree!BM17))</f>
        <v>261.96585696810001</v>
      </c>
      <c r="BN17" s="17">
        <f>IF(BN$3="","",IF(AND(DivAs=2,BN$2&lt;ExDivPct),ExDivTree!BN17+DivAmount*EXP(IntRate*(BN$2-ExDivPct)),ExDivTree!BN17))</f>
        <v>269.89623416889998</v>
      </c>
      <c r="BO17" s="17">
        <f>IF(BO$3="","",IF(AND(DivAs=2,BO$2&lt;ExDivPct),ExDivTree!BO17+DivAmount*EXP(IntRate*(BO$2-ExDivPct)),ExDivTree!BO17))</f>
        <v>278.06668419170001</v>
      </c>
      <c r="BP17" s="17">
        <f>IF(BP$3="","",IF(AND(DivAs=2,BP$2&lt;ExDivPct),ExDivTree!BP17+DivAmount*EXP(IntRate*(BP$2-ExDivPct)),ExDivTree!BP17))</f>
        <v>286.48447465539999</v>
      </c>
      <c r="BQ17" s="17">
        <f>IF(BQ$3="","",IF(AND(DivAs=2,BQ$2&lt;ExDivPct),ExDivTree!BQ17+DivAmount*EXP(IntRate*(BQ$2-ExDivPct)),ExDivTree!BQ17))</f>
        <v>295.15709318850003</v>
      </c>
      <c r="BR17" s="17">
        <f>IF(BR$3="","",IF(AND(DivAs=2,BR$2&lt;ExDivPct),ExDivTree!BR17+DivAmount*EXP(IntRate*(BR$2-ExDivPct)),ExDivTree!BR17))</f>
        <v>304.09225408909998</v>
      </c>
      <c r="BS17" s="17">
        <f>IF(BS$3="","",IF(AND(DivAs=2,BS$2&lt;ExDivPct),ExDivTree!BS17+DivAmount*EXP(IntRate*(BS$2-ExDivPct)),ExDivTree!BS17))</f>
        <v>313.29790518679999</v>
      </c>
      <c r="BT17" s="17">
        <f>IF(BT$3="","",IF(AND(DivAs=2,BT$2&lt;ExDivPct),ExDivTree!BT17+DivAmount*EXP(IntRate*(BT$2-ExDivPct)),ExDivTree!BT17))</f>
        <v>322.78223491239999</v>
      </c>
      <c r="BU17" s="17">
        <f>IF(BU$3="","",IF(AND(DivAs=2,BU$2&lt;ExDivPct),ExDivTree!BU17+DivAmount*EXP(IntRate*(BU$2-ExDivPct)),ExDivTree!BU17))</f>
        <v>332.55367958149998</v>
      </c>
      <c r="BV17" s="17">
        <f>IF(BV$3="","",IF(AND(DivAs=2,BV$2&lt;ExDivPct),ExDivTree!BV17+DivAmount*EXP(IntRate*(BV$2-ExDivPct)),ExDivTree!BV17))</f>
        <v>342.62093089849998</v>
      </c>
      <c r="BW17" s="17">
        <f>IF(BW$3="","",IF(AND(DivAs=2,BW$2&lt;ExDivPct),ExDivTree!BW17+DivAmount*EXP(IntRate*(BW$2-ExDivPct)),ExDivTree!BW17))</f>
        <v>352.99294368810001</v>
      </c>
      <c r="BX17" s="17">
        <f>IF(BX$3="","",IF(AND(DivAs=2,BX$2&lt;ExDivPct),ExDivTree!BX17+DivAmount*EXP(IntRate*(BX$2-ExDivPct)),ExDivTree!BX17))</f>
        <v>363.67894386019998</v>
      </c>
      <c r="BY17" s="17">
        <f>IF(BY$3="","",IF(AND(DivAs=2,BY$2&lt;ExDivPct),ExDivTree!BY17+DivAmount*EXP(IntRate*(BY$2-ExDivPct)),ExDivTree!BY17))</f>
        <v>374.68843661689999</v>
      </c>
      <c r="BZ17" s="17">
        <f>IF(BZ$3="","",IF(AND(DivAs=2,BZ$2&lt;ExDivPct),ExDivTree!BZ17+DivAmount*EXP(IntRate*(BZ$2-ExDivPct)),ExDivTree!BZ17))</f>
        <v>386.0312149069</v>
      </c>
      <c r="CA17" s="17">
        <f>IF(CA$3="","",IF(AND(DivAs=2,CA$2&lt;ExDivPct),ExDivTree!CA17+DivAmount*EXP(IntRate*(CA$2-ExDivPct)),ExDivTree!CA17))</f>
        <v>397.71736813659999</v>
      </c>
      <c r="CB17" s="17">
        <f>IF(CB$3="","",IF(AND(DivAs=2,CB$2&lt;ExDivPct),ExDivTree!CB17+DivAmount*EXP(IntRate*(CB$2-ExDivPct)),ExDivTree!CB17))</f>
        <v>409.7572911446</v>
      </c>
      <c r="CC17" s="17">
        <f>IF(CC$3="","",IF(AND(DivAs=2,CC$2&lt;ExDivPct),ExDivTree!CC17+DivAmount*EXP(IntRate*(CC$2-ExDivPct)),ExDivTree!CC17))</f>
        <v>422.16169344780002</v>
      </c>
      <c r="CD17" s="17">
        <f>IF(CD$3="","",IF(AND(DivAs=2,CD$2&lt;ExDivPct),ExDivTree!CD17+DivAmount*EXP(IntRate*(CD$2-ExDivPct)),ExDivTree!CD17))</f>
        <v>434.94160876770002</v>
      </c>
      <c r="CE17" s="17">
        <f>IF(CE$3="","",IF(AND(DivAs=2,CE$2&lt;ExDivPct),ExDivTree!CE17+DivAmount*EXP(IntRate*(CE$2-ExDivPct)),ExDivTree!CE17))</f>
        <v>448.10840484469998</v>
      </c>
      <c r="CF17" s="17">
        <f>IF(CF$3="","",IF(AND(DivAs=2,CF$2&lt;ExDivPct),ExDivTree!CF17+DivAmount*EXP(IntRate*(CF$2-ExDivPct)),ExDivTree!CF17))</f>
        <v>461.67379354989998</v>
      </c>
      <c r="CG17" s="17">
        <f>IF(CG$3="","",IF(AND(DivAs=2,CG$2&lt;ExDivPct),ExDivTree!CG17+DivAmount*EXP(IntRate*(CG$2-ExDivPct)),ExDivTree!CG17))</f>
        <v>475.64984130260001</v>
      </c>
      <c r="CH17" s="17">
        <f>IF(CH$3="","",IF(AND(DivAs=2,CH$2&lt;ExDivPct),ExDivTree!CH17+DivAmount*EXP(IntRate*(CH$2-ExDivPct)),ExDivTree!CH17))</f>
        <v>490.04897980359999</v>
      </c>
      <c r="CI17" s="17">
        <f>IF(CI$3="","",IF(AND(DivAs=2,CI$2&lt;ExDivPct),ExDivTree!CI17+DivAmount*EXP(IntRate*(CI$2-ExDivPct)),ExDivTree!CI17))</f>
        <v>504.8840170931</v>
      </c>
      <c r="CJ17" s="17">
        <f>IF(CJ$3="","",IF(AND(DivAs=2,CJ$2&lt;ExDivPct),ExDivTree!CJ17+DivAmount*EXP(IntRate*(CJ$2-ExDivPct)),ExDivTree!CJ17))</f>
        <v>520.16814894339996</v>
      </c>
      <c r="CK17" s="17">
        <f>IF(CK$3="","",IF(AND(DivAs=2,CK$2&lt;ExDivPct),ExDivTree!CK17+DivAmount*EXP(IntRate*(CK$2-ExDivPct)),ExDivTree!CK17))</f>
        <v>535.9149705968</v>
      </c>
      <c r="CL17" s="17">
        <f>IF(CL$3="","",IF(AND(DivAs=2,CL$2&lt;ExDivPct),ExDivTree!CL17+DivAmount*EXP(IntRate*(CL$2-ExDivPct)),ExDivTree!CL17))</f>
        <v>552.1384888581</v>
      </c>
      <c r="CM17" s="17">
        <f>IF(CM$3="","",IF(AND(DivAs=2,CM$2&lt;ExDivPct),ExDivTree!CM17+DivAmount*EXP(IntRate*(CM$2-ExDivPct)),ExDivTree!CM17))</f>
        <v>568.85313455419998</v>
      </c>
      <c r="CN17" s="17">
        <f>IF(CN$3="","",IF(AND(DivAs=2,CN$2&lt;ExDivPct),ExDivTree!CN17+DivAmount*EXP(IntRate*(CN$2-ExDivPct)),ExDivTree!CN17))</f>
        <v>586.07377537000002</v>
      </c>
      <c r="CO17" s="17">
        <f>IF(CO$3="","",IF(AND(DivAs=2,CO$2&lt;ExDivPct),ExDivTree!CO17+DivAmount*EXP(IntRate*(CO$2-ExDivPct)),ExDivTree!CO17))</f>
        <v>603.81572907329996</v>
      </c>
      <c r="CP17" s="17">
        <f>IF(CP$3="","",IF(AND(DivAs=2,CP$2&lt;ExDivPct),ExDivTree!CP17+DivAmount*EXP(IntRate*(CP$2-ExDivPct)),ExDivTree!CP17))</f>
        <v>622.09477713980004</v>
      </c>
      <c r="CQ17" s="17">
        <f>IF(CQ$3="","",IF(AND(DivAs=2,CQ$2&lt;ExDivPct),ExDivTree!CQ17+DivAmount*EXP(IntRate*(CQ$2-ExDivPct)),ExDivTree!CQ17))</f>
        <v>640.9271787911</v>
      </c>
      <c r="CR17" s="17">
        <f>IF(CR$3="","",IF(AND(DivAs=2,CR$2&lt;ExDivPct),ExDivTree!CR17+DivAmount*EXP(IntRate*(CR$2-ExDivPct)),ExDivTree!CR17))</f>
        <v>660.32968545690005</v>
      </c>
      <c r="CS17" s="17">
        <f>IF(CS$3="","",IF(AND(DivAs=2,CS$2&lt;ExDivPct),ExDivTree!CS17+DivAmount*EXP(IntRate*(CS$2-ExDivPct)),ExDivTree!CS17))</f>
        <v>680.31955567570003</v>
      </c>
      <c r="CT17" s="17">
        <f>IF(CT$3="","",IF(AND(DivAs=2,CT$2&lt;ExDivPct),ExDivTree!CT17+DivAmount*EXP(IntRate*(CT$2-ExDivPct)),ExDivTree!CT17))</f>
        <v>700.91457044599997</v>
      </c>
      <c r="CU17" s="17">
        <f>IF(CU$3="","",IF(AND(DivAs=2,CU$2&lt;ExDivPct),ExDivTree!CU17+DivAmount*EXP(IntRate*(CU$2-ExDivPct)),ExDivTree!CU17))</f>
        <v>722.13304904270001</v>
      </c>
      <c r="CV17" s="17">
        <f>IF(CV$3="","",IF(AND(DivAs=2,CV$2&lt;ExDivPct),ExDivTree!CV17+DivAmount*EXP(IntRate*(CV$2-ExDivPct)),ExDivTree!CV17))</f>
        <v>743.99386531209996</v>
      </c>
      <c r="CW17" s="17">
        <f>IF(CW$3="","",IF(AND(DivAs=2,CW$2&lt;ExDivPct),ExDivTree!CW17+DivAmount*EXP(IntRate*(CW$2-ExDivPct)),ExDivTree!CW17))</f>
        <v>766.51646446020004</v>
      </c>
      <c r="CX17" s="17">
        <f>IF(CX$3="","",IF(AND(DivAs=2,CX$2&lt;ExDivPct),ExDivTree!CX17+DivAmount*EXP(IntRate*(CX$2-ExDivPct)),ExDivTree!CX17))</f>
        <v>789.72088034909996</v>
      </c>
      <c r="CY17" s="17">
        <f>IF(CY$3="","",IF(AND(DivAs=2,CY$2&lt;ExDivPct),ExDivTree!CY17+DivAmount*EXP(IntRate*(CY$2-ExDivPct)),ExDivTree!CY17))</f>
        <v>813.62775331709997</v>
      </c>
      <c r="CZ17" s="17">
        <f>IF(CZ$3="","",IF(AND(DivAs=2,CZ$2&lt;ExDivPct),ExDivTree!CZ17+DivAmount*EXP(IntRate*(CZ$2-ExDivPct)),ExDivTree!CZ17))</f>
        <v>838.25834853849994</v>
      </c>
      <c r="DA17" s="17">
        <f>IF(DA$3="","",IF(AND(DivAs=2,DA$2&lt;ExDivPct),ExDivTree!DA17+DivAmount*EXP(IntRate*(DA$2-ExDivPct)),ExDivTree!DA17))</f>
        <v>863.63457493889996</v>
      </c>
      <c r="DB17" s="17">
        <f>IF(DB$3="","",IF(AND(DivAs=2,DB$2&lt;ExDivPct),ExDivTree!DB17+DivAmount*EXP(IntRate*(DB$2-ExDivPct)),ExDivTree!DB17))</f>
        <v>889.77900468309997</v>
      </c>
    </row>
    <row r="18" spans="1:106" x14ac:dyDescent="0.2">
      <c r="A18">
        <f>ExDivTree!A18</f>
        <v>5.1297485177122792E+16</v>
      </c>
      <c r="B18" s="71">
        <f>ExDivTree!B18</f>
        <v>2.023329029619326E-14</v>
      </c>
      <c r="C18" s="71">
        <f>ExDivTree!C18</f>
        <v>2.4543815137260971E-14</v>
      </c>
      <c r="D18" s="177">
        <f>ExDivTree!D18</f>
        <v>14</v>
      </c>
      <c r="S18" s="17">
        <f>IF(S$3="","",IF(AND(DivAs=2,S$2&lt;ExDivPct),ExDivTree!S18+DivAmount*EXP(IntRate*(S$2-ExDivPct)),ExDivTree!S18))</f>
        <v>62.5957083606</v>
      </c>
      <c r="T18" s="17">
        <f>IF(T$3="","",IF(AND(DivAs=2,T$2&lt;ExDivPct),ExDivTree!T18+DivAmount*EXP(IntRate*(T$2-ExDivPct)),ExDivTree!T18))</f>
        <v>64.490640716300007</v>
      </c>
      <c r="U18" s="17">
        <f>IF(U$3="","",IF(AND(DivAs=2,U$2&lt;ExDivPct),ExDivTree!U18+DivAmount*EXP(IntRate*(U$2-ExDivPct)),ExDivTree!U18))</f>
        <v>66.442937525999994</v>
      </c>
      <c r="V18" s="17">
        <f>IF(V$3="","",IF(AND(DivAs=2,V$2&lt;ExDivPct),ExDivTree!V18+DivAmount*EXP(IntRate*(V$2-ExDivPct)),ExDivTree!V18))</f>
        <v>68.454335358600005</v>
      </c>
      <c r="W18" s="17">
        <f>IF(W$3="","",IF(AND(DivAs=2,W$2&lt;ExDivPct),ExDivTree!W18+DivAmount*EXP(IntRate*(W$2-ExDivPct)),ExDivTree!W18))</f>
        <v>70.526623353299996</v>
      </c>
      <c r="X18" s="17">
        <f>IF(X$3="","",IF(AND(DivAs=2,X$2&lt;ExDivPct),ExDivTree!X18+DivAmount*EXP(IntRate*(X$2-ExDivPct)),ExDivTree!X18))</f>
        <v>72.661644811299993</v>
      </c>
      <c r="Y18" s="17">
        <f>IF(Y$3="","",IF(AND(DivAs=2,Y$2&lt;ExDivPct),ExDivTree!Y18+DivAmount*EXP(IntRate*(Y$2-ExDivPct)),ExDivTree!Y18))</f>
        <v>74.861298835100001</v>
      </c>
      <c r="Z18" s="17">
        <f>IF(Z$3="","",IF(AND(DivAs=2,Z$2&lt;ExDivPct),ExDivTree!Z18+DivAmount*EXP(IntRate*(Z$2-ExDivPct)),ExDivTree!Z18))</f>
        <v>77.127542018</v>
      </c>
      <c r="AA18" s="17">
        <f>IF(AA$3="","",IF(AND(DivAs=2,AA$2&lt;ExDivPct),ExDivTree!AA18+DivAmount*EXP(IntRate*(AA$2-ExDivPct)),ExDivTree!AA18))</f>
        <v>79.462390184300006</v>
      </c>
      <c r="AB18" s="17">
        <f>IF(AB$3="","",IF(AND(DivAs=2,AB$2&lt;ExDivPct),ExDivTree!AB18+DivAmount*EXP(IntRate*(AB$2-ExDivPct)),ExDivTree!AB18))</f>
        <v>81.867920182500001</v>
      </c>
      <c r="AC18" s="17">
        <f>IF(AC$3="","",IF(AND(DivAs=2,AC$2&lt;ExDivPct),ExDivTree!AC18+DivAmount*EXP(IntRate*(AC$2-ExDivPct)),ExDivTree!AC18))</f>
        <v>84.346271732600002</v>
      </c>
      <c r="AD18" s="17">
        <f>IF(AD$3="","",IF(AND(DivAs=2,AD$2&lt;ExDivPct),ExDivTree!AD18+DivAmount*EXP(IntRate*(AD$2-ExDivPct)),ExDivTree!AD18))</f>
        <v>86.899649329400006</v>
      </c>
      <c r="AE18" s="17">
        <f>IF(AE$3="","",IF(AND(DivAs=2,AE$2&lt;ExDivPct),ExDivTree!AE18+DivAmount*EXP(IntRate*(AE$2-ExDivPct)),ExDivTree!AE18))</f>
        <v>89.530324203500001</v>
      </c>
      <c r="AF18" s="17">
        <f>IF(AF$3="","",IF(AND(DivAs=2,AF$2&lt;ExDivPct),ExDivTree!AF18+DivAmount*EXP(IntRate*(AF$2-ExDivPct)),ExDivTree!AF18))</f>
        <v>92.240636341300004</v>
      </c>
      <c r="AG18" s="17">
        <f>IF(AG$3="","",IF(AND(DivAs=2,AG$2&lt;ExDivPct),ExDivTree!AG18+DivAmount*EXP(IntRate*(AG$2-ExDivPct)),ExDivTree!AG18))</f>
        <v>95.032996566799994</v>
      </c>
      <c r="AH18" s="17">
        <f>IF(AH$3="","",IF(AND(DivAs=2,AH$2&lt;ExDivPct),ExDivTree!AH18+DivAmount*EXP(IntRate*(AH$2-ExDivPct)),ExDivTree!AH18))</f>
        <v>97.909888685599995</v>
      </c>
      <c r="AI18" s="17">
        <f>IF(AI$3="","",IF(AND(DivAs=2,AI$2&lt;ExDivPct),ExDivTree!AI18+DivAmount*EXP(IntRate*(AI$2-ExDivPct)),ExDivTree!AI18))</f>
        <v>100.8738716945</v>
      </c>
      <c r="AJ18" s="17">
        <f>IF(AJ$3="","",IF(AND(DivAs=2,AJ$2&lt;ExDivPct),ExDivTree!AJ18+DivAmount*EXP(IntRate*(AJ$2-ExDivPct)),ExDivTree!AJ18))</f>
        <v>103.92758205769999</v>
      </c>
      <c r="AK18" s="17">
        <f>IF(AK$3="","",IF(AND(DivAs=2,AK$2&lt;ExDivPct),ExDivTree!AK18+DivAmount*EXP(IntRate*(AK$2-ExDivPct)),ExDivTree!AK18))</f>
        <v>107.073736052</v>
      </c>
      <c r="AL18" s="17">
        <f>IF(AL$3="","",IF(AND(DivAs=2,AL$2&lt;ExDivPct),ExDivTree!AL18+DivAmount*EXP(IntRate*(AL$2-ExDivPct)),ExDivTree!AL18))</f>
        <v>110.3151321828</v>
      </c>
      <c r="AM18" s="17">
        <f>IF(AM$3="","",IF(AND(DivAs=2,AM$2&lt;ExDivPct),ExDivTree!AM18+DivAmount*EXP(IntRate*(AM$2-ExDivPct)),ExDivTree!AM18))</f>
        <v>113.65465367349999</v>
      </c>
      <c r="AN18" s="17">
        <f>IF(AN$3="","",IF(AND(DivAs=2,AN$2&lt;ExDivPct),ExDivTree!AN18+DivAmount*EXP(IntRate*(AN$2-ExDivPct)),ExDivTree!AN18))</f>
        <v>117.0952710298</v>
      </c>
      <c r="AO18" s="17">
        <f>IF(AO$3="","",IF(AND(DivAs=2,AO$2&lt;ExDivPct),ExDivTree!AO18+DivAmount*EXP(IntRate*(AO$2-ExDivPct)),ExDivTree!AO18))</f>
        <v>120.6400446825</v>
      </c>
      <c r="AP18" s="17">
        <f>IF(AP$3="","",IF(AND(DivAs=2,AP$2&lt;ExDivPct),ExDivTree!AP18+DivAmount*EXP(IntRate*(AP$2-ExDivPct)),ExDivTree!AP18))</f>
        <v>124.29212770940001</v>
      </c>
      <c r="AQ18" s="17">
        <f>IF(AQ$3="","",IF(AND(DivAs=2,AQ$2&lt;ExDivPct),ExDivTree!AQ18+DivAmount*EXP(IntRate*(AQ$2-ExDivPct)),ExDivTree!AQ18))</f>
        <v>128.0547686399</v>
      </c>
      <c r="AR18" s="17">
        <f>IF(AR$3="","",IF(AND(DivAs=2,AR$2&lt;ExDivPct),ExDivTree!AR18+DivAmount*EXP(IntRate*(AR$2-ExDivPct)),ExDivTree!AR18))</f>
        <v>131.9313143448</v>
      </c>
      <c r="AS18" s="17">
        <f>IF(AS$3="","",IF(AND(DivAs=2,AS$2&lt;ExDivPct),ExDivTree!AS18+DivAmount*EXP(IntRate*(AS$2-ExDivPct)),ExDivTree!AS18))</f>
        <v>135.92521301330001</v>
      </c>
      <c r="AT18" s="17">
        <f>IF(AT$3="","",IF(AND(DivAs=2,AT$2&lt;ExDivPct),ExDivTree!AT18+DivAmount*EXP(IntRate*(AT$2-ExDivPct)),ExDivTree!AT18))</f>
        <v>140.0400172201</v>
      </c>
      <c r="AU18" s="17">
        <f>IF(AU$3="","",IF(AND(DivAs=2,AU$2&lt;ExDivPct),ExDivTree!AU18+DivAmount*EXP(IntRate*(AU$2-ExDivPct)),ExDivTree!AU18))</f>
        <v>144.2793870854</v>
      </c>
      <c r="AV18" s="17">
        <f>IF(AV$3="","",IF(AND(DivAs=2,AV$2&lt;ExDivPct),ExDivTree!AV18+DivAmount*EXP(IntRate*(AV$2-ExDivPct)),ExDivTree!AV18))</f>
        <v>148.6470935305</v>
      </c>
      <c r="AW18" s="17">
        <f>IF(AW$3="","",IF(AND(DivAs=2,AW$2&lt;ExDivPct),ExDivTree!AW18+DivAmount*EXP(IntRate*(AW$2-ExDivPct)),ExDivTree!AW18))</f>
        <v>153.14702163230001</v>
      </c>
      <c r="AX18" s="17">
        <f>IF(AX$3="","",IF(AND(DivAs=2,AX$2&lt;ExDivPct),ExDivTree!AX18+DivAmount*EXP(IntRate*(AX$2-ExDivPct)),ExDivTree!AX18))</f>
        <v>157.7831740789</v>
      </c>
      <c r="AY18" s="17">
        <f>IF(AY$3="","",IF(AND(DivAs=2,AY$2&lt;ExDivPct),ExDivTree!AY18+DivAmount*EXP(IntRate*(AY$2-ExDivPct)),ExDivTree!AY18))</f>
        <v>162.55967473000001</v>
      </c>
      <c r="AZ18" s="17">
        <f>IF(AZ$3="","",IF(AND(DivAs=2,AZ$2&lt;ExDivPct),ExDivTree!AZ18+DivAmount*EXP(IntRate*(AZ$2-ExDivPct)),ExDivTree!AZ18))</f>
        <v>167.48077228509999</v>
      </c>
      <c r="BA18" s="17">
        <f>IF(BA$3="","",IF(AND(DivAs=2,BA$2&lt;ExDivPct),ExDivTree!BA18+DivAmount*EXP(IntRate*(BA$2-ExDivPct)),ExDivTree!BA18))</f>
        <v>172.55084406270001</v>
      </c>
      <c r="BB18" s="17">
        <f>IF(BB$3="","",IF(AND(DivAs=2,BB$2&lt;ExDivPct),ExDivTree!BB18+DivAmount*EXP(IntRate*(BB$2-ExDivPct)),ExDivTree!BB18))</f>
        <v>177.77439989379999</v>
      </c>
      <c r="BC18" s="17">
        <f>IF(BC$3="","",IF(AND(DivAs=2,BC$2&lt;ExDivPct),ExDivTree!BC18+DivAmount*EXP(IntRate*(BC$2-ExDivPct)),ExDivTree!BC18))</f>
        <v>183.15608613379999</v>
      </c>
      <c r="BD18" s="17">
        <f>IF(BD$3="","",IF(AND(DivAs=2,BD$2&lt;ExDivPct),ExDivTree!BD18+DivAmount*EXP(IntRate*(BD$2-ExDivPct)),ExDivTree!BD18))</f>
        <v>188.70068979499999</v>
      </c>
      <c r="BE18" s="17">
        <f>IF(BE$3="","",IF(AND(DivAs=2,BE$2&lt;ExDivPct),ExDivTree!BE18+DivAmount*EXP(IntRate*(BE$2-ExDivPct)),ExDivTree!BE18))</f>
        <v>194.41314280489999</v>
      </c>
      <c r="BF18" s="17">
        <f>IF(BF$3="","",IF(AND(DivAs=2,BF$2&lt;ExDivPct),ExDivTree!BF18+DivAmount*EXP(IntRate*(BF$2-ExDivPct)),ExDivTree!BF18))</f>
        <v>200.29852639289999</v>
      </c>
      <c r="BG18" s="17">
        <f>IF(BG$3="","",IF(AND(DivAs=2,BG$2&lt;ExDivPct),ExDivTree!BG18+DivAmount*EXP(IntRate*(BG$2-ExDivPct)),ExDivTree!BG18))</f>
        <v>206.3620756105</v>
      </c>
      <c r="BH18" s="17">
        <f>IF(BH$3="","",IF(AND(DivAs=2,BH$2&lt;ExDivPct),ExDivTree!BH18+DivAmount*EXP(IntRate*(BH$2-ExDivPct)),ExDivTree!BH18))</f>
        <v>212.6091839874</v>
      </c>
      <c r="BI18" s="17">
        <f>IF(BI$3="","",IF(AND(DivAs=2,BI$2&lt;ExDivPct),ExDivTree!BI18+DivAmount*EXP(IntRate*(BI$2-ExDivPct)),ExDivTree!BI18))</f>
        <v>219.04540832929999</v>
      </c>
      <c r="BJ18" s="17">
        <f>IF(BJ$3="","",IF(AND(DivAs=2,BJ$2&lt;ExDivPct),ExDivTree!BJ18+DivAmount*EXP(IntRate*(BJ$2-ExDivPct)),ExDivTree!BJ18))</f>
        <v>225.6764736607</v>
      </c>
      <c r="BK18" s="17">
        <f>IF(BK$3="","",IF(AND(DivAs=2,BK$2&lt;ExDivPct),ExDivTree!BK18+DivAmount*EXP(IntRate*(BK$2-ExDivPct)),ExDivTree!BK18))</f>
        <v>232.50827831719999</v>
      </c>
      <c r="BL18" s="17">
        <f>IF(BL$3="","",IF(AND(DivAs=2,BL$2&lt;ExDivPct),ExDivTree!BL18+DivAmount*EXP(IntRate*(BL$2-ExDivPct)),ExDivTree!BL18))</f>
        <v>239.5468991921</v>
      </c>
      <c r="BM18" s="17">
        <f>IF(BM$3="","",IF(AND(DivAs=2,BM$2&lt;ExDivPct),ExDivTree!BM18+DivAmount*EXP(IntRate*(BM$2-ExDivPct)),ExDivTree!BM18))</f>
        <v>246.7985971418</v>
      </c>
      <c r="BN18" s="17">
        <f>IF(BN$3="","",IF(AND(DivAs=2,BN$2&lt;ExDivPct),ExDivTree!BN18+DivAmount*EXP(IntRate*(BN$2-ExDivPct)),ExDivTree!BN18))</f>
        <v>254.2698225549</v>
      </c>
      <c r="BO18" s="17">
        <f>IF(BO$3="","",IF(AND(DivAs=2,BO$2&lt;ExDivPct),ExDivTree!BO18+DivAmount*EXP(IntRate*(BO$2-ExDivPct)),ExDivTree!BO18))</f>
        <v>261.96722108979998</v>
      </c>
      <c r="BP18" s="17">
        <f>IF(BP$3="","",IF(AND(DivAs=2,BP$2&lt;ExDivPct),ExDivTree!BP18+DivAmount*EXP(IntRate*(BP$2-ExDivPct)),ExDivTree!BP18))</f>
        <v>269.89763958600003</v>
      </c>
      <c r="BQ18" s="17">
        <f>IF(BQ$3="","",IF(AND(DivAs=2,BQ$2&lt;ExDivPct),ExDivTree!BQ18+DivAmount*EXP(IntRate*(BQ$2-ExDivPct)),ExDivTree!BQ18))</f>
        <v>278.06813215429997</v>
      </c>
      <c r="BR18" s="17">
        <f>IF(BR$3="","",IF(AND(DivAs=2,BR$2&lt;ExDivPct),ExDivTree!BR18+DivAmount*EXP(IntRate*(BR$2-ExDivPct)),ExDivTree!BR18))</f>
        <v>286.48596645160001</v>
      </c>
      <c r="BS18" s="17">
        <f>IF(BS$3="","",IF(AND(DivAs=2,BS$2&lt;ExDivPct),ExDivTree!BS18+DivAmount*EXP(IntRate*(BS$2-ExDivPct)),ExDivTree!BS18))</f>
        <v>295.15863014519999</v>
      </c>
      <c r="BT18" s="17">
        <f>IF(BT$3="","",IF(AND(DivAs=2,BT$2&lt;ExDivPct),ExDivTree!BT18+DivAmount*EXP(IntRate*(BT$2-ExDivPct)),ExDivTree!BT18))</f>
        <v>304.09383757339998</v>
      </c>
      <c r="BU18" s="17">
        <f>IF(BU$3="","",IF(AND(DivAs=2,BU$2&lt;ExDivPct),ExDivTree!BU18+DivAmount*EXP(IntRate*(BU$2-ExDivPct)),ExDivTree!BU18))</f>
        <v>313.29953660720003</v>
      </c>
      <c r="BV18" s="17">
        <f>IF(BV$3="","",IF(AND(DivAs=2,BV$2&lt;ExDivPct),ExDivTree!BV18+DivAmount*EXP(IntRate*(BV$2-ExDivPct)),ExDivTree!BV18))</f>
        <v>322.78391572010003</v>
      </c>
      <c r="BW18" s="17">
        <f>IF(BW$3="","",IF(AND(DivAs=2,BW$2&lt;ExDivPct),ExDivTree!BW18+DivAmount*EXP(IntRate*(BW$2-ExDivPct)),ExDivTree!BW18))</f>
        <v>332.55541127160001</v>
      </c>
      <c r="BX18" s="17">
        <f>IF(BX$3="","",IF(AND(DivAs=2,BX$2&lt;ExDivPct),ExDivTree!BX18+DivAmount*EXP(IntRate*(BX$2-ExDivPct)),ExDivTree!BX18))</f>
        <v>342.62271501129999</v>
      </c>
      <c r="BY18" s="17">
        <f>IF(BY$3="","",IF(AND(DivAs=2,BY$2&lt;ExDivPct),ExDivTree!BY18+DivAmount*EXP(IntRate*(BY$2-ExDivPct)),ExDivTree!BY18))</f>
        <v>352.9947818105</v>
      </c>
      <c r="BZ18" s="17">
        <f>IF(BZ$3="","",IF(AND(DivAs=2,BZ$2&lt;ExDivPct),ExDivTree!BZ18+DivAmount*EXP(IntRate*(BZ$2-ExDivPct)),ExDivTree!BZ18))</f>
        <v>363.68083762729998</v>
      </c>
      <c r="CA18" s="17">
        <f>IF(CA$3="","",IF(AND(DivAs=2,CA$2&lt;ExDivPct),ExDivTree!CA18+DivAmount*EXP(IntRate*(CA$2-ExDivPct)),ExDivTree!CA18))</f>
        <v>374.69038771319998</v>
      </c>
      <c r="CB18" s="17">
        <f>IF(CB$3="","",IF(AND(DivAs=2,CB$2&lt;ExDivPct),ExDivTree!CB18+DivAmount*EXP(IntRate*(CB$2-ExDivPct)),ExDivTree!CB18))</f>
        <v>386.03322506789999</v>
      </c>
      <c r="CC18" s="17">
        <f>IF(CC$3="","",IF(AND(DivAs=2,CC$2&lt;ExDivPct),ExDivTree!CC18+DivAmount*EXP(IntRate*(CC$2-ExDivPct)),ExDivTree!CC18))</f>
        <v>397.71943915029999</v>
      </c>
      <c r="CD18" s="17">
        <f>IF(CD$3="","",IF(AND(DivAs=2,CD$2&lt;ExDivPct),ExDivTree!CD18+DivAmount*EXP(IntRate*(CD$2-ExDivPct)),ExDivTree!CD18))</f>
        <v>409.75942485320002</v>
      </c>
      <c r="CE18" s="17">
        <f>IF(CE$3="","",IF(AND(DivAs=2,CE$2&lt;ExDivPct),ExDivTree!CE18+DivAmount*EXP(IntRate*(CE$2-ExDivPct)),ExDivTree!CE18))</f>
        <v>422.16389174919999</v>
      </c>
      <c r="CF18" s="17">
        <f>IF(CF$3="","",IF(AND(DivAs=2,CF$2&lt;ExDivPct),ExDivTree!CF18+DivAmount*EXP(IntRate*(CF$2-ExDivPct)),ExDivTree!CF18))</f>
        <v>434.94387361730003</v>
      </c>
      <c r="CG18" s="17">
        <f>IF(CG$3="","",IF(AND(DivAs=2,CG$2&lt;ExDivPct),ExDivTree!CG18+DivAmount*EXP(IntRate*(CG$2-ExDivPct)),ExDivTree!CG18))</f>
        <v>448.11073825710002</v>
      </c>
      <c r="CH18" s="17">
        <f>IF(CH$3="","",IF(AND(DivAs=2,CH$2&lt;ExDivPct),ExDivTree!CH18+DivAmount*EXP(IntRate*(CH$2-ExDivPct)),ExDivTree!CH18))</f>
        <v>461.67619760060001</v>
      </c>
      <c r="CI18" s="17">
        <f>IF(CI$3="","",IF(AND(DivAs=2,CI$2&lt;ExDivPct),ExDivTree!CI18+DivAmount*EXP(IntRate*(CI$2-ExDivPct)),ExDivTree!CI18))</f>
        <v>475.65231813010001</v>
      </c>
      <c r="CJ18" s="17">
        <f>IF(CJ$3="","",IF(AND(DivAs=2,CJ$2&lt;ExDivPct),ExDivTree!CJ18+DivAmount*EXP(IntRate*(CJ$2-ExDivPct)),ExDivTree!CJ18))</f>
        <v>490.05153161099997</v>
      </c>
      <c r="CK18" s="17">
        <f>IF(CK$3="","",IF(AND(DivAs=2,CK$2&lt;ExDivPct),ExDivTree!CK18+DivAmount*EXP(IntRate*(CK$2-ExDivPct)),ExDivTree!CK18))</f>
        <v>504.88664615020002</v>
      </c>
      <c r="CL18" s="17">
        <f>IF(CL$3="","",IF(AND(DivAs=2,CL$2&lt;ExDivPct),ExDivTree!CL18+DivAmount*EXP(IntRate*(CL$2-ExDivPct)),ExDivTree!CL18))</f>
        <v>520.1708575888</v>
      </c>
      <c r="CM18" s="17">
        <f>IF(CM$3="","",IF(AND(DivAs=2,CM$2&lt;ExDivPct),ExDivTree!CM18+DivAmount*EXP(IntRate*(CM$2-ExDivPct)),ExDivTree!CM18))</f>
        <v>535.91776123980003</v>
      </c>
      <c r="CN18" s="17">
        <f>IF(CN$3="","",IF(AND(DivAs=2,CN$2&lt;ExDivPct),ExDivTree!CN18+DivAmount*EXP(IntRate*(CN$2-ExDivPct)),ExDivTree!CN18))</f>
        <v>552.14136398109997</v>
      </c>
      <c r="CO18" s="17">
        <f>IF(CO$3="","",IF(AND(DivAs=2,CO$2&lt;ExDivPct),ExDivTree!CO18+DivAmount*EXP(IntRate*(CO$2-ExDivPct)),ExDivTree!CO18))</f>
        <v>568.85609671459997</v>
      </c>
      <c r="CP18" s="17">
        <f>IF(CP$3="","",IF(AND(DivAs=2,CP$2&lt;ExDivPct),ExDivTree!CP18+DivAmount*EXP(IntRate*(CP$2-ExDivPct)),ExDivTree!CP18))</f>
        <v>586.07682720260004</v>
      </c>
      <c r="CQ18" s="17">
        <f>IF(CQ$3="","",IF(AND(DivAs=2,CQ$2&lt;ExDivPct),ExDivTree!CQ18+DivAmount*EXP(IntRate*(CQ$2-ExDivPct)),ExDivTree!CQ18))</f>
        <v>603.81887329259996</v>
      </c>
      <c r="CR18" s="17">
        <f>IF(CR$3="","",IF(AND(DivAs=2,CR$2&lt;ExDivPct),ExDivTree!CR18+DivAmount*EXP(IntRate*(CR$2-ExDivPct)),ExDivTree!CR18))</f>
        <v>622.09801654269995</v>
      </c>
      <c r="CS18" s="17">
        <f>IF(CS$3="","",IF(AND(DivAs=2,CS$2&lt;ExDivPct),ExDivTree!CS18+DivAmount*EXP(IntRate*(CS$2-ExDivPct)),ExDivTree!CS18))</f>
        <v>640.930516259</v>
      </c>
      <c r="CT18" s="17">
        <f>IF(CT$3="","",IF(AND(DivAs=2,CT$2&lt;ExDivPct),ExDivTree!CT18+DivAmount*EXP(IntRate*(CT$2-ExDivPct)),ExDivTree!CT18))</f>
        <v>660.33312395849998</v>
      </c>
      <c r="CU18" s="17">
        <f>IF(CU$3="","",IF(AND(DivAs=2,CU$2&lt;ExDivPct),ExDivTree!CU18+DivAmount*EXP(IntRate*(CU$2-ExDivPct)),ExDivTree!CU18))</f>
        <v>680.32309826949995</v>
      </c>
      <c r="CV18" s="17">
        <f>IF(CV$3="","",IF(AND(DivAs=2,CV$2&lt;ExDivPct),ExDivTree!CV18+DivAmount*EXP(IntRate*(CV$2-ExDivPct)),ExDivTree!CV18))</f>
        <v>700.91822028319996</v>
      </c>
      <c r="CW18" s="17">
        <f>IF(CW$3="","",IF(AND(DivAs=2,CW$2&lt;ExDivPct),ExDivTree!CW18+DivAmount*EXP(IntRate*(CW$2-ExDivPct)),ExDivTree!CW18))</f>
        <v>722.13680936979995</v>
      </c>
      <c r="CX18" s="17">
        <f>IF(CX$3="","",IF(AND(DivAs=2,CX$2&lt;ExDivPct),ExDivTree!CX18+DivAmount*EXP(IntRate*(CX$2-ExDivPct)),ExDivTree!CX18))</f>
        <v>743.99773947400001</v>
      </c>
      <c r="CY18" s="17">
        <f>IF(CY$3="","",IF(AND(DivAs=2,CY$2&lt;ExDivPct),ExDivTree!CY18+DivAmount*EXP(IntRate*(CY$2-ExDivPct)),ExDivTree!CY18))</f>
        <v>766.52045590290004</v>
      </c>
      <c r="CZ18" s="17">
        <f>IF(CZ$3="","",IF(AND(DivAs=2,CZ$2&lt;ExDivPct),ExDivTree!CZ18+DivAmount*EXP(IntRate*(CZ$2-ExDivPct)),ExDivTree!CZ18))</f>
        <v>789.7249926229</v>
      </c>
      <c r="DA18" s="17">
        <f>IF(DA$3="","",IF(AND(DivAs=2,DA$2&lt;ExDivPct),ExDivTree!DA18+DivAmount*EXP(IntRate*(DA$2-ExDivPct)),ExDivTree!DA18))</f>
        <v>813.63199008000004</v>
      </c>
      <c r="DB18" s="17">
        <f>IF(DB$3="","",IF(AND(DivAs=2,DB$2&lt;ExDivPct),ExDivTree!DB18+DivAmount*EXP(IntRate*(DB$2-ExDivPct)),ExDivTree!DB18))</f>
        <v>838.26271355910001</v>
      </c>
    </row>
    <row r="19" spans="1:106" x14ac:dyDescent="0.2">
      <c r="A19">
        <f>ExDivTree!A19</f>
        <v>2.9752541402731226E+17</v>
      </c>
      <c r="B19" s="71">
        <f>ExDivTree!B19</f>
        <v>1.1735308371792093E-13</v>
      </c>
      <c r="C19" s="71">
        <f>ExDivTree!C19</f>
        <v>1.4160150951216053E-13</v>
      </c>
      <c r="D19" s="177">
        <f>ExDivTree!D19</f>
        <v>15</v>
      </c>
      <c r="T19" s="17">
        <f>IF(T$3="","",IF(AND(DivAs=2,T$2&lt;ExDivPct),ExDivTree!T19+DivAmount*EXP(IntRate*(T$2-ExDivPct)),ExDivTree!T19))</f>
        <v>60.756771289699998</v>
      </c>
      <c r="U19" s="17">
        <f>IF(U$3="","",IF(AND(DivAs=2,U$2&lt;ExDivPct),ExDivTree!U19+DivAmount*EXP(IntRate*(U$2-ExDivPct)),ExDivTree!U19))</f>
        <v>62.596034312</v>
      </c>
      <c r="V19" s="17">
        <f>IF(V$3="","",IF(AND(DivAs=2,V$2&lt;ExDivPct),ExDivTree!V19+DivAmount*EXP(IntRate*(V$2-ExDivPct)),ExDivTree!V19))</f>
        <v>64.490976535000001</v>
      </c>
      <c r="W19" s="17">
        <f>IF(W$3="","",IF(AND(DivAs=2,W$2&lt;ExDivPct),ExDivTree!W19+DivAmount*EXP(IntRate*(W$2-ExDivPct)),ExDivTree!W19))</f>
        <v>66.443283510800001</v>
      </c>
      <c r="X19" s="17">
        <f>IF(X$3="","",IF(AND(DivAs=2,X$2&lt;ExDivPct),ExDivTree!X19+DivAmount*EXP(IntRate*(X$2-ExDivPct)),ExDivTree!X19))</f>
        <v>68.454691817200001</v>
      </c>
      <c r="Y19" s="17">
        <f>IF(Y$3="","",IF(AND(DivAs=2,Y$2&lt;ExDivPct),ExDivTree!Y19+DivAmount*EXP(IntRate*(Y$2-ExDivPct)),ExDivTree!Y19))</f>
        <v>70.526990602799998</v>
      </c>
      <c r="Z19" s="17">
        <f>IF(Z$3="","",IF(AND(DivAs=2,Z$2&lt;ExDivPct),ExDivTree!Z19+DivAmount*EXP(IntRate*(Z$2-ExDivPct)),ExDivTree!Z19))</f>
        <v>72.662023178400005</v>
      </c>
      <c r="AA19" s="17">
        <f>IF(AA$3="","",IF(AND(DivAs=2,AA$2&lt;ExDivPct),ExDivTree!AA19+DivAmount*EXP(IntRate*(AA$2-ExDivPct)),ExDivTree!AA19))</f>
        <v>74.861688656400005</v>
      </c>
      <c r="AB19" s="17">
        <f>IF(AB$3="","",IF(AND(DivAs=2,AB$2&lt;ExDivPct),ExDivTree!AB19+DivAmount*EXP(IntRate*(AB$2-ExDivPct)),ExDivTree!AB19))</f>
        <v>77.127943640200002</v>
      </c>
      <c r="AC19" s="17">
        <f>IF(AC$3="","",IF(AND(DivAs=2,AC$2&lt;ExDivPct),ExDivTree!AC19+DivAmount*EXP(IntRate*(AC$2-ExDivPct)),ExDivTree!AC19))</f>
        <v>79.462803964599999</v>
      </c>
      <c r="AD19" s="17">
        <f>IF(AD$3="","",IF(AND(DivAs=2,AD$2&lt;ExDivPct),ExDivTree!AD19+DivAmount*EXP(IntRate*(AD$2-ExDivPct)),ExDivTree!AD19))</f>
        <v>81.868346489000004</v>
      </c>
      <c r="AE19" s="17">
        <f>IF(AE$3="","",IF(AND(DivAs=2,AE$2&lt;ExDivPct),ExDivTree!AE19+DivAmount*EXP(IntRate*(AE$2-ExDivPct)),ExDivTree!AE19))</f>
        <v>84.346710944500003</v>
      </c>
      <c r="AF19" s="17">
        <f>IF(AF$3="","",IF(AND(DivAs=2,AF$2&lt;ExDivPct),ExDivTree!AF19+DivAmount*EXP(IntRate*(AF$2-ExDivPct)),ExDivTree!AF19))</f>
        <v>86.900101837400001</v>
      </c>
      <c r="AG19" s="17">
        <f>IF(AG$3="","",IF(AND(DivAs=2,AG$2&lt;ExDivPct),ExDivTree!AG19+DivAmount*EXP(IntRate*(AG$2-ExDivPct)),ExDivTree!AG19))</f>
        <v>89.530790410099996</v>
      </c>
      <c r="AH19" s="17">
        <f>IF(AH$3="","",IF(AND(DivAs=2,AH$2&lt;ExDivPct),ExDivTree!AH19+DivAmount*EXP(IntRate*(AH$2-ExDivPct)),ExDivTree!AH19))</f>
        <v>92.241116661199996</v>
      </c>
      <c r="AI19" s="17">
        <f>IF(AI$3="","",IF(AND(DivAs=2,AI$2&lt;ExDivPct),ExDivTree!AI19+DivAmount*EXP(IntRate*(AI$2-ExDivPct)),ExDivTree!AI19))</f>
        <v>95.033491427200005</v>
      </c>
      <c r="AJ19" s="17">
        <f>IF(AJ$3="","",IF(AND(DivAs=2,AJ$2&lt;ExDivPct),ExDivTree!AJ19+DivAmount*EXP(IntRate*(AJ$2-ExDivPct)),ExDivTree!AJ19))</f>
        <v>97.910398526600005</v>
      </c>
      <c r="AK19" s="17">
        <f>IF(AK$3="","",IF(AND(DivAs=2,AK$2&lt;ExDivPct),ExDivTree!AK19+DivAmount*EXP(IntRate*(AK$2-ExDivPct)),ExDivTree!AK19))</f>
        <v>100.8743969697</v>
      </c>
      <c r="AL19" s="17">
        <f>IF(AL$3="","",IF(AND(DivAs=2,AL$2&lt;ExDivPct),ExDivTree!AL19+DivAmount*EXP(IntRate*(AL$2-ExDivPct)),ExDivTree!AL19))</f>
        <v>103.9281232344</v>
      </c>
      <c r="AM19" s="17">
        <f>IF(AM$3="","",IF(AND(DivAs=2,AM$2&lt;ExDivPct),ExDivTree!AM19+DivAmount*EXP(IntRate*(AM$2-ExDivPct)),ExDivTree!AM19))</f>
        <v>107.0742936115</v>
      </c>
      <c r="AN19" s="17">
        <f>IF(AN$3="","",IF(AND(DivAs=2,AN$2&lt;ExDivPct),ExDivTree!AN19+DivAmount*EXP(IntRate*(AN$2-ExDivPct)),ExDivTree!AN19))</f>
        <v>110.31570662110001</v>
      </c>
      <c r="AO19" s="17">
        <f>IF(AO$3="","",IF(AND(DivAs=2,AO$2&lt;ExDivPct),ExDivTree!AO19+DivAmount*EXP(IntRate*(AO$2-ExDivPct)),ExDivTree!AO19))</f>
        <v>113.6552455015</v>
      </c>
      <c r="AP19" s="17">
        <f>IF(AP$3="","",IF(AND(DivAs=2,AP$2&lt;ExDivPct),ExDivTree!AP19+DivAmount*EXP(IntRate*(AP$2-ExDivPct)),ExDivTree!AP19))</f>
        <v>117.09588077399999</v>
      </c>
      <c r="AQ19" s="17">
        <f>IF(AQ$3="","",IF(AND(DivAs=2,AQ$2&lt;ExDivPct),ExDivTree!AQ19+DivAmount*EXP(IntRate*(AQ$2-ExDivPct)),ExDivTree!AQ19))</f>
        <v>120.6406728852</v>
      </c>
      <c r="AR19" s="17">
        <f>IF(AR$3="","",IF(AND(DivAs=2,AR$2&lt;ExDivPct),ExDivTree!AR19+DivAmount*EXP(IntRate*(AR$2-ExDivPct)),ExDivTree!AR19))</f>
        <v>124.2927749294</v>
      </c>
      <c r="AS19" s="17">
        <f>IF(AS$3="","",IF(AND(DivAs=2,AS$2&lt;ExDivPct),ExDivTree!AS19+DivAmount*EXP(IntRate*(AS$2-ExDivPct)),ExDivTree!AS19))</f>
        <v>128.05543545290001</v>
      </c>
      <c r="AT19" s="17">
        <f>IF(AT$3="","",IF(AND(DivAs=2,AT$2&lt;ExDivPct),ExDivTree!AT19+DivAmount*EXP(IntRate*(AT$2-ExDivPct)),ExDivTree!AT19))</f>
        <v>131.93200134400001</v>
      </c>
      <c r="AU19" s="17">
        <f>IF(AU$3="","",IF(AND(DivAs=2,AU$2&lt;ExDivPct),ExDivTree!AU19+DivAmount*EXP(IntRate*(AU$2-ExDivPct)),ExDivTree!AU19))</f>
        <v>135.9259208098</v>
      </c>
      <c r="AV19" s="17">
        <f>IF(AV$3="","",IF(AND(DivAs=2,AV$2&lt;ExDivPct),ExDivTree!AV19+DivAmount*EXP(IntRate*(AV$2-ExDivPct)),ExDivTree!AV19))</f>
        <v>140.0407464434</v>
      </c>
      <c r="AW19" s="17">
        <f>IF(AW$3="","",IF(AND(DivAs=2,AW$2&lt;ExDivPct),ExDivTree!AW19+DivAmount*EXP(IntRate*(AW$2-ExDivPct)),ExDivTree!AW19))</f>
        <v>144.28013838410001</v>
      </c>
      <c r="AX19" s="17">
        <f>IF(AX$3="","",IF(AND(DivAs=2,AX$2&lt;ExDivPct),ExDivTree!AX19+DivAmount*EXP(IntRate*(AX$2-ExDivPct)),ExDivTree!AX19))</f>
        <v>148.64786757300001</v>
      </c>
      <c r="AY19" s="17">
        <f>IF(AY$3="","",IF(AND(DivAs=2,AY$2&lt;ExDivPct),ExDivTree!AY19+DivAmount*EXP(IntRate*(AY$2-ExDivPct)),ExDivTree!AY19))</f>
        <v>153.14781910709999</v>
      </c>
      <c r="AZ19" s="17">
        <f>IF(AZ$3="","",IF(AND(DivAs=2,AZ$2&lt;ExDivPct),ExDivTree!AZ19+DivAmount*EXP(IntRate*(AZ$2-ExDivPct)),ExDivTree!AZ19))</f>
        <v>157.78399569530001</v>
      </c>
      <c r="BA19" s="17">
        <f>IF(BA$3="","",IF(AND(DivAs=2,BA$2&lt;ExDivPct),ExDivTree!BA19+DivAmount*EXP(IntRate*(BA$2-ExDivPct)),ExDivTree!BA19))</f>
        <v>162.56052121889999</v>
      </c>
      <c r="BB19" s="17">
        <f>IF(BB$3="","",IF(AND(DivAs=2,BB$2&lt;ExDivPct),ExDivTree!BB19+DivAmount*EXP(IntRate*(BB$2-ExDivPct)),ExDivTree!BB19))</f>
        <v>167.48164439940001</v>
      </c>
      <c r="BC19" s="17">
        <f>IF(BC$3="","",IF(AND(DivAs=2,BC$2&lt;ExDivPct),ExDivTree!BC19+DivAmount*EXP(IntRate*(BC$2-ExDivPct)),ExDivTree!BC19))</f>
        <v>172.5517425781</v>
      </c>
      <c r="BD19" s="17">
        <f>IF(BD$3="","",IF(AND(DivAs=2,BD$2&lt;ExDivPct),ExDivTree!BD19+DivAmount*EXP(IntRate*(BD$2-ExDivPct)),ExDivTree!BD19))</f>
        <v>177.7753256096</v>
      </c>
      <c r="BE19" s="17">
        <f>IF(BE$3="","",IF(AND(DivAs=2,BE$2&lt;ExDivPct),ExDivTree!BE19+DivAmount*EXP(IntRate*(BE$2-ExDivPct)),ExDivTree!BE19))</f>
        <v>183.15703987340001</v>
      </c>
      <c r="BF19" s="17">
        <f>IF(BF$3="","",IF(AND(DivAs=2,BF$2&lt;ExDivPct),ExDivTree!BF19+DivAmount*EXP(IntRate*(BF$2-ExDivPct)),ExDivTree!BF19))</f>
        <v>188.7016724067</v>
      </c>
      <c r="BG19" s="17">
        <f>IF(BG$3="","",IF(AND(DivAs=2,BG$2&lt;ExDivPct),ExDivTree!BG19+DivAmount*EXP(IntRate*(BG$2-ExDivPct)),ExDivTree!BG19))</f>
        <v>194.41415516270001</v>
      </c>
      <c r="BH19" s="17">
        <f>IF(BH$3="","",IF(AND(DivAs=2,BH$2&lt;ExDivPct),ExDivTree!BH19+DivAmount*EXP(IntRate*(BH$2-ExDivPct)),ExDivTree!BH19))</f>
        <v>200.29956939740001</v>
      </c>
      <c r="BI19" s="17">
        <f>IF(BI$3="","",IF(AND(DivAs=2,BI$2&lt;ExDivPct),ExDivTree!BI19+DivAmount*EXP(IntRate*(BI$2-ExDivPct)),ExDivTree!BI19))</f>
        <v>206.36315018939999</v>
      </c>
      <c r="BJ19" s="17">
        <f>IF(BJ$3="","",IF(AND(DivAs=2,BJ$2&lt;ExDivPct),ExDivTree!BJ19+DivAmount*EXP(IntRate*(BJ$2-ExDivPct)),ExDivTree!BJ19))</f>
        <v>212.61029109649999</v>
      </c>
      <c r="BK19" s="17">
        <f>IF(BK$3="","",IF(AND(DivAs=2,BK$2&lt;ExDivPct),ExDivTree!BK19+DivAmount*EXP(IntRate*(BK$2-ExDivPct)),ExDivTree!BK19))</f>
        <v>219.04654895339999</v>
      </c>
      <c r="BL19" s="17">
        <f>IF(BL$3="","",IF(AND(DivAs=2,BL$2&lt;ExDivPct),ExDivTree!BL19+DivAmount*EXP(IntRate*(BL$2-ExDivPct)),ExDivTree!BL19))</f>
        <v>225.67764881439999</v>
      </c>
      <c r="BM19" s="17">
        <f>IF(BM$3="","",IF(AND(DivAs=2,BM$2&lt;ExDivPct),ExDivTree!BM19+DivAmount*EXP(IntRate*(BM$2-ExDivPct)),ExDivTree!BM19))</f>
        <v>232.5094890458</v>
      </c>
      <c r="BN19" s="17">
        <f>IF(BN$3="","",IF(AND(DivAs=2,BN$2&lt;ExDivPct),ExDivTree!BN19+DivAmount*EXP(IntRate*(BN$2-ExDivPct)),ExDivTree!BN19))</f>
        <v>239.5481465725</v>
      </c>
      <c r="BO19" s="17">
        <f>IF(BO$3="","",IF(AND(DivAs=2,BO$2&lt;ExDivPct),ExDivTree!BO19+DivAmount*EXP(IntRate*(BO$2-ExDivPct)),ExDivTree!BO19))</f>
        <v>246.7998822836</v>
      </c>
      <c r="BP19" s="17">
        <f>IF(BP$3="","",IF(AND(DivAs=2,BP$2&lt;ExDivPct),ExDivTree!BP19+DivAmount*EXP(IntRate*(BP$2-ExDivPct)),ExDivTree!BP19))</f>
        <v>254.27114660129999</v>
      </c>
      <c r="BQ19" s="17">
        <f>IF(BQ$3="","",IF(AND(DivAs=2,BQ$2&lt;ExDivPct),ExDivTree!BQ19+DivAmount*EXP(IntRate*(BQ$2-ExDivPct)),ExDivTree!BQ19))</f>
        <v>261.96858521849998</v>
      </c>
      <c r="BR19" s="17">
        <f>IF(BR$3="","",IF(AND(DivAs=2,BR$2&lt;ExDivPct),ExDivTree!BR19+DivAmount*EXP(IntRate*(BR$2-ExDivPct)),ExDivTree!BR19))</f>
        <v>269.89904501040002</v>
      </c>
      <c r="BS19" s="17">
        <f>IF(BS$3="","",IF(AND(DivAs=2,BS$2&lt;ExDivPct),ExDivTree!BS19+DivAmount*EXP(IntRate*(BS$2-ExDivPct)),ExDivTree!BS19))</f>
        <v>278.06958012450002</v>
      </c>
      <c r="BT19" s="17">
        <f>IF(BT$3="","",IF(AND(DivAs=2,BT$2&lt;ExDivPct),ExDivTree!BT19+DivAmount*EXP(IntRate*(BT$2-ExDivPct)),ExDivTree!BT19))</f>
        <v>286.48745825549997</v>
      </c>
      <c r="BU19" s="17">
        <f>IF(BU$3="","",IF(AND(DivAs=2,BU$2&lt;ExDivPct),ExDivTree!BU19+DivAmount*EXP(IntRate*(BU$2-ExDivPct)),ExDivTree!BU19))</f>
        <v>295.1601671098</v>
      </c>
      <c r="BV19" s="17">
        <f>IF(BV$3="","",IF(AND(DivAs=2,BV$2&lt;ExDivPct),ExDivTree!BV19+DivAmount*EXP(IntRate*(BV$2-ExDivPct)),ExDivTree!BV19))</f>
        <v>304.0954210658</v>
      </c>
      <c r="BW19" s="17">
        <f>IF(BW$3="","",IF(AND(DivAs=2,BW$2&lt;ExDivPct),ExDivTree!BW19+DivAmount*EXP(IntRate*(BW$2-ExDivPct)),ExDivTree!BW19))</f>
        <v>313.30116803599998</v>
      </c>
      <c r="BX19" s="17">
        <f>IF(BX$3="","",IF(AND(DivAs=2,BX$2&lt;ExDivPct),ExDivTree!BX19+DivAmount*EXP(IntRate*(BX$2-ExDivPct)),ExDivTree!BX19))</f>
        <v>322.78559653640002</v>
      </c>
      <c r="BY19" s="17">
        <f>IF(BY$3="","",IF(AND(DivAs=2,BY$2&lt;ExDivPct),ExDivTree!BY19+DivAmount*EXP(IntRate*(BY$2-ExDivPct)),ExDivTree!BY19))</f>
        <v>332.55714297050002</v>
      </c>
      <c r="BZ19" s="17">
        <f>IF(BZ$3="","",IF(AND(DivAs=2,BZ$2&lt;ExDivPct),ExDivTree!BZ19+DivAmount*EXP(IntRate*(BZ$2-ExDivPct)),ExDivTree!BZ19))</f>
        <v>342.6244991332</v>
      </c>
      <c r="CA19" s="17">
        <f>IF(CA$3="","",IF(AND(DivAs=2,CA$2&lt;ExDivPct),ExDivTree!CA19+DivAmount*EXP(IntRate*(CA$2-ExDivPct)),ExDivTree!CA19))</f>
        <v>352.9966199424</v>
      </c>
      <c r="CB19" s="17">
        <f>IF(CB$3="","",IF(AND(DivAs=2,CB$2&lt;ExDivPct),ExDivTree!CB19+DivAmount*EXP(IntRate*(CB$2-ExDivPct)),ExDivTree!CB19))</f>
        <v>363.68273140420001</v>
      </c>
      <c r="CC19" s="17">
        <f>IF(CC$3="","",IF(AND(DivAs=2,CC$2&lt;ExDivPct),ExDivTree!CC19+DivAmount*EXP(IntRate*(CC$2-ExDivPct)),ExDivTree!CC19))</f>
        <v>374.69233881949998</v>
      </c>
      <c r="CD19" s="17">
        <f>IF(CD$3="","",IF(AND(DivAs=2,CD$2&lt;ExDivPct),ExDivTree!CD19+DivAmount*EXP(IntRate*(CD$2-ExDivPct)),ExDivTree!CD19))</f>
        <v>386.03523523920001</v>
      </c>
      <c r="CE19" s="17">
        <f>IF(CE$3="","",IF(AND(DivAs=2,CE$2&lt;ExDivPct),ExDivTree!CE19+DivAmount*EXP(IntRate*(CE$2-ExDivPct)),ExDivTree!CE19))</f>
        <v>397.72151017469997</v>
      </c>
      <c r="CF19" s="17">
        <f>IF(CF$3="","",IF(AND(DivAs=2,CF$2&lt;ExDivPct),ExDivTree!CF19+DivAmount*EXP(IntRate*(CF$2-ExDivPct)),ExDivTree!CF19))</f>
        <v>409.76155857280003</v>
      </c>
      <c r="CG19" s="17">
        <f>IF(CG$3="","",IF(AND(DivAs=2,CG$2&lt;ExDivPct),ExDivTree!CG19+DivAmount*EXP(IntRate*(CG$2-ExDivPct)),ExDivTree!CG19))</f>
        <v>422.16609006200002</v>
      </c>
      <c r="CH19" s="17">
        <f>IF(CH$3="","",IF(AND(DivAs=2,CH$2&lt;ExDivPct),ExDivTree!CH19+DivAmount*EXP(IntRate*(CH$2-ExDivPct)),ExDivTree!CH19))</f>
        <v>434.94613847869999</v>
      </c>
      <c r="CI19" s="17">
        <f>IF(CI$3="","",IF(AND(DivAs=2,CI$2&lt;ExDivPct),ExDivTree!CI19+DivAmount*EXP(IntRate*(CI$2-ExDivPct)),ExDivTree!CI19))</f>
        <v>448.11307168169998</v>
      </c>
      <c r="CJ19" s="17">
        <f>IF(CJ$3="","",IF(AND(DivAs=2,CJ$2&lt;ExDivPct),ExDivTree!CJ19+DivAmount*EXP(IntRate*(CJ$2-ExDivPct)),ExDivTree!CJ19))</f>
        <v>461.67860166399998</v>
      </c>
      <c r="CK19" s="17">
        <f>IF(CK$3="","",IF(AND(DivAs=2,CK$2&lt;ExDivPct),ExDivTree!CK19+DivAmount*EXP(IntRate*(CK$2-ExDivPct)),ExDivTree!CK19))</f>
        <v>475.65479497059999</v>
      </c>
      <c r="CL19" s="17">
        <f>IF(CL$3="","",IF(AND(DivAs=2,CL$2&lt;ExDivPct),ExDivTree!CL19+DivAmount*EXP(IntRate*(CL$2-ExDivPct)),ExDivTree!CL19))</f>
        <v>490.0540834318</v>
      </c>
      <c r="CM19" s="17">
        <f>IF(CM$3="","",IF(AND(DivAs=2,CM$2&lt;ExDivPct),ExDivTree!CM19+DivAmount*EXP(IntRate*(CM$2-ExDivPct)),ExDivTree!CM19))</f>
        <v>504.88927522120002</v>
      </c>
      <c r="CN19" s="17">
        <f>IF(CN$3="","",IF(AND(DivAs=2,CN$2&lt;ExDivPct),ExDivTree!CN19+DivAmount*EXP(IntRate*(CN$2-ExDivPct)),ExDivTree!CN19))</f>
        <v>520.17356624850004</v>
      </c>
      <c r="CO19" s="17">
        <f>IF(CO$3="","",IF(AND(DivAs=2,CO$2&lt;ExDivPct),ExDivTree!CO19+DivAmount*EXP(IntRate*(CO$2-ExDivPct)),ExDivTree!CO19))</f>
        <v>535.92055189760003</v>
      </c>
      <c r="CP19" s="17">
        <f>IF(CP$3="","",IF(AND(DivAs=2,CP$2&lt;ExDivPct),ExDivTree!CP19+DivAmount*EXP(IntRate*(CP$2-ExDivPct)),ExDivTree!CP19))</f>
        <v>552.14423911920005</v>
      </c>
      <c r="CQ19" s="17">
        <f>IF(CQ$3="","",IF(AND(DivAs=2,CQ$2&lt;ExDivPct),ExDivTree!CQ19+DivAmount*EXP(IntRate*(CQ$2-ExDivPct)),ExDivTree!CQ19))</f>
        <v>568.85905889050002</v>
      </c>
      <c r="CR19" s="17">
        <f>IF(CR$3="","",IF(AND(DivAs=2,CR$2&lt;ExDivPct),ExDivTree!CR19+DivAmount*EXP(IntRate*(CR$2-ExDivPct)),ExDivTree!CR19))</f>
        <v>586.07987905109997</v>
      </c>
      <c r="CS19" s="17">
        <f>IF(CS$3="","",IF(AND(DivAs=2,CS$2&lt;ExDivPct),ExDivTree!CS19+DivAmount*EXP(IntRate*(CS$2-ExDivPct)),ExDivTree!CS19))</f>
        <v>603.82201752840001</v>
      </c>
      <c r="CT19" s="17">
        <f>IF(CT$3="","",IF(AND(DivAs=2,CT$2&lt;ExDivPct),ExDivTree!CT19+DivAmount*EXP(IntRate*(CT$2-ExDivPct)),ExDivTree!CT19))</f>
        <v>622.10125596260002</v>
      </c>
      <c r="CU19" s="17">
        <f>IF(CU$3="","",IF(AND(DivAs=2,CU$2&lt;ExDivPct),ExDivTree!CU19+DivAmount*EXP(IntRate*(CU$2-ExDivPct)),ExDivTree!CU19))</f>
        <v>640.93385374440004</v>
      </c>
      <c r="CV19" s="17">
        <f>IF(CV$3="","",IF(AND(DivAs=2,CV$2&lt;ExDivPct),ExDivTree!CV19+DivAmount*EXP(IntRate*(CV$2-ExDivPct)),ExDivTree!CV19))</f>
        <v>660.33656247809995</v>
      </c>
      <c r="CW19" s="17">
        <f>IF(CW$3="","",IF(AND(DivAs=2,CW$2&lt;ExDivPct),ExDivTree!CW19+DivAmount*EXP(IntRate*(CW$2-ExDivPct)),ExDivTree!CW19))</f>
        <v>680.32664088189995</v>
      </c>
      <c r="CX19" s="17">
        <f>IF(CX$3="","",IF(AND(DivAs=2,CX$2&lt;ExDivPct),ExDivTree!CX19+DivAmount*EXP(IntRate*(CX$2-ExDivPct)),ExDivTree!CX19))</f>
        <v>700.92187013950002</v>
      </c>
      <c r="CY19" s="17">
        <f>IF(CY$3="","",IF(AND(DivAs=2,CY$2&lt;ExDivPct),ExDivTree!CY19+DivAmount*EXP(IntRate*(CY$2-ExDivPct)),ExDivTree!CY19))</f>
        <v>722.1405697166</v>
      </c>
      <c r="CZ19" s="17">
        <f>IF(CZ$3="","",IF(AND(DivAs=2,CZ$2&lt;ExDivPct),ExDivTree!CZ19+DivAmount*EXP(IntRate*(CZ$2-ExDivPct)),ExDivTree!CZ19))</f>
        <v>744.00161365609995</v>
      </c>
      <c r="DA19" s="17">
        <f>IF(DA$3="","",IF(AND(DivAs=2,DA$2&lt;ExDivPct),ExDivTree!DA19+DivAmount*EXP(IntRate*(DA$2-ExDivPct)),ExDivTree!DA19))</f>
        <v>766.52444736639995</v>
      </c>
      <c r="DB19" s="17">
        <f>IF(DB$3="","",IF(AND(DivAs=2,DB$2&lt;ExDivPct),ExDivTree!DB19+DivAmount*EXP(IntRate*(DB$2-ExDivPct)),ExDivTree!DB19))</f>
        <v>789.72910491829998</v>
      </c>
    </row>
    <row r="20" spans="1:106" x14ac:dyDescent="0.2">
      <c r="A20">
        <f>ExDivTree!A20</f>
        <v>1.5991991003968033E+18</v>
      </c>
      <c r="B20" s="71">
        <f>ExDivTree!B20</f>
        <v>6.3077282498382501E-13</v>
      </c>
      <c r="C20" s="71">
        <f>ExDivTree!C20</f>
        <v>7.5708417774872999E-13</v>
      </c>
      <c r="D20" s="177">
        <f>ExDivTree!D20</f>
        <v>16</v>
      </c>
      <c r="U20" s="17">
        <f>IF(U$3="","",IF(AND(DivAs=2,U$2&lt;ExDivPct),ExDivTree!U20+DivAmount*EXP(IntRate*(U$2-ExDivPct)),ExDivTree!U20))</f>
        <v>58.971858522399998</v>
      </c>
      <c r="V20" s="17">
        <f>IF(V$3="","",IF(AND(DivAs=2,V$2&lt;ExDivPct),ExDivTree!V20+DivAmount*EXP(IntRate*(V$2-ExDivPct)),ExDivTree!V20))</f>
        <v>60.757087665299998</v>
      </c>
      <c r="W20" s="17">
        <f>IF(W$3="","",IF(AND(DivAs=2,W$2&lt;ExDivPct),ExDivTree!W20+DivAmount*EXP(IntRate*(W$2-ExDivPct)),ExDivTree!W20))</f>
        <v>62.596360265100003</v>
      </c>
      <c r="X20" s="17">
        <f>IF(X$3="","",IF(AND(DivAs=2,X$2&lt;ExDivPct),ExDivTree!X20+DivAmount*EXP(IntRate*(X$2-ExDivPct)),ExDivTree!X20))</f>
        <v>64.491312355600002</v>
      </c>
      <c r="Y20" s="17">
        <f>IF(Y$3="","",IF(AND(DivAs=2,Y$2&lt;ExDivPct),ExDivTree!Y20+DivAmount*EXP(IntRate*(Y$2-ExDivPct)),ExDivTree!Y20))</f>
        <v>66.443629497499998</v>
      </c>
      <c r="Z20" s="17">
        <f>IF(Z$3="","",IF(AND(DivAs=2,Z$2&lt;ExDivPct),ExDivTree!Z20+DivAmount*EXP(IntRate*(Z$2-ExDivPct)),ExDivTree!Z20))</f>
        <v>68.455048277800003</v>
      </c>
      <c r="AA20" s="17">
        <f>IF(AA$3="","",IF(AND(DivAs=2,AA$2&lt;ExDivPct),ExDivTree!AA20+DivAmount*EXP(IntRate*(AA$2-ExDivPct)),ExDivTree!AA20))</f>
        <v>70.527357854399995</v>
      </c>
      <c r="AB20" s="17">
        <f>IF(AB$3="","",IF(AND(DivAs=2,AB$2&lt;ExDivPct),ExDivTree!AB20+DivAmount*EXP(IntRate*(AB$2-ExDivPct)),ExDivTree!AB20))</f>
        <v>72.662401547599998</v>
      </c>
      <c r="AC20" s="17">
        <f>IF(AC$3="","",IF(AND(DivAs=2,AC$2&lt;ExDivPct),ExDivTree!AC20+DivAmount*EXP(IntRate*(AC$2-ExDivPct)),ExDivTree!AC20))</f>
        <v>74.862078479800005</v>
      </c>
      <c r="AD20" s="17">
        <f>IF(AD$3="","",IF(AND(DivAs=2,AD$2&lt;ExDivPct),ExDivTree!AD20+DivAmount*EXP(IntRate*(AD$2-ExDivPct)),ExDivTree!AD20))</f>
        <v>77.128345264499998</v>
      </c>
      <c r="AE20" s="17">
        <f>IF(AE$3="","",IF(AND(DivAs=2,AE$2&lt;ExDivPct),ExDivTree!AE20+DivAmount*EXP(IntRate*(AE$2-ExDivPct)),ExDivTree!AE20))</f>
        <v>79.463217747100003</v>
      </c>
      <c r="AF20" s="17">
        <f>IF(AF$3="","",IF(AND(DivAs=2,AF$2&lt;ExDivPct),ExDivTree!AF20+DivAmount*EXP(IntRate*(AF$2-ExDivPct)),ExDivTree!AF20))</f>
        <v>81.868772797700004</v>
      </c>
      <c r="AG20" s="17">
        <f>IF(AG$3="","",IF(AND(DivAs=2,AG$2&lt;ExDivPct),ExDivTree!AG20+DivAmount*EXP(IntRate*(AG$2-ExDivPct)),ExDivTree!AG20))</f>
        <v>84.347150158600002</v>
      </c>
      <c r="AH20" s="17">
        <f>IF(AH$3="","",IF(AND(DivAs=2,AH$2&lt;ExDivPct),ExDivTree!AH20+DivAmount*EXP(IntRate*(AH$2-ExDivPct)),ExDivTree!AH20))</f>
        <v>86.900554347600007</v>
      </c>
      <c r="AI20" s="17">
        <f>IF(AI$3="","",IF(AND(DivAs=2,AI$2&lt;ExDivPct),ExDivTree!AI20+DivAmount*EXP(IntRate*(AI$2-ExDivPct)),ExDivTree!AI20))</f>
        <v>89.531256618900002</v>
      </c>
      <c r="AJ20" s="17">
        <f>IF(AJ$3="","",IF(AND(DivAs=2,AJ$2&lt;ExDivPct),ExDivTree!AJ20+DivAmount*EXP(IntRate*(AJ$2-ExDivPct)),ExDivTree!AJ20))</f>
        <v>92.241596983299999</v>
      </c>
      <c r="AK20" s="17">
        <f>IF(AK$3="","",IF(AND(DivAs=2,AK$2&lt;ExDivPct),ExDivTree!AK20+DivAmount*EXP(IntRate*(AK$2-ExDivPct)),ExDivTree!AK20))</f>
        <v>95.033986289799998</v>
      </c>
      <c r="AL20" s="17">
        <f>IF(AL$3="","",IF(AND(DivAs=2,AL$2&lt;ExDivPct),ExDivTree!AL20+DivAmount*EXP(IntRate*(AL$2-ExDivPct)),ExDivTree!AL20))</f>
        <v>97.910908370000001</v>
      </c>
      <c r="AM20" s="17">
        <f>IF(AM$3="","",IF(AND(DivAs=2,AM$2&lt;ExDivPct),ExDivTree!AM20+DivAmount*EXP(IntRate*(AM$2-ExDivPct)),ExDivTree!AM20))</f>
        <v>100.87492224730001</v>
      </c>
      <c r="AN20" s="17">
        <f>IF(AN$3="","",IF(AND(DivAs=2,AN$2&lt;ExDivPct),ExDivTree!AN20+DivAmount*EXP(IntRate*(AN$2-ExDivPct)),ExDivTree!AN20))</f>
        <v>103.9286644135</v>
      </c>
      <c r="AO20" s="17">
        <f>IF(AO$3="","",IF(AND(DivAs=2,AO$2&lt;ExDivPct),ExDivTree!AO20+DivAmount*EXP(IntRate*(AO$2-ExDivPct)),ExDivTree!AO20))</f>
        <v>107.07485117349999</v>
      </c>
      <c r="AP20" s="17">
        <f>IF(AP$3="","",IF(AND(DivAs=2,AP$2&lt;ExDivPct),ExDivTree!AP20+DivAmount*EXP(IntRate*(AP$2-ExDivPct)),ExDivTree!AP20))</f>
        <v>110.3162810619</v>
      </c>
      <c r="AQ20" s="17">
        <f>IF(AQ$3="","",IF(AND(DivAs=2,AQ$2&lt;ExDivPct),ExDivTree!AQ20+DivAmount*EXP(IntRate*(AQ$2-ExDivPct)),ExDivTree!AQ20))</f>
        <v>113.65583733210001</v>
      </c>
      <c r="AR20" s="17">
        <f>IF(AR$3="","",IF(AND(DivAs=2,AR$2&lt;ExDivPct),ExDivTree!AR20+DivAmount*EXP(IntRate*(AR$2-ExDivPct)),ExDivTree!AR20))</f>
        <v>117.0964905208</v>
      </c>
      <c r="AS20" s="17">
        <f>IF(AS$3="","",IF(AND(DivAs=2,AS$2&lt;ExDivPct),ExDivTree!AS20+DivAmount*EXP(IntRate*(AS$2-ExDivPct)),ExDivTree!AS20))</f>
        <v>120.6413010906</v>
      </c>
      <c r="AT20" s="17">
        <f>IF(AT$3="","",IF(AND(DivAs=2,AT$2&lt;ExDivPct),ExDivTree!AT20+DivAmount*EXP(IntRate*(AT$2-ExDivPct)),ExDivTree!AT20))</f>
        <v>124.29342215210001</v>
      </c>
      <c r="AU20" s="17">
        <f>IF(AU$3="","",IF(AND(DivAs=2,AU$2&lt;ExDivPct),ExDivTree!AU20+DivAmount*EXP(IntRate*(AU$2-ExDivPct)),ExDivTree!AU20))</f>
        <v>128.05610226869999</v>
      </c>
      <c r="AV20" s="17">
        <f>IF(AV$3="","",IF(AND(DivAs=2,AV$2&lt;ExDivPct),ExDivTree!AV20+DivAmount*EXP(IntRate*(AV$2-ExDivPct)),ExDivTree!AV20))</f>
        <v>131.93268834599999</v>
      </c>
      <c r="AW20" s="17">
        <f>IF(AW$3="","",IF(AND(DivAs=2,AW$2&lt;ExDivPct),ExDivTree!AW20+DivAmount*EXP(IntRate*(AW$2-ExDivPct)),ExDivTree!AW20))</f>
        <v>135.92662860909999</v>
      </c>
      <c r="AX20" s="17">
        <f>IF(AX$3="","",IF(AND(DivAs=2,AX$2&lt;ExDivPct),ExDivTree!AX20+DivAmount*EXP(IntRate*(AX$2-ExDivPct)),ExDivTree!AX20))</f>
        <v>140.0414756696</v>
      </c>
      <c r="AY20" s="17">
        <f>IF(AY$3="","",IF(AND(DivAs=2,AY$2&lt;ExDivPct),ExDivTree!AY20+DivAmount*EXP(IntRate*(AY$2-ExDivPct)),ExDivTree!AY20))</f>
        <v>144.28088968590001</v>
      </c>
      <c r="AZ20" s="17">
        <f>IF(AZ$3="","",IF(AND(DivAs=2,AZ$2&lt;ExDivPct),ExDivTree!AZ20+DivAmount*EXP(IntRate*(AZ$2-ExDivPct)),ExDivTree!AZ20))</f>
        <v>148.64864161860001</v>
      </c>
      <c r="BA20" s="17">
        <f>IF(BA$3="","",IF(AND(DivAs=2,BA$2&lt;ExDivPct),ExDivTree!BA20+DivAmount*EXP(IntRate*(BA$2-ExDivPct)),ExDivTree!BA20))</f>
        <v>153.14861658500001</v>
      </c>
      <c r="BB20" s="17">
        <f>IF(BB$3="","",IF(AND(DivAs=2,BB$2&lt;ExDivPct),ExDivTree!BB20+DivAmount*EXP(IntRate*(BB$2-ExDivPct)),ExDivTree!BB20))</f>
        <v>157.78481731490001</v>
      </c>
      <c r="BC20" s="17">
        <f>IF(BC$3="","",IF(AND(DivAs=2,BC$2&lt;ExDivPct),ExDivTree!BC20+DivAmount*EXP(IntRate*(BC$2-ExDivPct)),ExDivTree!BC20))</f>
        <v>162.561367711</v>
      </c>
      <c r="BD20" s="17">
        <f>IF(BD$3="","",IF(AND(DivAs=2,BD$2&lt;ExDivPct),ExDivTree!BD20+DivAmount*EXP(IntRate*(BD$2-ExDivPct)),ExDivTree!BD20))</f>
        <v>167.48251651699999</v>
      </c>
      <c r="BE20" s="17">
        <f>IF(BE$3="","",IF(AND(DivAs=2,BE$2&lt;ExDivPct),ExDivTree!BE20+DivAmount*EXP(IntRate*(BE$2-ExDivPct)),ExDivTree!BE20))</f>
        <v>172.5526410969</v>
      </c>
      <c r="BF20" s="17">
        <f>IF(BF$3="","",IF(AND(DivAs=2,BF$2&lt;ExDivPct),ExDivTree!BF20+DivAmount*EXP(IntRate*(BF$2-ExDivPct)),ExDivTree!BF20))</f>
        <v>177.7762513289</v>
      </c>
      <c r="BG20" s="17">
        <f>IF(BG$3="","",IF(AND(DivAs=2,BG$2&lt;ExDivPct),ExDivTree!BG20+DivAmount*EXP(IntRate*(BG$2-ExDivPct)),ExDivTree!BG20))</f>
        <v>183.15799361660001</v>
      </c>
      <c r="BH20" s="17">
        <f>IF(BH$3="","",IF(AND(DivAs=2,BH$2&lt;ExDivPct),ExDivTree!BH20+DivAmount*EXP(IntRate*(BH$2-ExDivPct)),ExDivTree!BH20))</f>
        <v>188.70265502219999</v>
      </c>
      <c r="BI20" s="17">
        <f>IF(BI$3="","",IF(AND(DivAs=2,BI$2&lt;ExDivPct),ExDivTree!BI20+DivAmount*EXP(IntRate*(BI$2-ExDivPct)),ExDivTree!BI20))</f>
        <v>194.41516752449999</v>
      </c>
      <c r="BJ20" s="17">
        <f>IF(BJ$3="","",IF(AND(DivAs=2,BJ$2&lt;ExDivPct),ExDivTree!BJ20+DivAmount*EXP(IntRate*(BJ$2-ExDivPct)),ExDivTree!BJ20))</f>
        <v>200.300612406</v>
      </c>
      <c r="BK20" s="17">
        <f>IF(BK$3="","",IF(AND(DivAs=2,BK$2&lt;ExDivPct),ExDivTree!BK20+DivAmount*EXP(IntRate*(BK$2-ExDivPct)),ExDivTree!BK20))</f>
        <v>206.36422477249999</v>
      </c>
      <c r="BL20" s="17">
        <f>IF(BL$3="","",IF(AND(DivAs=2,BL$2&lt;ExDivPct),ExDivTree!BL20+DivAmount*EXP(IntRate*(BL$2-ExDivPct)),ExDivTree!BL20))</f>
        <v>212.61139821</v>
      </c>
      <c r="BM20" s="17">
        <f>IF(BM$3="","",IF(AND(DivAs=2,BM$2&lt;ExDivPct),ExDivTree!BM20+DivAmount*EXP(IntRate*(BM$2-ExDivPct)),ExDivTree!BM20))</f>
        <v>219.04768958209999</v>
      </c>
      <c r="BN20" s="17">
        <f>IF(BN$3="","",IF(AND(DivAs=2,BN$2&lt;ExDivPct),ExDivTree!BN20+DivAmount*EXP(IntRate*(BN$2-ExDivPct)),ExDivTree!BN20))</f>
        <v>225.67882397279999</v>
      </c>
      <c r="BO20" s="17">
        <f>IF(BO$3="","",IF(AND(DivAs=2,BO$2&lt;ExDivPct),ExDivTree!BO20+DivAmount*EXP(IntRate*(BO$2-ExDivPct)),ExDivTree!BO20))</f>
        <v>232.5106997792</v>
      </c>
      <c r="BP20" s="17">
        <f>IF(BP$3="","",IF(AND(DivAs=2,BP$2&lt;ExDivPct),ExDivTree!BP20+DivAmount*EXP(IntRate*(BP$2-ExDivPct)),ExDivTree!BP20))</f>
        <v>239.54939395790001</v>
      </c>
      <c r="BQ20" s="17">
        <f>IF(BQ$3="","",IF(AND(DivAs=2,BQ$2&lt;ExDivPct),ExDivTree!BQ20+DivAmount*EXP(IntRate*(BQ$2-ExDivPct)),ExDivTree!BQ20))</f>
        <v>246.80116743049999</v>
      </c>
      <c r="BR20" s="17">
        <f>IF(BR$3="","",IF(AND(DivAs=2,BR$2&lt;ExDivPct),ExDivTree!BR20+DivAmount*EXP(IntRate*(BR$2-ExDivPct)),ExDivTree!BR20))</f>
        <v>254.27247065290001</v>
      </c>
      <c r="BS20" s="17">
        <f>IF(BS$3="","",IF(AND(DivAs=2,BS$2&lt;ExDivPct),ExDivTree!BS20+DivAmount*EXP(IntRate*(BS$2-ExDivPct)),ExDivTree!BS20))</f>
        <v>261.9699493526</v>
      </c>
      <c r="BT20" s="17">
        <f>IF(BT$3="","",IF(AND(DivAs=2,BT$2&lt;ExDivPct),ExDivTree!BT20+DivAmount*EXP(IntRate*(BT$2-ExDivPct)),ExDivTree!BT20))</f>
        <v>269.90045044030001</v>
      </c>
      <c r="BU20" s="17">
        <f>IF(BU$3="","",IF(AND(DivAs=2,BU$2&lt;ExDivPct),ExDivTree!BU20+DivAmount*EXP(IntRate*(BU$2-ExDivPct)),ExDivTree!BU20))</f>
        <v>278.07102810039999</v>
      </c>
      <c r="BV20" s="17">
        <f>IF(BV$3="","",IF(AND(DivAs=2,BV$2&lt;ExDivPct),ExDivTree!BV20+DivAmount*EXP(IntRate*(BV$2-ExDivPct)),ExDivTree!BV20))</f>
        <v>286.48895006539999</v>
      </c>
      <c r="BW20" s="17">
        <f>IF(BW$3="","",IF(AND(DivAs=2,BW$2&lt;ExDivPct),ExDivTree!BW20+DivAmount*EXP(IntRate*(BW$2-ExDivPct)),ExDivTree!BW20))</f>
        <v>295.16170408059997</v>
      </c>
      <c r="BX20" s="17">
        <f>IF(BX$3="","",IF(AND(DivAs=2,BX$2&lt;ExDivPct),ExDivTree!BX20+DivAmount*EXP(IntRate*(BX$2-ExDivPct)),ExDivTree!BX20))</f>
        <v>304.0970045647</v>
      </c>
      <c r="BY20" s="17">
        <f>IF(BY$3="","",IF(AND(DivAs=2,BY$2&lt;ExDivPct),ExDivTree!BY20+DivAmount*EXP(IntRate*(BY$2-ExDivPct)),ExDivTree!BY20))</f>
        <v>313.30279947150001</v>
      </c>
      <c r="BZ20" s="17">
        <f>IF(BZ$3="","",IF(AND(DivAs=2,BZ$2&lt;ExDivPct),ExDivTree!BZ20+DivAmount*EXP(IntRate*(BZ$2-ExDivPct)),ExDivTree!BZ20))</f>
        <v>322.7872773597</v>
      </c>
      <c r="CA20" s="17">
        <f>IF(CA$3="","",IF(AND(DivAs=2,CA$2&lt;ExDivPct),ExDivTree!CA20+DivAmount*EXP(IntRate*(CA$2-ExDivPct)),ExDivTree!CA20))</f>
        <v>332.5588746766</v>
      </c>
      <c r="CB20" s="17">
        <f>IF(CB$3="","",IF(AND(DivAs=2,CB$2&lt;ExDivPct),ExDivTree!CB20+DivAmount*EXP(IntRate*(CB$2-ExDivPct)),ExDivTree!CB20))</f>
        <v>342.62628326250001</v>
      </c>
      <c r="CC20" s="17">
        <f>IF(CC$3="","",IF(AND(DivAs=2,CC$2&lt;ExDivPct),ExDivTree!CC20+DivAmount*EXP(IntRate*(CC$2-ExDivPct)),ExDivTree!CC20))</f>
        <v>352.99845808179998</v>
      </c>
      <c r="CD20" s="17">
        <f>IF(CD$3="","",IF(AND(DivAs=2,CD$2&lt;ExDivPct),ExDivTree!CD20+DivAmount*EXP(IntRate*(CD$2-ExDivPct)),ExDivTree!CD20))</f>
        <v>363.6846251888</v>
      </c>
      <c r="CE20" s="17">
        <f>IF(CE$3="","",IF(AND(DivAs=2,CE$2&lt;ExDivPct),ExDivTree!CE20+DivAmount*EXP(IntRate*(CE$2-ExDivPct)),ExDivTree!CE20))</f>
        <v>374.69428993380001</v>
      </c>
      <c r="CF20" s="17">
        <f>IF(CF$3="","",IF(AND(DivAs=2,CF$2&lt;ExDivPct),ExDivTree!CF20+DivAmount*EXP(IntRate*(CF$2-ExDivPct)),ExDivTree!CF20))</f>
        <v>386.03724541870002</v>
      </c>
      <c r="CG20" s="17">
        <f>IF(CG$3="","",IF(AND(DivAs=2,CG$2&lt;ExDivPct),ExDivTree!CG20+DivAmount*EXP(IntRate*(CG$2-ExDivPct)),ExDivTree!CG20))</f>
        <v>397.7235812074</v>
      </c>
      <c r="CH20" s="17">
        <f>IF(CH$3="","",IF(AND(DivAs=2,CH$2&lt;ExDivPct),ExDivTree!CH20+DivAmount*EXP(IntRate*(CH$2-ExDivPct)),ExDivTree!CH20))</f>
        <v>409.76369230099999</v>
      </c>
      <c r="CI20" s="17">
        <f>IF(CI$3="","",IF(AND(DivAs=2,CI$2&lt;ExDivPct),ExDivTree!CI20+DivAmount*EXP(IntRate*(CI$2-ExDivPct)),ExDivTree!CI20))</f>
        <v>422.16828838359999</v>
      </c>
      <c r="CJ20" s="17">
        <f>IF(CJ$3="","",IF(AND(DivAs=2,CJ$2&lt;ExDivPct),ExDivTree!CJ20+DivAmount*EXP(IntRate*(CJ$2-ExDivPct)),ExDivTree!CJ20))</f>
        <v>434.94840334909998</v>
      </c>
      <c r="CK20" s="17">
        <f>IF(CK$3="","",IF(AND(DivAs=2,CK$2&lt;ExDivPct),ExDivTree!CK20+DivAmount*EXP(IntRate*(CK$2-ExDivPct)),ExDivTree!CK20))</f>
        <v>448.11540511549998</v>
      </c>
      <c r="CL20" s="17">
        <f>IF(CL$3="","",IF(AND(DivAs=2,CL$2&lt;ExDivPct),ExDivTree!CL20+DivAmount*EXP(IntRate*(CL$2-ExDivPct)),ExDivTree!CL20))</f>
        <v>461.68100573679999</v>
      </c>
      <c r="CM20" s="17">
        <f>IF(CM$3="","",IF(AND(DivAs=2,CM$2&lt;ExDivPct),ExDivTree!CM20+DivAmount*EXP(IntRate*(CM$2-ExDivPct)),ExDivTree!CM20))</f>
        <v>475.65727182080002</v>
      </c>
      <c r="CN20" s="17">
        <f>IF(CN$3="","",IF(AND(DivAs=2,CN$2&lt;ExDivPct),ExDivTree!CN20+DivAmount*EXP(IntRate*(CN$2-ExDivPct)),ExDivTree!CN20))</f>
        <v>490.05663526260003</v>
      </c>
      <c r="CO20" s="17">
        <f>IF(CO$3="","",IF(AND(DivAs=2,CO$2&lt;ExDivPct),ExDivTree!CO20+DivAmount*EXP(IntRate*(CO$2-ExDivPct)),ExDivTree!CO20))</f>
        <v>504.89190430240001</v>
      </c>
      <c r="CP20" s="17">
        <f>IF(CP$3="","",IF(AND(DivAs=2,CP$2&lt;ExDivPct),ExDivTree!CP20+DivAmount*EXP(IntRate*(CP$2-ExDivPct)),ExDivTree!CP20))</f>
        <v>520.1762749188</v>
      </c>
      <c r="CQ20" s="17">
        <f>IF(CQ$3="","",IF(AND(DivAs=2,CQ$2&lt;ExDivPct),ExDivTree!CQ20+DivAmount*EXP(IntRate*(CQ$2-ExDivPct)),ExDivTree!CQ20))</f>
        <v>535.92334256619995</v>
      </c>
      <c r="CR20" s="17">
        <f>IF(CR$3="","",IF(AND(DivAs=2,CR$2&lt;ExDivPct),ExDivTree!CR20+DivAmount*EXP(IntRate*(CR$2-ExDivPct)),ExDivTree!CR20))</f>
        <v>552.14711426849999</v>
      </c>
      <c r="CS20" s="17">
        <f>IF(CS$3="","",IF(AND(DivAs=2,CS$2&lt;ExDivPct),ExDivTree!CS20+DivAmount*EXP(IntRate*(CS$2-ExDivPct)),ExDivTree!CS20))</f>
        <v>568.86202107789995</v>
      </c>
      <c r="CT20" s="17">
        <f>IF(CT$3="","",IF(AND(DivAs=2,CT$2&lt;ExDivPct),ExDivTree!CT20+DivAmount*EXP(IntRate*(CT$2-ExDivPct)),ExDivTree!CT20))</f>
        <v>586.08293091149994</v>
      </c>
      <c r="CU20" s="17">
        <f>IF(CU$3="","",IF(AND(DivAs=2,CU$2&lt;ExDivPct),ExDivTree!CU20+DivAmount*EXP(IntRate*(CU$2-ExDivPct)),ExDivTree!CU20))</f>
        <v>603.82516177640002</v>
      </c>
      <c r="CV20" s="17">
        <f>IF(CV$3="","",IF(AND(DivAs=2,CV$2&lt;ExDivPct),ExDivTree!CV20+DivAmount*EXP(IntRate*(CV$2-ExDivPct)),ExDivTree!CV20))</f>
        <v>622.10449539499996</v>
      </c>
      <c r="CW20" s="17">
        <f>IF(CW$3="","",IF(AND(DivAs=2,CW$2&lt;ExDivPct),ExDivTree!CW20+DivAmount*EXP(IntRate*(CW$2-ExDivPct)),ExDivTree!CW20))</f>
        <v>640.93719124270001</v>
      </c>
      <c r="CX20" s="17">
        <f>IF(CX$3="","",IF(AND(DivAs=2,CX$2&lt;ExDivPct),ExDivTree!CX20+DivAmount*EXP(IntRate*(CX$2-ExDivPct)),ExDivTree!CX20))</f>
        <v>660.34000101100003</v>
      </c>
      <c r="CY20" s="17">
        <f>IF(CY$3="","",IF(AND(DivAs=2,CY$2&lt;ExDivPct),ExDivTree!CY20+DivAmount*EXP(IntRate*(CY$2-ExDivPct)),ExDivTree!CY20))</f>
        <v>680.330183508</v>
      </c>
      <c r="CZ20" s="17">
        <f>IF(CZ$3="","",IF(AND(DivAs=2,CZ$2&lt;ExDivPct),ExDivTree!CZ20+DivAmount*EXP(IntRate*(CZ$2-ExDivPct)),ExDivTree!CZ20))</f>
        <v>700.92552001000001</v>
      </c>
      <c r="DA20" s="17">
        <f>IF(DA$3="","",IF(AND(DivAs=2,DA$2&lt;ExDivPct),ExDivTree!DA20+DivAmount*EXP(IntRate*(DA$2-ExDivPct)),ExDivTree!DA20))</f>
        <v>722.14433007809998</v>
      </c>
      <c r="DB20" s="17">
        <f>IF(DB$3="","",IF(AND(DivAs=2,DB$2&lt;ExDivPct),ExDivTree!DB20+DivAmount*EXP(IntRate*(DB$2-ExDivPct)),ExDivTree!DB20))</f>
        <v>744.00548785340004</v>
      </c>
    </row>
    <row r="21" spans="1:106" x14ac:dyDescent="0.2">
      <c r="A21">
        <f>ExDivTree!A21</f>
        <v>7.9959955019840215E+18</v>
      </c>
      <c r="B21" s="71">
        <f>ExDivTree!B21</f>
        <v>3.153864124919127E-12</v>
      </c>
      <c r="C21" s="71">
        <f>ExDivTree!C21</f>
        <v>3.7654075809637263E-12</v>
      </c>
      <c r="D21" s="177">
        <f>ExDivTree!D21</f>
        <v>17</v>
      </c>
      <c r="V21" s="17">
        <f>IF(V$3="","",IF(AND(DivAs=2,V$2&lt;ExDivPct),ExDivTree!V21+DivAmount*EXP(IntRate*(V$2-ExDivPct)),ExDivTree!V21))</f>
        <v>57.239382932399998</v>
      </c>
      <c r="W21" s="17">
        <f>IF(W$3="","",IF(AND(DivAs=2,W$2&lt;ExDivPct),ExDivTree!W21+DivAmount*EXP(IntRate*(W$2-ExDivPct)),ExDivTree!W21))</f>
        <v>58.972165603599997</v>
      </c>
      <c r="X21" s="17">
        <f>IF(X$3="","",IF(AND(DivAs=2,X$2&lt;ExDivPct),ExDivTree!X21+DivAmount*EXP(IntRate*(X$2-ExDivPct)),ExDivTree!X21))</f>
        <v>60.757404042700003</v>
      </c>
      <c r="Y21" s="17">
        <f>IF(Y$3="","",IF(AND(DivAs=2,Y$2&lt;ExDivPct),ExDivTree!Y21+DivAmount*EXP(IntRate*(Y$2-ExDivPct)),ExDivTree!Y21))</f>
        <v>62.596686220099997</v>
      </c>
      <c r="Z21" s="17">
        <f>IF(Z$3="","",IF(AND(DivAs=2,Z$2&lt;ExDivPct),ExDivTree!Z21+DivAmount*EXP(IntRate*(Z$2-ExDivPct)),ExDivTree!Z21))</f>
        <v>64.491648178099993</v>
      </c>
      <c r="AA21" s="17">
        <f>IF(AA$3="","",IF(AND(DivAs=2,AA$2&lt;ExDivPct),ExDivTree!AA21+DivAmount*EXP(IntRate*(AA$2-ExDivPct)),ExDivTree!AA21))</f>
        <v>66.443975486200003</v>
      </c>
      <c r="AB21" s="17">
        <f>IF(AB$3="","",IF(AND(DivAs=2,AB$2&lt;ExDivPct),ExDivTree!AB21+DivAmount*EXP(IntRate*(AB$2-ExDivPct)),ExDivTree!AB21))</f>
        <v>68.455404740500001</v>
      </c>
      <c r="AC21" s="17">
        <f>IF(AC$3="","",IF(AND(DivAs=2,AC$2&lt;ExDivPct),ExDivTree!AC21+DivAmount*EXP(IntRate*(AC$2-ExDivPct)),ExDivTree!AC21))</f>
        <v>70.5277251081</v>
      </c>
      <c r="AD21" s="17">
        <f>IF(AD$3="","",IF(AND(DivAs=2,AD$2&lt;ExDivPct),ExDivTree!AD21+DivAmount*EXP(IntRate*(AD$2-ExDivPct)),ExDivTree!AD21))</f>
        <v>72.662779919000002</v>
      </c>
      <c r="AE21" s="17">
        <f>IF(AE$3="","",IF(AND(DivAs=2,AE$2&lt;ExDivPct),ExDivTree!AE21+DivAmount*EXP(IntRate*(AE$2-ExDivPct)),ExDivTree!AE21))</f>
        <v>74.8624683054</v>
      </c>
      <c r="AF21" s="17">
        <f>IF(AF$3="","",IF(AND(DivAs=2,AF$2&lt;ExDivPct),ExDivTree!AF21+DivAmount*EXP(IntRate*(AF$2-ExDivPct)),ExDivTree!AF21))</f>
        <v>77.128746891099993</v>
      </c>
      <c r="AG21" s="17">
        <f>IF(AG$3="","",IF(AND(DivAs=2,AG$2&lt;ExDivPct),ExDivTree!AG21+DivAmount*EXP(IntRate*(AG$2-ExDivPct)),ExDivTree!AG21))</f>
        <v>79.463631531999994</v>
      </c>
      <c r="AH21" s="17">
        <f>IF(AH$3="","",IF(AND(DivAs=2,AH$2&lt;ExDivPct),ExDivTree!AH21+DivAmount*EXP(IntRate*(AH$2-ExDivPct)),ExDivTree!AH21))</f>
        <v>81.869199108999993</v>
      </c>
      <c r="AI21" s="17">
        <f>IF(AI$3="","",IF(AND(DivAs=2,AI$2&lt;ExDivPct),ExDivTree!AI21+DivAmount*EXP(IntRate*(AI$2-ExDivPct)),ExDivTree!AI21))</f>
        <v>84.347589375499993</v>
      </c>
      <c r="AJ21" s="17">
        <f>IF(AJ$3="","",IF(AND(DivAs=2,AJ$2&lt;ExDivPct),ExDivTree!AJ21+DivAmount*EXP(IntRate*(AJ$2-ExDivPct)),ExDivTree!AJ21))</f>
        <v>86.901006860799995</v>
      </c>
      <c r="AK21" s="17">
        <f>IF(AK$3="","",IF(AND(DivAs=2,AK$2&lt;ExDivPct),ExDivTree!AK21+DivAmount*EXP(IntRate*(AK$2-ExDivPct)),ExDivTree!AK21))</f>
        <v>89.531722830800007</v>
      </c>
      <c r="AL21" s="17">
        <f>IF(AL$3="","",IF(AND(DivAs=2,AL$2&lt;ExDivPct),ExDivTree!AL21+DivAmount*EXP(IntRate*(AL$2-ExDivPct)),ExDivTree!AL21))</f>
        <v>92.242077308700004</v>
      </c>
      <c r="AM21" s="17">
        <f>IF(AM$3="","",IF(AND(DivAs=2,AM$2&lt;ExDivPct),ExDivTree!AM21+DivAmount*EXP(IntRate*(AM$2-ExDivPct)),ExDivTree!AM21))</f>
        <v>95.034481155899996</v>
      </c>
      <c r="AN21" s="17">
        <f>IF(AN$3="","",IF(AND(DivAs=2,AN$2&lt;ExDivPct),ExDivTree!AN21+DivAmount*EXP(IntRate*(AN$2-ExDivPct)),ExDivTree!AN21))</f>
        <v>97.911418217000005</v>
      </c>
      <c r="AO21" s="17">
        <f>IF(AO$3="","",IF(AND(DivAs=2,AO$2&lt;ExDivPct),ExDivTree!AO21+DivAmount*EXP(IntRate*(AO$2-ExDivPct)),ExDivTree!AO21))</f>
        <v>100.87544752869999</v>
      </c>
      <c r="AP21" s="17">
        <f>IF(AP$3="","",IF(AND(DivAs=2,AP$2&lt;ExDivPct),ExDivTree!AP21+DivAmount*EXP(IntRate*(AP$2-ExDivPct)),ExDivTree!AP21))</f>
        <v>103.9292055965</v>
      </c>
      <c r="AQ21" s="17">
        <f>IF(AQ$3="","",IF(AND(DivAs=2,AQ$2&lt;ExDivPct),ExDivTree!AQ21+DivAmount*EXP(IntRate*(AQ$2-ExDivPct)),ExDivTree!AQ21))</f>
        <v>107.07540873950001</v>
      </c>
      <c r="AR21" s="17">
        <f>IF(AR$3="","",IF(AND(DivAs=2,AR$2&lt;ExDivPct),ExDivTree!AR21+DivAmount*EXP(IntRate*(AR$2-ExDivPct)),ExDivTree!AR21))</f>
        <v>110.3168555069</v>
      </c>
      <c r="AS21" s="17">
        <f>IF(AS$3="","",IF(AND(DivAs=2,AS$2&lt;ExDivPct),ExDivTree!AS21+DivAmount*EXP(IntRate*(AS$2-ExDivPct)),ExDivTree!AS21))</f>
        <v>113.656429167</v>
      </c>
      <c r="AT21" s="17">
        <f>IF(AT$3="","",IF(AND(DivAs=2,AT$2&lt;ExDivPct),ExDivTree!AT21+DivAmount*EXP(IntRate*(AT$2-ExDivPct)),ExDivTree!AT21))</f>
        <v>117.09710027209999</v>
      </c>
      <c r="AU21" s="17">
        <f>IF(AU$3="","",IF(AND(DivAs=2,AU$2&lt;ExDivPct),ExDivTree!AU21+DivAmount*EXP(IntRate*(AU$2-ExDivPct)),ExDivTree!AU21))</f>
        <v>120.6419293007</v>
      </c>
      <c r="AV21" s="17">
        <f>IF(AV$3="","",IF(AND(DivAs=2,AV$2&lt;ExDivPct),ExDivTree!AV21+DivAmount*EXP(IntRate*(AV$2-ExDivPct)),ExDivTree!AV21))</f>
        <v>124.29406937980001</v>
      </c>
      <c r="AW21" s="17">
        <f>IF(AW$3="","",IF(AND(DivAs=2,AW$2&lt;ExDivPct),ExDivTree!AW21+DivAmount*EXP(IntRate*(AW$2-ExDivPct)),ExDivTree!AW21))</f>
        <v>128.05676908960001</v>
      </c>
      <c r="AX21" s="17">
        <f>IF(AX$3="","",IF(AND(DivAs=2,AX$2&lt;ExDivPct),ExDivTree!AX21+DivAmount*EXP(IntRate*(AX$2-ExDivPct)),ExDivTree!AX21))</f>
        <v>131.93337535329999</v>
      </c>
      <c r="AY21" s="17">
        <f>IF(AY$3="","",IF(AND(DivAs=2,AY$2&lt;ExDivPct),ExDivTree!AY21+DivAmount*EXP(IntRate*(AY$2-ExDivPct)),ExDivTree!AY21))</f>
        <v>135.92733641379999</v>
      </c>
      <c r="AZ21" s="17">
        <f>IF(AZ$3="","",IF(AND(DivAs=2,AZ$2&lt;ExDivPct),ExDivTree!AZ21+DivAmount*EXP(IntRate*(AZ$2-ExDivPct)),ExDivTree!AZ21))</f>
        <v>140.0422049014</v>
      </c>
      <c r="BA21" s="17">
        <f>IF(BA$3="","",IF(AND(DivAs=2,BA$2&lt;ExDivPct),ExDivTree!BA21+DivAmount*EXP(IntRate*(BA$2-ExDivPct)),ExDivTree!BA21))</f>
        <v>144.2816409934</v>
      </c>
      <c r="BB21" s="17">
        <f>IF(BB$3="","",IF(AND(DivAs=2,BB$2&lt;ExDivPct),ExDivTree!BB21+DivAmount*EXP(IntRate*(BB$2-ExDivPct)),ExDivTree!BB21))</f>
        <v>148.64941567010001</v>
      </c>
      <c r="BC21" s="17">
        <f>IF(BC$3="","",IF(AND(DivAs=2,BC$2&lt;ExDivPct),ExDivTree!BC21+DivAmount*EXP(IntRate*(BC$2-ExDivPct)),ExDivTree!BC21))</f>
        <v>153.1494140691</v>
      </c>
      <c r="BD21" s="17">
        <f>IF(BD$3="","",IF(AND(DivAs=2,BD$2&lt;ExDivPct),ExDivTree!BD21+DivAmount*EXP(IntRate*(BD$2-ExDivPct)),ExDivTree!BD21))</f>
        <v>157.78563894089999</v>
      </c>
      <c r="BE21" s="17">
        <f>IF(BE$3="","",IF(AND(DivAs=2,BE$2&lt;ExDivPct),ExDivTree!BE21+DivAmount*EXP(IntRate*(BE$2-ExDivPct)),ExDivTree!BE21))</f>
        <v>162.56221420969999</v>
      </c>
      <c r="BF21" s="17">
        <f>IF(BF$3="","",IF(AND(DivAs=2,BF$2&lt;ExDivPct),ExDivTree!BF21+DivAmount*EXP(IntRate*(BF$2-ExDivPct)),ExDivTree!BF21))</f>
        <v>167.4833886413</v>
      </c>
      <c r="BG21" s="17">
        <f>IF(BG$3="","",IF(AND(DivAs=2,BG$2&lt;ExDivPct),ExDivTree!BG21+DivAmount*EXP(IntRate*(BG$2-ExDivPct)),ExDivTree!BG21))</f>
        <v>172.55353962269999</v>
      </c>
      <c r="BH21" s="17">
        <f>IF(BH$3="","",IF(AND(DivAs=2,BH$2&lt;ExDivPct),ExDivTree!BH21+DivAmount*EXP(IntRate*(BH$2-ExDivPct)),ExDivTree!BH21))</f>
        <v>177.77717705539999</v>
      </c>
      <c r="BI21" s="17">
        <f>IF(BI$3="","",IF(AND(DivAs=2,BI$2&lt;ExDivPct),ExDivTree!BI21+DivAmount*EXP(IntRate*(BI$2-ExDivPct)),ExDivTree!BI21))</f>
        <v>183.1589473672</v>
      </c>
      <c r="BJ21" s="17">
        <f>IF(BJ$3="","",IF(AND(DivAs=2,BJ$2&lt;ExDivPct),ExDivTree!BJ21+DivAmount*EXP(IntRate*(BJ$2-ExDivPct)),ExDivTree!BJ21))</f>
        <v>188.70363764530001</v>
      </c>
      <c r="BK21" s="17">
        <f>IF(BK$3="","",IF(AND(DivAs=2,BK$2&lt;ExDivPct),ExDivTree!BK21+DivAmount*EXP(IntRate*(BK$2-ExDivPct)),ExDivTree!BK21))</f>
        <v>194.4161798941</v>
      </c>
      <c r="BL21" s="17">
        <f>IF(BL$3="","",IF(AND(DivAs=2,BL$2&lt;ExDivPct),ExDivTree!BL21+DivAmount*EXP(IntRate*(BL$2-ExDivPct)),ExDivTree!BL21))</f>
        <v>200.30165542259999</v>
      </c>
      <c r="BM21" s="17">
        <f>IF(BM$3="","",IF(AND(DivAs=2,BM$2&lt;ExDivPct),ExDivTree!BM21+DivAmount*EXP(IntRate*(BM$2-ExDivPct)),ExDivTree!BM21))</f>
        <v>206.36529936389999</v>
      </c>
      <c r="BN21" s="17">
        <f>IF(BN$3="","",IF(AND(DivAs=2,BN$2&lt;ExDivPct),ExDivTree!BN21+DivAmount*EXP(IntRate*(BN$2-ExDivPct)),ExDivTree!BN21))</f>
        <v>212.6125053321</v>
      </c>
      <c r="BO21" s="17">
        <f>IF(BO$3="","",IF(AND(DivAs=2,BO$2&lt;ExDivPct),ExDivTree!BO21+DivAmount*EXP(IntRate*(BO$2-ExDivPct)),ExDivTree!BO21))</f>
        <v>219.04883021960001</v>
      </c>
      <c r="BP21" s="17">
        <f>IF(BP$3="","",IF(AND(DivAs=2,BP$2&lt;ExDivPct),ExDivTree!BP21+DivAmount*EXP(IntRate*(BP$2-ExDivPct)),ExDivTree!BP21))</f>
        <v>225.67999914040001</v>
      </c>
      <c r="BQ21" s="17">
        <f>IF(BQ$3="","",IF(AND(DivAs=2,BQ$2&lt;ExDivPct),ExDivTree!BQ21+DivAmount*EXP(IntRate*(BQ$2-ExDivPct)),ExDivTree!BQ21))</f>
        <v>232.5119105222</v>
      </c>
      <c r="BR21" s="17">
        <f>IF(BR$3="","",IF(AND(DivAs=2,BR$2&lt;ExDivPct),ExDivTree!BR21+DivAmount*EXP(IntRate*(BR$2-ExDivPct)),ExDivTree!BR21))</f>
        <v>239.55064135320001</v>
      </c>
      <c r="BS21" s="17">
        <f>IF(BS$3="","",IF(AND(DivAs=2,BS$2&lt;ExDivPct),ExDivTree!BS21+DivAmount*EXP(IntRate*(BS$2-ExDivPct)),ExDivTree!BS21))</f>
        <v>246.8024525877</v>
      </c>
      <c r="BT21" s="17">
        <f>IF(BT$3="","",IF(AND(DivAs=2,BT$2&lt;ExDivPct),ExDivTree!BT21+DivAmount*EXP(IntRate*(BT$2-ExDivPct)),ExDivTree!BT21))</f>
        <v>254.2737947151</v>
      </c>
      <c r="BU21" s="17">
        <f>IF(BU$3="","",IF(AND(DivAs=2,BU$2&lt;ExDivPct),ExDivTree!BU21+DivAmount*EXP(IntRate*(BU$2-ExDivPct)),ExDivTree!BU21))</f>
        <v>261.97131349749998</v>
      </c>
      <c r="BV21" s="17">
        <f>IF(BV$3="","",IF(AND(DivAs=2,BV$2&lt;ExDivPct),ExDivTree!BV21+DivAmount*EXP(IntRate*(BV$2-ExDivPct)),ExDivTree!BV21))</f>
        <v>269.90185588140002</v>
      </c>
      <c r="BW21" s="17">
        <f>IF(BW$3="","",IF(AND(DivAs=2,BW$2&lt;ExDivPct),ExDivTree!BW21+DivAmount*EXP(IntRate*(BW$2-ExDivPct)),ExDivTree!BW21))</f>
        <v>278.0724760878</v>
      </c>
      <c r="BX21" s="17">
        <f>IF(BX$3="","",IF(AND(DivAs=2,BX$2&lt;ExDivPct),ExDivTree!BX21+DivAmount*EXP(IntRate*(BX$2-ExDivPct)),ExDivTree!BX21))</f>
        <v>286.49044188699997</v>
      </c>
      <c r="BY21" s="17">
        <f>IF(BY$3="","",IF(AND(DivAs=2,BY$2&lt;ExDivPct),ExDivTree!BY21+DivAmount*EXP(IntRate*(BY$2-ExDivPct)),ExDivTree!BY21))</f>
        <v>295.16324106349998</v>
      </c>
      <c r="BZ21" s="17">
        <f>IF(BZ$3="","",IF(AND(DivAs=2,BZ$2&lt;ExDivPct),ExDivTree!BZ21+DivAmount*EXP(IntRate*(BZ$2-ExDivPct)),ExDivTree!BZ21))</f>
        <v>304.098588076</v>
      </c>
      <c r="CA21" s="17">
        <f>IF(CA$3="","",IF(AND(DivAs=2,CA$2&lt;ExDivPct),ExDivTree!CA21+DivAmount*EXP(IntRate*(CA$2-ExDivPct)),ExDivTree!CA21))</f>
        <v>313.3044309197</v>
      </c>
      <c r="CB21" s="17">
        <f>IF(CB$3="","",IF(AND(DivAs=2,CB$2&lt;ExDivPct),ExDivTree!CB21+DivAmount*EXP(IntRate*(CB$2-ExDivPct)),ExDivTree!CB21))</f>
        <v>322.78895819600001</v>
      </c>
      <c r="CC21" s="17">
        <f>IF(CC$3="","",IF(AND(DivAs=2,CC$2&lt;ExDivPct),ExDivTree!CC21+DivAmount*EXP(IntRate*(CC$2-ExDivPct)),ExDivTree!CC21))</f>
        <v>332.56060639610001</v>
      </c>
      <c r="CD21" s="17">
        <f>IF(CD$3="","",IF(AND(DivAs=2,CD$2&lt;ExDivPct),ExDivTree!CD21+DivAmount*EXP(IntRate*(CD$2-ExDivPct)),ExDivTree!CD21))</f>
        <v>342.62806740560001</v>
      </c>
      <c r="CE21" s="17">
        <f>IF(CE$3="","",IF(AND(DivAs=2,CE$2&lt;ExDivPct),ExDivTree!CE21+DivAmount*EXP(IntRate*(CE$2-ExDivPct)),ExDivTree!CE21))</f>
        <v>353.0002962355</v>
      </c>
      <c r="CF21" s="17">
        <f>IF(CF$3="","",IF(AND(DivAs=2,CF$2&lt;ExDivPct),ExDivTree!CF21+DivAmount*EXP(IntRate*(CF$2-ExDivPct)),ExDivTree!CF21))</f>
        <v>363.68651898809998</v>
      </c>
      <c r="CG21" s="17">
        <f>IF(CG$3="","",IF(AND(DivAs=2,CG$2&lt;ExDivPct),ExDivTree!CG21+DivAmount*EXP(IntRate*(CG$2-ExDivPct)),ExDivTree!CG21))</f>
        <v>374.69624106330002</v>
      </c>
      <c r="CH21" s="17">
        <f>IF(CH$3="","",IF(AND(DivAs=2,CH$2&lt;ExDivPct),ExDivTree!CH21+DivAmount*EXP(IntRate*(CH$2-ExDivPct)),ExDivTree!CH21))</f>
        <v>386.03925561390002</v>
      </c>
      <c r="CI21" s="17">
        <f>IF(CI$3="","",IF(AND(DivAs=2,CI$2&lt;ExDivPct),ExDivTree!CI21+DivAmount*EXP(IntRate*(CI$2-ExDivPct)),ExDivTree!CI21))</f>
        <v>397.7256522564</v>
      </c>
      <c r="CJ21" s="17">
        <f>IF(CJ$3="","",IF(AND(DivAs=2,CJ$2&lt;ExDivPct),ExDivTree!CJ21+DivAmount*EXP(IntRate*(CJ$2-ExDivPct)),ExDivTree!CJ21))</f>
        <v>409.76582604589998</v>
      </c>
      <c r="CK21" s="17">
        <f>IF(CK$3="","",IF(AND(DivAs=2,CK$2&lt;ExDivPct),ExDivTree!CK21+DivAmount*EXP(IntRate*(CK$2-ExDivPct)),ExDivTree!CK21))</f>
        <v>422.17048672240003</v>
      </c>
      <c r="CL21" s="17">
        <f>IF(CL$3="","",IF(AND(DivAs=2,CL$2&lt;ExDivPct),ExDivTree!CL21+DivAmount*EXP(IntRate*(CL$2-ExDivPct)),ExDivTree!CL21))</f>
        <v>434.95066823719998</v>
      </c>
      <c r="CM21" s="17">
        <f>IF(CM$3="","",IF(AND(DivAs=2,CM$2&lt;ExDivPct),ExDivTree!CM21+DivAmount*EXP(IntRate*(CM$2-ExDivPct)),ExDivTree!CM21))</f>
        <v>448.1177385675</v>
      </c>
      <c r="CN21" s="17">
        <f>IF(CN$3="","",IF(AND(DivAs=2,CN$2&lt;ExDivPct),ExDivTree!CN21+DivAmount*EXP(IntRate*(CN$2-ExDivPct)),ExDivTree!CN21))</f>
        <v>461.6834098283</v>
      </c>
      <c r="CO21" s="17">
        <f>IF(CO$3="","",IF(AND(DivAs=2,CO$2&lt;ExDivPct),ExDivTree!CO21+DivAmount*EXP(IntRate*(CO$2-ExDivPct)),ExDivTree!CO21))</f>
        <v>475.65974869040002</v>
      </c>
      <c r="CP21" s="17">
        <f>IF(CP$3="","",IF(AND(DivAs=2,CP$2&lt;ExDivPct),ExDivTree!CP21+DivAmount*EXP(IntRate*(CP$2-ExDivPct)),ExDivTree!CP21))</f>
        <v>490.05918711340001</v>
      </c>
      <c r="CQ21" s="17">
        <f>IF(CQ$3="","",IF(AND(DivAs=2,CQ$2&lt;ExDivPct),ExDivTree!CQ21+DivAmount*EXP(IntRate*(CQ$2-ExDivPct)),ExDivTree!CQ21))</f>
        <v>504.89453340429998</v>
      </c>
      <c r="CR21" s="17">
        <f>IF(CR$3="","",IF(AND(DivAs=2,CR$2&lt;ExDivPct),ExDivTree!CR21+DivAmount*EXP(IntRate*(CR$2-ExDivPct)),ExDivTree!CR21))</f>
        <v>520.17898361029995</v>
      </c>
      <c r="CS21" s="17">
        <f>IF(CS$3="","",IF(AND(DivAs=2,CS$2&lt;ExDivPct),ExDivTree!CS21+DivAmount*EXP(IntRate*(CS$2-ExDivPct)),ExDivTree!CS21))</f>
        <v>535.92613325679997</v>
      </c>
      <c r="CT21" s="17">
        <f>IF(CT$3="","",IF(AND(DivAs=2,CT$2&lt;ExDivPct),ExDivTree!CT21+DivAmount*EXP(IntRate*(CT$2-ExDivPct)),ExDivTree!CT21))</f>
        <v>552.14998944039996</v>
      </c>
      <c r="CU21" s="17">
        <f>IF(CU$3="","",IF(AND(DivAs=2,CU$2&lt;ExDivPct),ExDivTree!CU21+DivAmount*EXP(IntRate*(CU$2-ExDivPct)),ExDivTree!CU21))</f>
        <v>568.8649832886</v>
      </c>
      <c r="CV21" s="17">
        <f>IF(CV$3="","",IF(AND(DivAs=2,CV$2&lt;ExDivPct),ExDivTree!CV21+DivAmount*EXP(IntRate*(CV$2-ExDivPct)),ExDivTree!CV21))</f>
        <v>586.08598279590001</v>
      </c>
      <c r="CW21" s="17">
        <f>IF(CW$3="","",IF(AND(DivAs=2,CW$2&lt;ExDivPct),ExDivTree!CW21+DivAmount*EXP(IntRate*(CW$2-ExDivPct)),ExDivTree!CW21))</f>
        <v>603.82830604920002</v>
      </c>
      <c r="CX21" s="17">
        <f>IF(CX$3="","",IF(AND(DivAs=2,CX$2&lt;ExDivPct),ExDivTree!CX21+DivAmount*EXP(IntRate*(CX$2-ExDivPct)),ExDivTree!CX21))</f>
        <v>622.10773485300001</v>
      </c>
      <c r="CY21" s="17">
        <f>IF(CY$3="","",IF(AND(DivAs=2,CY$2&lt;ExDivPct),ExDivTree!CY21+DivAmount*EXP(IntRate*(CY$2-ExDivPct)),ExDivTree!CY21))</f>
        <v>640.9405287674</v>
      </c>
      <c r="CZ21" s="17">
        <f>IF(CZ$3="","",IF(AND(DivAs=2,CZ$2&lt;ExDivPct),ExDivTree!CZ21+DivAmount*EXP(IntRate*(CZ$2-ExDivPct)),ExDivTree!CZ21))</f>
        <v>660.34343957119995</v>
      </c>
      <c r="DA21" s="17">
        <f>IF(DA$3="","",IF(AND(DivAs=2,DA$2&lt;ExDivPct),ExDivTree!DA21+DivAmount*EXP(IntRate*(DA$2-ExDivPct)),ExDivTree!DA21))</f>
        <v>680.33372616220004</v>
      </c>
      <c r="DB21" s="17">
        <f>IF(DB$3="","",IF(AND(DivAs=2,DB$2&lt;ExDivPct),ExDivTree!DB21+DivAmount*EXP(IntRate*(DB$2-ExDivPct)),ExDivTree!DB21))</f>
        <v>700.9291699094</v>
      </c>
    </row>
    <row r="22" spans="1:106" x14ac:dyDescent="0.2">
      <c r="A22">
        <f>ExDivTree!A22</f>
        <v>3.7314645675925398E+19</v>
      </c>
      <c r="B22" s="71">
        <f>ExDivTree!B22</f>
        <v>1.4718032582955911E-11</v>
      </c>
      <c r="C22" s="71">
        <f>ExDivTree!C22</f>
        <v>1.7479000384620924E-11</v>
      </c>
      <c r="D22" s="177">
        <f>ExDivTree!D22</f>
        <v>18</v>
      </c>
      <c r="W22" s="17">
        <f>IF(W$3="","",IF(AND(DivAs=2,W$2&lt;ExDivPct),ExDivTree!W22+DivAmount*EXP(IntRate*(W$2-ExDivPct)),ExDivTree!W22))</f>
        <v>55.557804019899997</v>
      </c>
      <c r="X22" s="17">
        <f>IF(X$3="","",IF(AND(DivAs=2,X$2&lt;ExDivPct),ExDivTree!X22+DivAmount*EXP(IntRate*(X$2-ExDivPct)),ExDivTree!X22))</f>
        <v>57.239680991999997</v>
      </c>
      <c r="Y22" s="17">
        <f>IF(Y$3="","",IF(AND(DivAs=2,Y$2&lt;ExDivPct),ExDivTree!Y22+DivAmount*EXP(IntRate*(Y$2-ExDivPct)),ExDivTree!Y22))</f>
        <v>58.9724726862</v>
      </c>
      <c r="Z22" s="17">
        <f>IF(Z$3="","",IF(AND(DivAs=2,Z$2&lt;ExDivPct),ExDivTree!Z22+DivAmount*EXP(IntRate*(Z$2-ExDivPct)),ExDivTree!Z22))</f>
        <v>60.757720421400002</v>
      </c>
      <c r="AA22" s="17">
        <f>IF(AA$3="","",IF(AND(DivAs=2,AA$2&lt;ExDivPct),ExDivTree!AA22+DivAmount*EXP(IntRate*(AA$2-ExDivPct)),ExDivTree!AA22))</f>
        <v>62.5970121764</v>
      </c>
      <c r="AB22" s="17">
        <f>IF(AB$3="","",IF(AND(DivAs=2,AB$2&lt;ExDivPct),ExDivTree!AB22+DivAmount*EXP(IntRate*(AB$2-ExDivPct)),ExDivTree!AB22))</f>
        <v>64.491984001899993</v>
      </c>
      <c r="AC22" s="17">
        <f>IF(AC$3="","",IF(AND(DivAs=2,AC$2&lt;ExDivPct),ExDivTree!AC22+DivAmount*EXP(IntRate*(AC$2-ExDivPct)),ExDivTree!AC22))</f>
        <v>66.444321476300004</v>
      </c>
      <c r="AD22" s="17">
        <f>IF(AD$3="","",IF(AND(DivAs=2,AD$2&lt;ExDivPct),ExDivTree!AD22+DivAmount*EXP(IntRate*(AD$2-ExDivPct)),ExDivTree!AD22))</f>
        <v>68.455761204599995</v>
      </c>
      <c r="AE22" s="17">
        <f>IF(AE$3="","",IF(AND(DivAs=2,AE$2&lt;ExDivPct),ExDivTree!AE22+DivAmount*EXP(IntRate*(AE$2-ExDivPct)),ExDivTree!AE22))</f>
        <v>70.528092363300004</v>
      </c>
      <c r="AF22" s="17">
        <f>IF(AF$3="","",IF(AND(DivAs=2,AF$2&lt;ExDivPct),ExDivTree!AF22+DivAmount*EXP(IntRate*(AF$2-ExDivPct)),ExDivTree!AF22))</f>
        <v>72.663158292000006</v>
      </c>
      <c r="AG22" s="17">
        <f>IF(AG$3="","",IF(AND(DivAs=2,AG$2&lt;ExDivPct),ExDivTree!AG22+DivAmount*EXP(IntRate*(AG$2-ExDivPct)),ExDivTree!AG22))</f>
        <v>74.862858132699998</v>
      </c>
      <c r="AH22" s="17">
        <f>IF(AH$3="","",IF(AND(DivAs=2,AH$2&lt;ExDivPct),ExDivTree!AH22+DivAmount*EXP(IntRate*(AH$2-ExDivPct)),ExDivTree!AH22))</f>
        <v>77.129148519500006</v>
      </c>
      <c r="AI22" s="17">
        <f>IF(AI$3="","",IF(AND(DivAs=2,AI$2&lt;ExDivPct),ExDivTree!AI22+DivAmount*EXP(IntRate*(AI$2-ExDivPct)),ExDivTree!AI22))</f>
        <v>79.464045318700002</v>
      </c>
      <c r="AJ22" s="17">
        <f>IF(AJ$3="","",IF(AND(DivAs=2,AJ$2&lt;ExDivPct),ExDivTree!AJ22+DivAmount*EXP(IntRate*(AJ$2-ExDivPct)),ExDivTree!AJ22))</f>
        <v>81.869625421999999</v>
      </c>
      <c r="AK22" s="17">
        <f>IF(AK$3="","",IF(AND(DivAs=2,AK$2&lt;ExDivPct),ExDivTree!AK22+DivAmount*EXP(IntRate*(AK$2-ExDivPct)),ExDivTree!AK22))</f>
        <v>84.348028594100001</v>
      </c>
      <c r="AL22" s="17">
        <f>IF(AL$3="","",IF(AND(DivAs=2,AL$2&lt;ExDivPct),ExDivTree!AL22+DivAmount*EXP(IntRate*(AL$2-ExDivPct)),ExDivTree!AL22))</f>
        <v>86.901459375599998</v>
      </c>
      <c r="AM22" s="17">
        <f>IF(AM$3="","",IF(AND(DivAs=2,AM$2&lt;ExDivPct),ExDivTree!AM22+DivAmount*EXP(IntRate*(AM$2-ExDivPct)),ExDivTree!AM22))</f>
        <v>89.532189044399999</v>
      </c>
      <c r="AN22" s="17">
        <f>IF(AN$3="","",IF(AND(DivAs=2,AN$2&lt;ExDivPct),ExDivTree!AN22+DivAmount*EXP(IntRate*(AN$2-ExDivPct)),ExDivTree!AN22))</f>
        <v>92.242557635699995</v>
      </c>
      <c r="AO22" s="17">
        <f>IF(AO$3="","",IF(AND(DivAs=2,AO$2&lt;ExDivPct),ExDivTree!AO22+DivAmount*EXP(IntRate*(AO$2-ExDivPct)),ExDivTree!AO22))</f>
        <v>95.034976023699997</v>
      </c>
      <c r="AP22" s="17">
        <f>IF(AP$3="","",IF(AND(DivAs=2,AP$2&lt;ExDivPct),ExDivTree!AP22+DivAmount*EXP(IntRate*(AP$2-ExDivPct)),ExDivTree!AP22))</f>
        <v>97.911928065699996</v>
      </c>
      <c r="AQ22" s="17">
        <f>IF(AQ$3="","",IF(AND(DivAs=2,AQ$2&lt;ExDivPct),ExDivTree!AQ22+DivAmount*EXP(IntRate*(AQ$2-ExDivPct)),ExDivTree!AQ22))</f>
        <v>100.8759728118</v>
      </c>
      <c r="AR22" s="17">
        <f>IF(AR$3="","",IF(AND(DivAs=2,AR$2&lt;ExDivPct),ExDivTree!AR22+DivAmount*EXP(IntRate*(AR$2-ExDivPct)),ExDivTree!AR22))</f>
        <v>103.9297467812</v>
      </c>
      <c r="AS22" s="17">
        <f>IF(AS$3="","",IF(AND(DivAs=2,AS$2&lt;ExDivPct),ExDivTree!AS22+DivAmount*EXP(IntRate*(AS$2-ExDivPct)),ExDivTree!AS22))</f>
        <v>107.07596630730001</v>
      </c>
      <c r="AT22" s="17">
        <f>IF(AT$3="","",IF(AND(DivAs=2,AT$2&lt;ExDivPct),ExDivTree!AT22+DivAmount*EXP(IntRate*(AT$2-ExDivPct)),ExDivTree!AT22))</f>
        <v>110.3174299537</v>
      </c>
      <c r="AU22" s="17">
        <f>IF(AU$3="","",IF(AND(DivAs=2,AU$2&lt;ExDivPct),ExDivTree!AU22+DivAmount*EXP(IntRate*(AU$2-ExDivPct)),ExDivTree!AU22))</f>
        <v>113.6570210038</v>
      </c>
      <c r="AV22" s="17">
        <f>IF(AV$3="","",IF(AND(DivAs=2,AV$2&lt;ExDivPct),ExDivTree!AV22+DivAmount*EXP(IntRate*(AV$2-ExDivPct)),ExDivTree!AV22))</f>
        <v>117.0977100253</v>
      </c>
      <c r="AW22" s="17">
        <f>IF(AW$3="","",IF(AND(DivAs=2,AW$2&lt;ExDivPct),ExDivTree!AW22+DivAmount*EXP(IntRate*(AW$2-ExDivPct)),ExDivTree!AW22))</f>
        <v>120.64255751269999</v>
      </c>
      <c r="AX22" s="17">
        <f>IF(AX$3="","",IF(AND(DivAs=2,AX$2&lt;ExDivPct),ExDivTree!AX22+DivAmount*EXP(IntRate*(AX$2-ExDivPct)),ExDivTree!AX22))</f>
        <v>124.2947166094</v>
      </c>
      <c r="AY22" s="17">
        <f>IF(AY$3="","",IF(AND(DivAs=2,AY$2&lt;ExDivPct),ExDivTree!AY22+DivAmount*EXP(IntRate*(AY$2-ExDivPct)),ExDivTree!AY22))</f>
        <v>128.05743591250001</v>
      </c>
      <c r="AZ22" s="17">
        <f>IF(AZ$3="","",IF(AND(DivAs=2,AZ$2&lt;ExDivPct),ExDivTree!AZ22+DivAmount*EXP(IntRate*(AZ$2-ExDivPct)),ExDivTree!AZ22))</f>
        <v>131.9340623626</v>
      </c>
      <c r="BA22" s="17">
        <f>IF(BA$3="","",IF(AND(DivAs=2,BA$2&lt;ExDivPct),ExDivTree!BA22+DivAmount*EXP(IntRate*(BA$2-ExDivPct)),ExDivTree!BA22))</f>
        <v>135.9280442207</v>
      </c>
      <c r="BB22" s="17">
        <f>IF(BB$3="","",IF(AND(DivAs=2,BB$2&lt;ExDivPct),ExDivTree!BB22+DivAmount*EXP(IntRate*(BB$2-ExDivPct)),ExDivTree!BB22))</f>
        <v>140.0429341354</v>
      </c>
      <c r="BC22" s="17">
        <f>IF(BC$3="","",IF(AND(DivAs=2,BC$2&lt;ExDivPct),ExDivTree!BC22+DivAmount*EXP(IntRate*(BC$2-ExDivPct)),ExDivTree!BC22))</f>
        <v>144.2823923032</v>
      </c>
      <c r="BD22" s="17">
        <f>IF(BD$3="","",IF(AND(DivAs=2,BD$2&lt;ExDivPct),ExDivTree!BD22+DivAmount*EXP(IntRate*(BD$2-ExDivPct)),ExDivTree!BD22))</f>
        <v>148.650189724</v>
      </c>
      <c r="BE22" s="17">
        <f>IF(BE$3="","",IF(AND(DivAs=2,BE$2&lt;ExDivPct),ExDivTree!BE22+DivAmount*EXP(IntRate*(BE$2-ExDivPct)),ExDivTree!BE22))</f>
        <v>153.15021155549999</v>
      </c>
      <c r="BF22" s="17">
        <f>IF(BF$3="","",IF(AND(DivAs=2,BF$2&lt;ExDivPct),ExDivTree!BF22+DivAmount*EXP(IntRate*(BF$2-ExDivPct)),ExDivTree!BF22))</f>
        <v>157.7864605693</v>
      </c>
      <c r="BG22" s="17">
        <f>IF(BG$3="","",IF(AND(DivAs=2,BG$2&lt;ExDivPct),ExDivTree!BG22+DivAmount*EXP(IntRate*(BG$2-ExDivPct)),ExDivTree!BG22))</f>
        <v>162.5630607109</v>
      </c>
      <c r="BH22" s="17">
        <f>IF(BH$3="","",IF(AND(DivAs=2,BH$2&lt;ExDivPct),ExDivTree!BH22+DivAmount*EXP(IntRate*(BH$2-ExDivPct)),ExDivTree!BH22))</f>
        <v>167.4842607683</v>
      </c>
      <c r="BI22" s="17">
        <f>IF(BI$3="","",IF(AND(DivAs=2,BI$2&lt;ExDivPct),ExDivTree!BI22+DivAmount*EXP(IntRate*(BI$2-ExDivPct)),ExDivTree!BI22))</f>
        <v>172.5544381512</v>
      </c>
      <c r="BJ22" s="17">
        <f>IF(BJ$3="","",IF(AND(DivAs=2,BJ$2&lt;ExDivPct),ExDivTree!BJ22+DivAmount*EXP(IntRate*(BJ$2-ExDivPct)),ExDivTree!BJ22))</f>
        <v>177.77810278460001</v>
      </c>
      <c r="BK22" s="17">
        <f>IF(BK$3="","",IF(AND(DivAs=2,BK$2&lt;ExDivPct),ExDivTree!BK22+DivAmount*EXP(IntRate*(BK$2-ExDivPct)),ExDivTree!BK22))</f>
        <v>183.15990112060001</v>
      </c>
      <c r="BL22" s="17">
        <f>IF(BL$3="","",IF(AND(DivAs=2,BL$2&lt;ExDivPct),ExDivTree!BL22+DivAmount*EXP(IntRate*(BL$2-ExDivPct)),ExDivTree!BL22))</f>
        <v>188.70462027120001</v>
      </c>
      <c r="BM22" s="17">
        <f>IF(BM$3="","",IF(AND(DivAs=2,BM$2&lt;ExDivPct),ExDivTree!BM22+DivAmount*EXP(IntRate*(BM$2-ExDivPct)),ExDivTree!BM22))</f>
        <v>194.41719226660001</v>
      </c>
      <c r="BN22" s="17">
        <f>IF(BN$3="","",IF(AND(DivAs=2,BN$2&lt;ExDivPct),ExDivTree!BN22+DivAmount*EXP(IntRate*(BN$2-ExDivPct)),ExDivTree!BN22))</f>
        <v>200.30269844220001</v>
      </c>
      <c r="BO22" s="17">
        <f>IF(BO$3="","",IF(AND(DivAs=2,BO$2&lt;ExDivPct),ExDivTree!BO22+DivAmount*EXP(IntRate*(BO$2-ExDivPct)),ExDivTree!BO22))</f>
        <v>206.3663739584</v>
      </c>
      <c r="BP22" s="17">
        <f>IF(BP$3="","",IF(AND(DivAs=2,BP$2&lt;ExDivPct),ExDivTree!BP22+DivAmount*EXP(IntRate*(BP$2-ExDivPct)),ExDivTree!BP22))</f>
        <v>212.61361245730001</v>
      </c>
      <c r="BQ22" s="17">
        <f>IF(BQ$3="","",IF(AND(DivAs=2,BQ$2&lt;ExDivPct),ExDivTree!BQ22+DivAmount*EXP(IntRate*(BQ$2-ExDivPct)),ExDivTree!BQ22))</f>
        <v>219.04997086029999</v>
      </c>
      <c r="BR22" s="17">
        <f>IF(BR$3="","",IF(AND(DivAs=2,BR$2&lt;ExDivPct),ExDivTree!BR22+DivAmount*EXP(IntRate*(BR$2-ExDivPct)),ExDivTree!BR22))</f>
        <v>225.68117431120001</v>
      </c>
      <c r="BS22" s="17">
        <f>IF(BS$3="","",IF(AND(DivAs=2,BS$2&lt;ExDivPct),ExDivTree!BS22+DivAmount*EXP(IntRate*(BS$2-ExDivPct)),ExDivTree!BS22))</f>
        <v>232.5131212684</v>
      </c>
      <c r="BT22" s="17">
        <f>IF(BT$3="","",IF(AND(DivAs=2,BT$2&lt;ExDivPct),ExDivTree!BT22+DivAmount*EXP(IntRate*(BT$2-ExDivPct)),ExDivTree!BT22))</f>
        <v>239.55188875179999</v>
      </c>
      <c r="BU22" s="17">
        <f>IF(BU$3="","",IF(AND(DivAs=2,BU$2&lt;ExDivPct),ExDivTree!BU22+DivAmount*EXP(IntRate*(BU$2-ExDivPct)),ExDivTree!BU22))</f>
        <v>246.80373774820001</v>
      </c>
      <c r="BV22" s="17">
        <f>IF(BV$3="","",IF(AND(DivAs=2,BV$2&lt;ExDivPct),ExDivTree!BV22+DivAmount*EXP(IntRate*(BV$2-ExDivPct)),ExDivTree!BV22))</f>
        <v>254.27511878070001</v>
      </c>
      <c r="BW22" s="17">
        <f>IF(BW$3="","",IF(AND(DivAs=2,BW$2&lt;ExDivPct),ExDivTree!BW22+DivAmount*EXP(IntRate*(BW$2-ExDivPct)),ExDivTree!BW22))</f>
        <v>261.97267764600002</v>
      </c>
      <c r="BX22" s="17">
        <f>IF(BX$3="","",IF(AND(DivAs=2,BX$2&lt;ExDivPct),ExDivTree!BX22+DivAmount*EXP(IntRate*(BX$2-ExDivPct)),ExDivTree!BX22))</f>
        <v>269.90326132609999</v>
      </c>
      <c r="BY22" s="17">
        <f>IF(BY$3="","",IF(AND(DivAs=2,BY$2&lt;ExDivPct),ExDivTree!BY22+DivAmount*EXP(IntRate*(BY$2-ExDivPct)),ExDivTree!BY22))</f>
        <v>278.07392407890001</v>
      </c>
      <c r="BZ22" s="17">
        <f>IF(BZ$3="","",IF(AND(DivAs=2,BZ$2&lt;ExDivPct),ExDivTree!BZ22+DivAmount*EXP(IntRate*(BZ$2-ExDivPct)),ExDivTree!BZ22))</f>
        <v>286.49193371249999</v>
      </c>
      <c r="CA22" s="17">
        <f>IF(CA$3="","",IF(AND(DivAs=2,CA$2&lt;ExDivPct),ExDivTree!CA22+DivAmount*EXP(IntRate*(CA$2-ExDivPct)),ExDivTree!CA22))</f>
        <v>295.1647780504</v>
      </c>
      <c r="CB22" s="17">
        <f>IF(CB$3="","",IF(AND(DivAs=2,CB$2&lt;ExDivPct),ExDivTree!CB22+DivAmount*EXP(IntRate*(CB$2-ExDivPct)),ExDivTree!CB22))</f>
        <v>304.1001715914</v>
      </c>
      <c r="CC22" s="17">
        <f>IF(CC$3="","",IF(AND(DivAs=2,CC$2&lt;ExDivPct),ExDivTree!CC22+DivAmount*EXP(IntRate*(CC$2-ExDivPct)),ExDivTree!CC22))</f>
        <v>313.30606237220002</v>
      </c>
      <c r="CD22" s="17">
        <f>IF(CD$3="","",IF(AND(DivAs=2,CD$2&lt;ExDivPct),ExDivTree!CD22+DivAmount*EXP(IntRate*(CD$2-ExDivPct)),ExDivTree!CD22))</f>
        <v>322.79063903669999</v>
      </c>
      <c r="CE22" s="17">
        <f>IF(CE$3="","",IF(AND(DivAs=2,CE$2&lt;ExDivPct),ExDivTree!CE22+DivAmount*EXP(IntRate*(CE$2-ExDivPct)),ExDivTree!CE22))</f>
        <v>332.56233812020002</v>
      </c>
      <c r="CF22" s="17">
        <f>IF(CF$3="","",IF(AND(DivAs=2,CF$2&lt;ExDivPct),ExDivTree!CF22+DivAmount*EXP(IntRate*(CF$2-ExDivPct)),ExDivTree!CF22))</f>
        <v>342.62985155339999</v>
      </c>
      <c r="CG22" s="17">
        <f>IF(CG$3="","",IF(AND(DivAs=2,CG$2&lt;ExDivPct),ExDivTree!CG22+DivAmount*EXP(IntRate*(CG$2-ExDivPct)),ExDivTree!CG22))</f>
        <v>353.002134394</v>
      </c>
      <c r="CH22" s="17">
        <f>IF(CH$3="","",IF(AND(DivAs=2,CH$2&lt;ExDivPct),ExDivTree!CH22+DivAmount*EXP(IntRate*(CH$2-ExDivPct)),ExDivTree!CH22))</f>
        <v>363.68841279230003</v>
      </c>
      <c r="CI22" s="17">
        <f>IF(CI$3="","",IF(AND(DivAs=2,CI$2&lt;ExDivPct),ExDivTree!CI22+DivAmount*EXP(IntRate*(CI$2-ExDivPct)),ExDivTree!CI22))</f>
        <v>374.69819219779998</v>
      </c>
      <c r="CJ22" s="17">
        <f>IF(CJ$3="","",IF(AND(DivAs=2,CJ$2&lt;ExDivPct),ExDivTree!CJ22+DivAmount*EXP(IntRate*(CJ$2-ExDivPct)),ExDivTree!CJ22))</f>
        <v>386.04126581420002</v>
      </c>
      <c r="CK22" s="17">
        <f>IF(CK$3="","",IF(AND(DivAs=2,CK$2&lt;ExDivPct),ExDivTree!CK22+DivAmount*EXP(IntRate*(CK$2-ExDivPct)),ExDivTree!CK22))</f>
        <v>397.72772331060003</v>
      </c>
      <c r="CL22" s="17">
        <f>IF(CL$3="","",IF(AND(DivAs=2,CL$2&lt;ExDivPct),ExDivTree!CL22+DivAmount*EXP(IntRate*(CL$2-ExDivPct)),ExDivTree!CL22))</f>
        <v>409.76795979619999</v>
      </c>
      <c r="CM22" s="17">
        <f>IF(CM$3="","",IF(AND(DivAs=2,CM$2&lt;ExDivPct),ExDivTree!CM22+DivAmount*EXP(IntRate*(CM$2-ExDivPct)),ExDivTree!CM22))</f>
        <v>422.1726850668</v>
      </c>
      <c r="CN22" s="17">
        <f>IF(CN$3="","",IF(AND(DivAs=2,CN$2&lt;ExDivPct),ExDivTree!CN22+DivAmount*EXP(IntRate*(CN$2-ExDivPct)),ExDivTree!CN22))</f>
        <v>434.9529331311</v>
      </c>
      <c r="CO22" s="17">
        <f>IF(CO$3="","",IF(AND(DivAs=2,CO$2&lt;ExDivPct),ExDivTree!CO22+DivAmount*EXP(IntRate*(CO$2-ExDivPct)),ExDivTree!CO22))</f>
        <v>448.1200720256</v>
      </c>
      <c r="CP22" s="17">
        <f>IF(CP$3="","",IF(AND(DivAs=2,CP$2&lt;ExDivPct),ExDivTree!CP22+DivAmount*EXP(IntRate*(CP$2-ExDivPct)),ExDivTree!CP22))</f>
        <v>461.68581392620001</v>
      </c>
      <c r="CQ22" s="17">
        <f>IF(CQ$3="","",IF(AND(DivAs=2,CQ$2&lt;ExDivPct),ExDivTree!CQ22+DivAmount*EXP(IntRate*(CQ$2-ExDivPct)),ExDivTree!CQ22))</f>
        <v>475.66222556650001</v>
      </c>
      <c r="CR22" s="17">
        <f>IF(CR$3="","",IF(AND(DivAs=2,CR$2&lt;ExDivPct),ExDivTree!CR22+DivAmount*EXP(IntRate*(CR$2-ExDivPct)),ExDivTree!CR22))</f>
        <v>490.06173897090002</v>
      </c>
      <c r="CS22" s="17">
        <f>IF(CS$3="","",IF(AND(DivAs=2,CS$2&lt;ExDivPct),ExDivTree!CS22+DivAmount*EXP(IntRate*(CS$2-ExDivPct)),ExDivTree!CS22))</f>
        <v>504.89716251300001</v>
      </c>
      <c r="CT22" s="17">
        <f>IF(CT$3="","",IF(AND(DivAs=2,CT$2&lt;ExDivPct),ExDivTree!CT22+DivAmount*EXP(IntRate*(CT$2-ExDivPct)),ExDivTree!CT22))</f>
        <v>520.18169230889998</v>
      </c>
      <c r="CU22" s="17">
        <f>IF(CU$3="","",IF(AND(DivAs=2,CU$2&lt;ExDivPct),ExDivTree!CU22+DivAmount*EXP(IntRate*(CU$2-ExDivPct)),ExDivTree!CU22))</f>
        <v>535.92892395460001</v>
      </c>
      <c r="CV22" s="17">
        <f>IF(CV$3="","",IF(AND(DivAs=2,CV$2&lt;ExDivPct),ExDivTree!CV22+DivAmount*EXP(IntRate*(CV$2-ExDivPct)),ExDivTree!CV22))</f>
        <v>552.15286461979997</v>
      </c>
      <c r="CW22" s="17">
        <f>IF(CW$3="","",IF(AND(DivAs=2,CW$2&lt;ExDivPct),ExDivTree!CW22+DivAmount*EXP(IntRate*(CW$2-ExDivPct)),ExDivTree!CW22))</f>
        <v>568.86794550699994</v>
      </c>
      <c r="CX22" s="17">
        <f>IF(CX$3="","",IF(AND(DivAs=2,CX$2&lt;ExDivPct),ExDivTree!CX22+DivAmount*EXP(IntRate*(CX$2-ExDivPct)),ExDivTree!CX22))</f>
        <v>586.08903468829999</v>
      </c>
      <c r="CY22" s="17">
        <f>IF(CY$3="","",IF(AND(DivAs=2,CY$2&lt;ExDivPct),ExDivTree!CY22+DivAmount*EXP(IntRate*(CY$2-ExDivPct)),ExDivTree!CY22))</f>
        <v>603.83145033020003</v>
      </c>
      <c r="CZ22" s="17">
        <f>IF(CZ$3="","",IF(AND(DivAs=2,CZ$2&lt;ExDivPct),ExDivTree!CZ22+DivAmount*EXP(IntRate*(CZ$2-ExDivPct)),ExDivTree!CZ22))</f>
        <v>622.11097431940004</v>
      </c>
      <c r="DA22" s="17">
        <f>IF(DA$3="","",IF(AND(DivAs=2,DA$2&lt;ExDivPct),ExDivTree!DA22+DivAmount*EXP(IntRate*(DA$2-ExDivPct)),ExDivTree!DA22))</f>
        <v>640.94386630079998</v>
      </c>
      <c r="DB22" s="17">
        <f>IF(DB$3="","",IF(AND(DivAs=2,DB$2&lt;ExDivPct),ExDivTree!DB22+DivAmount*EXP(IntRate*(DB$2-ExDivPct)),ExDivTree!DB22))</f>
        <v>660.34687814020003</v>
      </c>
    </row>
    <row r="23" spans="1:106" x14ac:dyDescent="0.2">
      <c r="A23">
        <f>ExDivTree!A23</f>
        <v>1.6300608374220046E+20</v>
      </c>
      <c r="B23" s="71">
        <f>ExDivTree!B23</f>
        <v>6.4294563388702157E-11</v>
      </c>
      <c r="C23" s="71">
        <f>ExDivTree!C23</f>
        <v>7.5951945311595032E-11</v>
      </c>
      <c r="D23" s="177">
        <f>ExDivTree!D23</f>
        <v>19</v>
      </c>
      <c r="X23" s="17">
        <f>IF(X$3="","",IF(AND(DivAs=2,X$2&lt;ExDivPct),ExDivTree!X23+DivAmount*EXP(IntRate*(X$2-ExDivPct)),ExDivTree!X23))</f>
        <v>53.9256265422</v>
      </c>
      <c r="Y23" s="17">
        <f>IF(Y$3="","",IF(AND(DivAs=2,Y$2&lt;ExDivPct),ExDivTree!Y23+DivAmount*EXP(IntRate*(Y$2-ExDivPct)),ExDivTree!Y23))</f>
        <v>55.558093323199998</v>
      </c>
      <c r="Z23" s="17">
        <f>IF(Z$3="","",IF(AND(DivAs=2,Z$2&lt;ExDivPct),ExDivTree!Z23+DivAmount*EXP(IntRate*(Z$2-ExDivPct)),ExDivTree!Z23))</f>
        <v>57.239979053299997</v>
      </c>
      <c r="AA23" s="17">
        <f>IF(AA$3="","",IF(AND(DivAs=2,AA$2&lt;ExDivPct),ExDivTree!AA23+DivAmount*EXP(IntRate*(AA$2-ExDivPct)),ExDivTree!AA23))</f>
        <v>58.972779770599999</v>
      </c>
      <c r="AB23" s="17">
        <f>IF(AB$3="","",IF(AND(DivAs=2,AB$2&lt;ExDivPct),ExDivTree!AB23+DivAmount*EXP(IntRate*(AB$2-ExDivPct)),ExDivTree!AB23))</f>
        <v>60.758036802100001</v>
      </c>
      <c r="AC23" s="17">
        <f>IF(AC$3="","",IF(AND(DivAs=2,AC$2&lt;ExDivPct),ExDivTree!AC23+DivAmount*EXP(IntRate*(AC$2-ExDivPct)),ExDivTree!AC23))</f>
        <v>62.597338134700003</v>
      </c>
      <c r="AD23" s="17">
        <f>IF(AD$3="","",IF(AND(DivAs=2,AD$2&lt;ExDivPct),ExDivTree!AD23+DivAmount*EXP(IntRate*(AD$2-ExDivPct)),ExDivTree!AD23))</f>
        <v>64.492319827800003</v>
      </c>
      <c r="AE23" s="17">
        <f>IF(AE$3="","",IF(AND(DivAs=2,AE$2&lt;ExDivPct),ExDivTree!AE23+DivAmount*EXP(IntRate*(AE$2-ExDivPct)),ExDivTree!AE23))</f>
        <v>66.4446674685</v>
      </c>
      <c r="AF23" s="17">
        <f>IF(AF$3="","",IF(AND(DivAs=2,AF$2&lt;ExDivPct),ExDivTree!AF23+DivAmount*EXP(IntRate*(AF$2-ExDivPct)),ExDivTree!AF23))</f>
        <v>68.456117670799998</v>
      </c>
      <c r="AG23" s="17">
        <f>IF(AG$3="","",IF(AND(DivAs=2,AG$2&lt;ExDivPct),ExDivTree!AG23+DivAmount*EXP(IntRate*(AG$2-ExDivPct)),ExDivTree!AG23))</f>
        <v>70.528459620700005</v>
      </c>
      <c r="AH23" s="17">
        <f>IF(AH$3="","",IF(AND(DivAs=2,AH$2&lt;ExDivPct),ExDivTree!AH23+DivAmount*EXP(IntRate*(AH$2-ExDivPct)),ExDivTree!AH23))</f>
        <v>72.663536667200006</v>
      </c>
      <c r="AI23" s="17">
        <f>IF(AI$3="","",IF(AND(DivAs=2,AI$2&lt;ExDivPct),ExDivTree!AI23+DivAmount*EXP(IntRate*(AI$2-ExDivPct)),ExDivTree!AI23))</f>
        <v>74.863247962299994</v>
      </c>
      <c r="AJ23" s="17">
        <f>IF(AJ$3="","",IF(AND(DivAs=2,AJ$2&lt;ExDivPct),ExDivTree!AJ23+DivAmount*EXP(IntRate*(AJ$2-ExDivPct)),ExDivTree!AJ23))</f>
        <v>77.129550150300005</v>
      </c>
      <c r="AK23" s="17">
        <f>IF(AK$3="","",IF(AND(DivAs=2,AK$2&lt;ExDivPct),ExDivTree!AK23+DivAmount*EXP(IntRate*(AK$2-ExDivPct)),ExDivTree!AK23))</f>
        <v>79.464459107899998</v>
      </c>
      <c r="AL23" s="17">
        <f>IF(AL$3="","",IF(AND(DivAs=2,AL$2&lt;ExDivPct),ExDivTree!AL23+DivAmount*EXP(IntRate*(AL$2-ExDivPct)),ExDivTree!AL23))</f>
        <v>81.870051737699995</v>
      </c>
      <c r="AM23" s="17">
        <f>IF(AM$3="","",IF(AND(DivAs=2,AM$2&lt;ExDivPct),ExDivTree!AM23+DivAmount*EXP(IntRate*(AM$2-ExDivPct)),ExDivTree!AM23))</f>
        <v>84.348467815399999</v>
      </c>
      <c r="AN23" s="17">
        <f>IF(AN$3="","",IF(AND(DivAs=2,AN$2&lt;ExDivPct),ExDivTree!AN23+DivAmount*EXP(IntRate*(AN$2-ExDivPct)),ExDivTree!AN23))</f>
        <v>86.901911893299996</v>
      </c>
      <c r="AO23" s="17">
        <f>IF(AO$3="","",IF(AND(DivAs=2,AO$2&lt;ExDivPct),ExDivTree!AO23+DivAmount*EXP(IntRate*(AO$2-ExDivPct)),ExDivTree!AO23))</f>
        <v>89.532655261000002</v>
      </c>
      <c r="AP23" s="17">
        <f>IF(AP$3="","",IF(AND(DivAs=2,AP$2&lt;ExDivPct),ExDivTree!AP23+DivAmount*EXP(IntRate*(AP$2-ExDivPct)),ExDivTree!AP23))</f>
        <v>92.243037965900001</v>
      </c>
      <c r="AQ23" s="17">
        <f>IF(AQ$3="","",IF(AND(DivAs=2,AQ$2&lt;ExDivPct),ExDivTree!AQ23+DivAmount*EXP(IntRate*(AQ$2-ExDivPct)),ExDivTree!AQ23))</f>
        <v>95.035470894699998</v>
      </c>
      <c r="AR23" s="17">
        <f>IF(AR$3="","",IF(AND(DivAs=2,AR$2&lt;ExDivPct),ExDivTree!AR23+DivAmount*EXP(IntRate*(AR$2-ExDivPct)),ExDivTree!AR23))</f>
        <v>97.912437917700004</v>
      </c>
      <c r="AS23" s="17">
        <f>IF(AS$3="","",IF(AND(DivAs=2,AS$2&lt;ExDivPct),ExDivTree!AS23+DivAmount*EXP(IntRate*(AS$2-ExDivPct)),ExDivTree!AS23))</f>
        <v>100.87649809840001</v>
      </c>
      <c r="AT23" s="17">
        <f>IF(AT$3="","",IF(AND(DivAs=2,AT$2&lt;ExDivPct),ExDivTree!AT23+DivAmount*EXP(IntRate*(AT$2-ExDivPct)),ExDivTree!AT23))</f>
        <v>103.9302879696</v>
      </c>
      <c r="AU23" s="17">
        <f>IF(AU$3="","",IF(AND(DivAs=2,AU$2&lt;ExDivPct),ExDivTree!AU23+DivAmount*EXP(IntRate*(AU$2-ExDivPct)),ExDivTree!AU23))</f>
        <v>107.0765238788</v>
      </c>
      <c r="AV23" s="17">
        <f>IF(AV$3="","",IF(AND(DivAs=2,AV$2&lt;ExDivPct),ExDivTree!AV23+DivAmount*EXP(IntRate*(AV$2-ExDivPct)),ExDivTree!AV23))</f>
        <v>110.3180044043</v>
      </c>
      <c r="AW23" s="17">
        <f>IF(AW$3="","",IF(AND(DivAs=2,AW$2&lt;ExDivPct),ExDivTree!AW23+DivAmount*EXP(IntRate*(AW$2-ExDivPct)),ExDivTree!AW23))</f>
        <v>113.65761284449999</v>
      </c>
      <c r="AX23" s="17">
        <f>IF(AX$3="","",IF(AND(DivAs=2,AX$2&lt;ExDivPct),ExDivTree!AX23+DivAmount*EXP(IntRate*(AX$2-ExDivPct)),ExDivTree!AX23))</f>
        <v>117.0983197825</v>
      </c>
      <c r="AY23" s="17">
        <f>IF(AY$3="","",IF(AND(DivAs=2,AY$2&lt;ExDivPct),ExDivTree!AY23+DivAmount*EXP(IntRate*(AY$2-ExDivPct)),ExDivTree!AY23))</f>
        <v>120.64318572880001</v>
      </c>
      <c r="AZ23" s="17">
        <f>IF(AZ$3="","",IF(AND(DivAs=2,AZ$2&lt;ExDivPct),ExDivTree!AZ23+DivAmount*EXP(IntRate*(AZ$2-ExDivPct)),ExDivTree!AZ23))</f>
        <v>124.29536384319999</v>
      </c>
      <c r="BA23" s="17">
        <f>IF(BA$3="","",IF(AND(DivAs=2,BA$2&lt;ExDivPct),ExDivTree!BA23+DivAmount*EXP(IntRate*(BA$2-ExDivPct)),ExDivTree!BA23))</f>
        <v>128.05810273980001</v>
      </c>
      <c r="BB23" s="17">
        <f>IF(BB$3="","",IF(AND(DivAs=2,BB$2&lt;ExDivPct),ExDivTree!BB23+DivAmount*EXP(IntRate*(BB$2-ExDivPct)),ExDivTree!BB23))</f>
        <v>131.93474937650001</v>
      </c>
      <c r="BC23" s="17">
        <f>IF(BC$3="","",IF(AND(DivAs=2,BC$2&lt;ExDivPct),ExDivTree!BC23+DivAmount*EXP(IntRate*(BC$2-ExDivPct)),ExDivTree!BC23))</f>
        <v>135.92875203220001</v>
      </c>
      <c r="BD23" s="17">
        <f>IF(BD$3="","",IF(AND(DivAs=2,BD$2&lt;ExDivPct),ExDivTree!BD23+DivAmount*EXP(IntRate*(BD$2-ExDivPct)),ExDivTree!BD23))</f>
        <v>140.04366337420001</v>
      </c>
      <c r="BE23" s="17">
        <f>IF(BE$3="","",IF(AND(DivAs=2,BE$2&lt;ExDivPct),ExDivTree!BE23+DivAmount*EXP(IntRate*(BE$2-ExDivPct)),ExDivTree!BE23))</f>
        <v>144.28314361790001</v>
      </c>
      <c r="BF23" s="17">
        <f>IF(BF$3="","",IF(AND(DivAs=2,BF$2&lt;ExDivPct),ExDivTree!BF23+DivAmount*EXP(IntRate*(BF$2-ExDivPct)),ExDivTree!BF23))</f>
        <v>148.65096378289999</v>
      </c>
      <c r="BG23" s="17">
        <f>IF(BG$3="","",IF(AND(DivAs=2,BG$2&lt;ExDivPct),ExDivTree!BG23+DivAmount*EXP(IntRate*(BG$2-ExDivPct)),ExDivTree!BG23))</f>
        <v>153.15100904720001</v>
      </c>
      <c r="BH23" s="17">
        <f>IF(BH$3="","",IF(AND(DivAs=2,BH$2&lt;ExDivPct),ExDivTree!BH23+DivAmount*EXP(IntRate*(BH$2-ExDivPct)),ExDivTree!BH23))</f>
        <v>157.78728220310001</v>
      </c>
      <c r="BI23" s="17">
        <f>IF(BI$3="","",IF(AND(DivAs=2,BI$2&lt;ExDivPct),ExDivTree!BI23+DivAmount*EXP(IntRate*(BI$2-ExDivPct)),ExDivTree!BI23))</f>
        <v>162.56390721770001</v>
      </c>
      <c r="BJ23" s="17">
        <f>IF(BJ$3="","",IF(AND(DivAs=2,BJ$2&lt;ExDivPct),ExDivTree!BJ23+DivAmount*EXP(IntRate*(BJ$2-ExDivPct)),ExDivTree!BJ23))</f>
        <v>167.48513290099999</v>
      </c>
      <c r="BK23" s="17">
        <f>IF(BK$3="","",IF(AND(DivAs=2,BK$2&lt;ExDivPct),ExDivTree!BK23+DivAmount*EXP(IntRate*(BK$2-ExDivPct)),ExDivTree!BK23))</f>
        <v>172.5553366856</v>
      </c>
      <c r="BL23" s="17">
        <f>IF(BL$3="","",IF(AND(DivAs=2,BL$2&lt;ExDivPct),ExDivTree!BL23+DivAmount*EXP(IntRate*(BL$2-ExDivPct)),ExDivTree!BL23))</f>
        <v>177.77902851990001</v>
      </c>
      <c r="BM23" s="17">
        <f>IF(BM$3="","",IF(AND(DivAs=2,BM$2&lt;ExDivPct),ExDivTree!BM23+DivAmount*EXP(IntRate*(BM$2-ExDivPct)),ExDivTree!BM23))</f>
        <v>183.16085488030001</v>
      </c>
      <c r="BN23" s="17">
        <f>IF(BN$3="","",IF(AND(DivAs=2,BN$2&lt;ExDivPct),ExDivTree!BN23+DivAmount*EXP(IntRate*(BN$2-ExDivPct)),ExDivTree!BN23))</f>
        <v>188.7056029037</v>
      </c>
      <c r="BO23" s="17">
        <f>IF(BO$3="","",IF(AND(DivAs=2,BO$2&lt;ExDivPct),ExDivTree!BO23+DivAmount*EXP(IntRate*(BO$2-ExDivPct)),ExDivTree!BO23))</f>
        <v>194.4182046459</v>
      </c>
      <c r="BP23" s="17">
        <f>IF(BP$3="","",IF(AND(DivAs=2,BP$2&lt;ExDivPct),ExDivTree!BP23+DivAmount*EXP(IntRate*(BP$2-ExDivPct)),ExDivTree!BP23))</f>
        <v>200.30374146880001</v>
      </c>
      <c r="BQ23" s="17">
        <f>IF(BQ$3="","",IF(AND(DivAs=2,BQ$2&lt;ExDivPct),ExDivTree!BQ23+DivAmount*EXP(IntRate*(BQ$2-ExDivPct)),ExDivTree!BQ23))</f>
        <v>206.3674485601</v>
      </c>
      <c r="BR23" s="17">
        <f>IF(BR$3="","",IF(AND(DivAs=2,BR$2&lt;ExDivPct),ExDivTree!BR23+DivAmount*EXP(IntRate*(BR$2-ExDivPct)),ExDivTree!BR23))</f>
        <v>212.61471958990001</v>
      </c>
      <c r="BS23" s="17">
        <f>IF(BS$3="","",IF(AND(DivAs=2,BS$2&lt;ExDivPct),ExDivTree!BS23+DivAmount*EXP(IntRate*(BS$2-ExDivPct)),ExDivTree!BS23))</f>
        <v>219.05111150869999</v>
      </c>
      <c r="BT23" s="17">
        <f>IF(BT$3="","",IF(AND(DivAs=2,BT$2&lt;ExDivPct),ExDivTree!BT23+DivAmount*EXP(IntRate*(BT$2-ExDivPct)),ExDivTree!BT23))</f>
        <v>225.68234948989999</v>
      </c>
      <c r="BU23" s="17">
        <f>IF(BU$3="","",IF(AND(DivAs=2,BU$2&lt;ExDivPct),ExDivTree!BU23+DivAmount*EXP(IntRate*(BU$2-ExDivPct)),ExDivTree!BU23))</f>
        <v>232.51433202280001</v>
      </c>
      <c r="BV23" s="17">
        <f>IF(BV$3="","",IF(AND(DivAs=2,BV$2&lt;ExDivPct),ExDivTree!BV23+DivAmount*EXP(IntRate*(BV$2-ExDivPct)),ExDivTree!BV23))</f>
        <v>239.55313615879999</v>
      </c>
      <c r="BW23" s="17">
        <f>IF(BW$3="","",IF(AND(DivAs=2,BW$2&lt;ExDivPct),ExDivTree!BW23+DivAmount*EXP(IntRate*(BW$2-ExDivPct)),ExDivTree!BW23))</f>
        <v>246.8050229175</v>
      </c>
      <c r="BX23" s="17">
        <f>IF(BX$3="","",IF(AND(DivAs=2,BX$2&lt;ExDivPct),ExDivTree!BX23+DivAmount*EXP(IntRate*(BX$2-ExDivPct)),ExDivTree!BX23))</f>
        <v>254.27644285529999</v>
      </c>
      <c r="BY23" s="17">
        <f>IF(BY$3="","",IF(AND(DivAs=2,BY$2&lt;ExDivPct),ExDivTree!BY23+DivAmount*EXP(IntRate*(BY$2-ExDivPct)),ExDivTree!BY23))</f>
        <v>261.9740418037</v>
      </c>
      <c r="BZ23" s="17">
        <f>IF(BZ$3="","",IF(AND(DivAs=2,BZ$2&lt;ExDivPct),ExDivTree!BZ23+DivAmount*EXP(IntRate*(BZ$2-ExDivPct)),ExDivTree!BZ23))</f>
        <v>269.90466678040002</v>
      </c>
      <c r="CA23" s="17">
        <f>IF(CA$3="","",IF(AND(DivAs=2,CA$2&lt;ExDivPct),ExDivTree!CA23+DivAmount*EXP(IntRate*(CA$2-ExDivPct)),ExDivTree!CA23))</f>
        <v>278.07537207989998</v>
      </c>
      <c r="CB23" s="17">
        <f>IF(CB$3="","",IF(AND(DivAs=2,CB$2&lt;ExDivPct),ExDivTree!CB23+DivAmount*EXP(IntRate*(CB$2-ExDivPct)),ExDivTree!CB23))</f>
        <v>286.49342554819998</v>
      </c>
      <c r="CC23" s="17">
        <f>IF(CC$3="","",IF(AND(DivAs=2,CC$2&lt;ExDivPct),ExDivTree!CC23+DivAmount*EXP(IntRate*(CC$2-ExDivPct)),ExDivTree!CC23))</f>
        <v>295.16631504769998</v>
      </c>
      <c r="CD23" s="17">
        <f>IF(CD$3="","",IF(AND(DivAs=2,CD$2&lt;ExDivPct),ExDivTree!CD23+DivAmount*EXP(IntRate*(CD$2-ExDivPct)),ExDivTree!CD23))</f>
        <v>304.10175511760002</v>
      </c>
      <c r="CE23" s="17">
        <f>IF(CE$3="","",IF(AND(DivAs=2,CE$2&lt;ExDivPct),ExDivTree!CE23+DivAmount*EXP(IntRate*(CE$2-ExDivPct)),ExDivTree!CE23))</f>
        <v>313.30769383580002</v>
      </c>
      <c r="CF23" s="17">
        <f>IF(CF$3="","",IF(AND(DivAs=2,CF$2&lt;ExDivPct),ExDivTree!CF23+DivAmount*EXP(IntRate*(CF$2-ExDivPct)),ExDivTree!CF23))</f>
        <v>322.79231988890001</v>
      </c>
      <c r="CG23" s="17">
        <f>IF(CG$3="","",IF(AND(DivAs=2,CG$2&lt;ExDivPct),ExDivTree!CG23+DivAmount*EXP(IntRate*(CG$2-ExDivPct)),ExDivTree!CG23))</f>
        <v>332.56406985609999</v>
      </c>
      <c r="CH23" s="17">
        <f>IF(CH$3="","",IF(AND(DivAs=2,CH$2&lt;ExDivPct),ExDivTree!CH23+DivAmount*EXP(IntRate*(CH$2-ExDivPct)),ExDivTree!CH23))</f>
        <v>342.63163571339999</v>
      </c>
      <c r="CI23" s="17">
        <f>IF(CI$3="","",IF(AND(DivAs=2,CI$2&lt;ExDivPct),ExDivTree!CI23+DivAmount*EXP(IntRate*(CI$2-ExDivPct)),ExDivTree!CI23))</f>
        <v>353.00397256510001</v>
      </c>
      <c r="CJ23" s="17">
        <f>IF(CJ$3="","",IF(AND(DivAs=2,CJ$2&lt;ExDivPct),ExDivTree!CJ23+DivAmount*EXP(IntRate*(CJ$2-ExDivPct)),ExDivTree!CJ23))</f>
        <v>363.69030660959999</v>
      </c>
      <c r="CK23" s="17">
        <f>IF(CK$3="","",IF(AND(DivAs=2,CK$2&lt;ExDivPct),ExDivTree!CK23+DivAmount*EXP(IntRate*(CK$2-ExDivPct)),ExDivTree!CK23))</f>
        <v>374.70014334579997</v>
      </c>
      <c r="CL23" s="17">
        <f>IF(CL$3="","",IF(AND(DivAs=2,CL$2&lt;ExDivPct),ExDivTree!CL23+DivAmount*EXP(IntRate*(CL$2-ExDivPct)),ExDivTree!CL23))</f>
        <v>386.04327602849997</v>
      </c>
      <c r="CM23" s="17">
        <f>IF(CM$3="","",IF(AND(DivAs=2,CM$2&lt;ExDivPct),ExDivTree!CM23+DivAmount*EXP(IntRate*(CM$2-ExDivPct)),ExDivTree!CM23))</f>
        <v>397.72979437919997</v>
      </c>
      <c r="CN23" s="17">
        <f>IF(CN$3="","",IF(AND(DivAs=2,CN$2&lt;ExDivPct),ExDivTree!CN23+DivAmount*EXP(IntRate*(CN$2-ExDivPct)),ExDivTree!CN23))</f>
        <v>409.77009356140002</v>
      </c>
      <c r="CO23" s="17">
        <f>IF(CO$3="","",IF(AND(DivAs=2,CO$2&lt;ExDivPct),ExDivTree!CO23+DivAmount*EXP(IntRate*(CO$2-ExDivPct)),ExDivTree!CO23))</f>
        <v>422.17488342659999</v>
      </c>
      <c r="CP23" s="17">
        <f>IF(CP$3="","",IF(AND(DivAs=2,CP$2&lt;ExDivPct),ExDivTree!CP23+DivAmount*EXP(IntRate*(CP$2-ExDivPct)),ExDivTree!CP23))</f>
        <v>434.95519804089997</v>
      </c>
      <c r="CQ23" s="17">
        <f>IF(CQ$3="","",IF(AND(DivAs=2,CQ$2&lt;ExDivPct),ExDivTree!CQ23+DivAmount*EXP(IntRate*(CQ$2-ExDivPct)),ExDivTree!CQ23))</f>
        <v>448.12240550000001</v>
      </c>
      <c r="CR23" s="17">
        <f>IF(CR$3="","",IF(AND(DivAs=2,CR$2&lt;ExDivPct),ExDivTree!CR23+DivAmount*EXP(IntRate*(CR$2-ExDivPct)),ExDivTree!CR23))</f>
        <v>461.6882180408</v>
      </c>
      <c r="CS23" s="17">
        <f>IF(CS$3="","",IF(AND(DivAs=2,CS$2&lt;ExDivPct),ExDivTree!CS23+DivAmount*EXP(IntRate*(CS$2-ExDivPct)),ExDivTree!CS23))</f>
        <v>475.66470245980003</v>
      </c>
      <c r="CT23" s="17">
        <f>IF(CT$3="","",IF(AND(DivAs=2,CT$2&lt;ExDivPct),ExDivTree!CT23+DivAmount*EXP(IntRate*(CT$2-ExDivPct)),ExDivTree!CT23))</f>
        <v>490.06429084609999</v>
      </c>
      <c r="CU23" s="17">
        <f>IF(CU$3="","",IF(AND(DivAs=2,CU$2&lt;ExDivPct),ExDivTree!CU23+DivAmount*EXP(IntRate*(CU$2-ExDivPct)),ExDivTree!CU23))</f>
        <v>504.89979163999999</v>
      </c>
      <c r="CV23" s="17">
        <f>IF(CV$3="","",IF(AND(DivAs=2,CV$2&lt;ExDivPct),ExDivTree!CV23+DivAmount*EXP(IntRate*(CV$2-ExDivPct)),ExDivTree!CV23))</f>
        <v>520.18440102629995</v>
      </c>
      <c r="CW23" s="17">
        <f>IF(CW$3="","",IF(AND(DivAs=2,CW$2&lt;ExDivPct),ExDivTree!CW23+DivAmount*EXP(IntRate*(CW$2-ExDivPct)),ExDivTree!CW23))</f>
        <v>535.93171467180002</v>
      </c>
      <c r="CX23" s="17">
        <f>IF(CX$3="","",IF(AND(DivAs=2,CX$2&lt;ExDivPct),ExDivTree!CX23+DivAmount*EXP(IntRate*(CX$2-ExDivPct)),ExDivTree!CX23))</f>
        <v>552.15573981919999</v>
      </c>
      <c r="CY23" s="17">
        <f>IF(CY$3="","",IF(AND(DivAs=2,CY$2&lt;ExDivPct),ExDivTree!CY23+DivAmount*EXP(IntRate*(CY$2-ExDivPct)),ExDivTree!CY23))</f>
        <v>568.87090774609999</v>
      </c>
      <c r="CZ23" s="17">
        <f>IF(CZ$3="","",IF(AND(DivAs=2,CZ$2&lt;ExDivPct),ExDivTree!CZ23+DivAmount*EXP(IntRate*(CZ$2-ExDivPct)),ExDivTree!CZ23))</f>
        <v>586.09208660189995</v>
      </c>
      <c r="DA23" s="17">
        <f>IF(DA$3="","",IF(AND(DivAs=2,DA$2&lt;ExDivPct),ExDivTree!DA23+DivAmount*EXP(IntRate*(DA$2-ExDivPct)),ExDivTree!DA23))</f>
        <v>603.83459463300005</v>
      </c>
      <c r="DB23" s="17">
        <f>IF(DB$3="","",IF(AND(DivAs=2,DB$2&lt;ExDivPct),ExDivTree!DB23+DivAmount*EXP(IntRate*(DB$2-ExDivPct)),ExDivTree!DB23))</f>
        <v>622.11421380829995</v>
      </c>
    </row>
    <row r="24" spans="1:106" x14ac:dyDescent="0.2">
      <c r="A24">
        <f>ExDivTree!A24</f>
        <v>6.6832494334302211E+20</v>
      </c>
      <c r="B24" s="71">
        <f>ExDivTree!B24</f>
        <v>2.6360770989367893E-10</v>
      </c>
      <c r="C24" s="71">
        <f>ExDivTree!C24</f>
        <v>3.0975660572226971E-10</v>
      </c>
      <c r="D24" s="177">
        <f>ExDivTree!D24</f>
        <v>20</v>
      </c>
      <c r="Y24" s="17">
        <f>IF(Y$3="","",IF(AND(DivAs=2,Y$2&lt;ExDivPct),ExDivTree!Y24+DivAmount*EXP(IntRate*(Y$2-ExDivPct)),ExDivTree!Y24))</f>
        <v>52.341399183500002</v>
      </c>
      <c r="Z24" s="17">
        <f>IF(Z$3="","",IF(AND(DivAs=2,Z$2&lt;ExDivPct),ExDivTree!Z24+DivAmount*EXP(IntRate*(Z$2-ExDivPct)),ExDivTree!Z24))</f>
        <v>53.925907346300001</v>
      </c>
      <c r="AA24" s="17">
        <f>IF(AA$3="","",IF(AND(DivAs=2,AA$2&lt;ExDivPct),ExDivTree!AA24+DivAmount*EXP(IntRate*(AA$2-ExDivPct)),ExDivTree!AA24))</f>
        <v>55.558382627999997</v>
      </c>
      <c r="AB24" s="17">
        <f>IF(AB$3="","",IF(AND(DivAs=2,AB$2&lt;ExDivPct),ExDivTree!AB24+DivAmount*EXP(IntRate*(AB$2-ExDivPct)),ExDivTree!AB24))</f>
        <v>57.240277116100003</v>
      </c>
      <c r="AC24" s="17">
        <f>IF(AC$3="","",IF(AND(DivAs=2,AC$2&lt;ExDivPct),ExDivTree!AC24+DivAmount*EXP(IntRate*(AC$2-ExDivPct)),ExDivTree!AC24))</f>
        <v>58.973086856499997</v>
      </c>
      <c r="AD24" s="17">
        <f>IF(AD$3="","",IF(AND(DivAs=2,AD$2&lt;ExDivPct),ExDivTree!AD24+DivAmount*EXP(IntRate*(AD$2-ExDivPct)),ExDivTree!AD24))</f>
        <v>60.758353184299999</v>
      </c>
      <c r="AE24" s="17">
        <f>IF(AE$3="","",IF(AND(DivAs=2,AE$2&lt;ExDivPct),ExDivTree!AE24+DivAmount*EXP(IntRate*(AE$2-ExDivPct)),ExDivTree!AE24))</f>
        <v>62.597664094599999</v>
      </c>
      <c r="AF24" s="17">
        <f>IF(AF$3="","",IF(AND(DivAs=2,AF$2&lt;ExDivPct),ExDivTree!AF24+DivAmount*EXP(IntRate*(AF$2-ExDivPct)),ExDivTree!AF24))</f>
        <v>64.492655655299998</v>
      </c>
      <c r="AG24" s="17">
        <f>IF(AG$3="","",IF(AND(DivAs=2,AG$2&lt;ExDivPct),ExDivTree!AG24+DivAmount*EXP(IntRate*(AG$2-ExDivPct)),ExDivTree!AG24))</f>
        <v>66.445013462299997</v>
      </c>
      <c r="AH24" s="17">
        <f>IF(AH$3="","",IF(AND(DivAs=2,AH$2&lt;ExDivPct),ExDivTree!AH24+DivAmount*EXP(IntRate*(AH$2-ExDivPct)),ExDivTree!AH24))</f>
        <v>68.456474138800004</v>
      </c>
      <c r="AI24" s="17">
        <f>IF(AI$3="","",IF(AND(DivAs=2,AI$2&lt;ExDivPct),ExDivTree!AI24+DivAmount*EXP(IntRate*(AI$2-ExDivPct)),ExDivTree!AI24))</f>
        <v>70.528826879899995</v>
      </c>
      <c r="AJ24" s="17">
        <f>IF(AJ$3="","",IF(AND(DivAs=2,AJ$2&lt;ExDivPct),ExDivTree!AJ24+DivAmount*EXP(IntRate*(AJ$2-ExDivPct)),ExDivTree!AJ24))</f>
        <v>72.663915044299998</v>
      </c>
      <c r="AK24" s="17">
        <f>IF(AK$3="","",IF(AND(DivAs=2,AK$2&lt;ExDivPct),ExDivTree!AK24+DivAmount*EXP(IntRate*(AK$2-ExDivPct)),ExDivTree!AK24))</f>
        <v>74.863637793899997</v>
      </c>
      <c r="AL24" s="17">
        <f>IF(AL$3="","",IF(AND(DivAs=2,AL$2&lt;ExDivPct),ExDivTree!AL24+DivAmount*EXP(IntRate*(AL$2-ExDivPct)),ExDivTree!AL24))</f>
        <v>77.129951783099997</v>
      </c>
      <c r="AM24" s="17">
        <f>IF(AM$3="","",IF(AND(DivAs=2,AM$2&lt;ExDivPct),ExDivTree!AM24+DivAmount*EXP(IntRate*(AM$2-ExDivPct)),ExDivTree!AM24))</f>
        <v>79.464872899100001</v>
      </c>
      <c r="AN24" s="17">
        <f>IF(AN$3="","",IF(AND(DivAs=2,AN$2&lt;ExDivPct),ExDivTree!AN24+DivAmount*EXP(IntRate*(AN$2-ExDivPct)),ExDivTree!AN24))</f>
        <v>81.8704780554</v>
      </c>
      <c r="AO24" s="17">
        <f>IF(AO$3="","",IF(AND(DivAs=2,AO$2&lt;ExDivPct),ExDivTree!AO24+DivAmount*EXP(IntRate*(AO$2-ExDivPct)),ExDivTree!AO24))</f>
        <v>84.348907038899995</v>
      </c>
      <c r="AP24" s="17">
        <f>IF(AP$3="","",IF(AND(DivAs=2,AP$2&lt;ExDivPct),ExDivTree!AP24+DivAmount*EXP(IntRate*(AP$2-ExDivPct)),ExDivTree!AP24))</f>
        <v>86.902364413200004</v>
      </c>
      <c r="AQ24" s="17">
        <f>IF(AQ$3="","",IF(AND(DivAs=2,AQ$2&lt;ExDivPct),ExDivTree!AQ24+DivAmount*EXP(IntRate*(AQ$2-ExDivPct)),ExDivTree!AQ24))</f>
        <v>89.533121479800002</v>
      </c>
      <c r="AR24" s="17">
        <f>IF(AR$3="","",IF(AND(DivAs=2,AR$2&lt;ExDivPct),ExDivTree!AR24+DivAmount*EXP(IntRate*(AR$2-ExDivPct)),ExDivTree!AR24))</f>
        <v>92.243518298400005</v>
      </c>
      <c r="AS24" s="17">
        <f>IF(AS$3="","",IF(AND(DivAs=2,AS$2&lt;ExDivPct),ExDivTree!AS24+DivAmount*EXP(IntRate*(AS$2-ExDivPct)),ExDivTree!AS24))</f>
        <v>95.035965768099999</v>
      </c>
      <c r="AT24" s="17">
        <f>IF(AT$3="","",IF(AND(DivAs=2,AT$2&lt;ExDivPct),ExDivTree!AT24+DivAmount*EXP(IntRate*(AT$2-ExDivPct)),ExDivTree!AT24))</f>
        <v>97.912947772199999</v>
      </c>
      <c r="AU24" s="17">
        <f>IF(AU$3="","",IF(AND(DivAs=2,AU$2&lt;ExDivPct),ExDivTree!AU24+DivAmount*EXP(IntRate*(AU$2-ExDivPct)),ExDivTree!AU24))</f>
        <v>100.8770233875</v>
      </c>
      <c r="AV24" s="17">
        <f>IF(AV$3="","",IF(AND(DivAs=2,AV$2&lt;ExDivPct),ExDivTree!AV24+DivAmount*EXP(IntRate*(AV$2-ExDivPct)),ExDivTree!AV24))</f>
        <v>103.9308291606</v>
      </c>
      <c r="AW24" s="17">
        <f>IF(AW$3="","",IF(AND(DivAs=2,AW$2&lt;ExDivPct),ExDivTree!AW24+DivAmount*EXP(IntRate*(AW$2-ExDivPct)),ExDivTree!AW24))</f>
        <v>107.07708145310001</v>
      </c>
      <c r="AX24" s="17">
        <f>IF(AX$3="","",IF(AND(DivAs=2,AX$2&lt;ExDivPct),ExDivTree!AX24+DivAmount*EXP(IntRate*(AX$2-ExDivPct)),ExDivTree!AX24))</f>
        <v>110.31857885780001</v>
      </c>
      <c r="AY24" s="17">
        <f>IF(AY$3="","",IF(AND(DivAs=2,AY$2&lt;ExDivPct),ExDivTree!AY24+DivAmount*EXP(IntRate*(AY$2-ExDivPct)),ExDivTree!AY24))</f>
        <v>113.6582046881</v>
      </c>
      <c r="AZ24" s="17">
        <f>IF(AZ$3="","",IF(AND(DivAs=2,AZ$2&lt;ExDivPct),ExDivTree!AZ24+DivAmount*EXP(IntRate*(AZ$2-ExDivPct)),ExDivTree!AZ24))</f>
        <v>117.09892954270001</v>
      </c>
      <c r="BA24" s="17">
        <f>IF(BA$3="","",IF(AND(DivAs=2,BA$2&lt;ExDivPct),ExDivTree!BA24+DivAmount*EXP(IntRate*(BA$2-ExDivPct)),ExDivTree!BA24))</f>
        <v>120.643813948</v>
      </c>
      <c r="BB24" s="17">
        <f>IF(BB$3="","",IF(AND(DivAs=2,BB$2&lt;ExDivPct),ExDivTree!BB24+DivAmount*EXP(IntRate*(BB$2-ExDivPct)),ExDivTree!BB24))</f>
        <v>124.2960110802</v>
      </c>
      <c r="BC24" s="17">
        <f>IF(BC$3="","",IF(AND(DivAs=2,BC$2&lt;ExDivPct),ExDivTree!BC24+DivAmount*EXP(IntRate*(BC$2-ExDivPct)),ExDivTree!BC24))</f>
        <v>128.0587695703</v>
      </c>
      <c r="BD24" s="17">
        <f>IF(BD$3="","",IF(AND(DivAs=2,BD$2&lt;ExDivPct),ExDivTree!BD24+DivAmount*EXP(IntRate*(BD$2-ExDivPct)),ExDivTree!BD24))</f>
        <v>131.93543639360001</v>
      </c>
      <c r="BE24" s="17">
        <f>IF(BE$3="","",IF(AND(DivAs=2,BE$2&lt;ExDivPct),ExDivTree!BE24+DivAmount*EXP(IntRate*(BE$2-ExDivPct)),ExDivTree!BE24))</f>
        <v>135.92945984709999</v>
      </c>
      <c r="BF24" s="17">
        <f>IF(BF$3="","",IF(AND(DivAs=2,BF$2&lt;ExDivPct),ExDivTree!BF24+DivAmount*EXP(IntRate*(BF$2-ExDivPct)),ExDivTree!BF24))</f>
        <v>140.04439261639999</v>
      </c>
      <c r="BG24" s="17">
        <f>IF(BG$3="","",IF(AND(DivAs=2,BG$2&lt;ExDivPct),ExDivTree!BG24+DivAmount*EXP(IntRate*(BG$2-ExDivPct)),ExDivTree!BG24))</f>
        <v>144.28389493610001</v>
      </c>
      <c r="BH24" s="17">
        <f>IF(BH$3="","",IF(AND(DivAs=2,BH$2&lt;ExDivPct),ExDivTree!BH24+DivAmount*EXP(IntRate*(BH$2-ExDivPct)),ExDivTree!BH24))</f>
        <v>148.65173784539999</v>
      </c>
      <c r="BI24" s="17">
        <f>IF(BI$3="","",IF(AND(DivAs=2,BI$2&lt;ExDivPct),ExDivTree!BI24+DivAmount*EXP(IntRate*(BI$2-ExDivPct)),ExDivTree!BI24))</f>
        <v>153.1518065425</v>
      </c>
      <c r="BJ24" s="17">
        <f>IF(BJ$3="","",IF(AND(DivAs=2,BJ$2&lt;ExDivPct),ExDivTree!BJ24+DivAmount*EXP(IntRate*(BJ$2-ExDivPct)),ExDivTree!BJ24))</f>
        <v>157.7881038406</v>
      </c>
      <c r="BK24" s="17">
        <f>IF(BK$3="","",IF(AND(DivAs=2,BK$2&lt;ExDivPct),ExDivTree!BK24+DivAmount*EXP(IntRate*(BK$2-ExDivPct)),ExDivTree!BK24))</f>
        <v>162.5647537282</v>
      </c>
      <c r="BL24" s="17">
        <f>IF(BL$3="","",IF(AND(DivAs=2,BL$2&lt;ExDivPct),ExDivTree!BL24+DivAmount*EXP(IntRate*(BL$2-ExDivPct)),ExDivTree!BL24))</f>
        <v>167.48600503759999</v>
      </c>
      <c r="BM24" s="17">
        <f>IF(BM$3="","",IF(AND(DivAs=2,BM$2&lt;ExDivPct),ExDivTree!BM24+DivAmount*EXP(IntRate*(BM$2-ExDivPct)),ExDivTree!BM24))</f>
        <v>172.55623522400001</v>
      </c>
      <c r="BN24" s="17">
        <f>IF(BN$3="","",IF(AND(DivAs=2,BN$2&lt;ExDivPct),ExDivTree!BN24+DivAmount*EXP(IntRate*(BN$2-ExDivPct)),ExDivTree!BN24))</f>
        <v>177.7799542594</v>
      </c>
      <c r="BO24" s="17">
        <f>IF(BO$3="","",IF(AND(DivAs=2,BO$2&lt;ExDivPct),ExDivTree!BO24+DivAmount*EXP(IntRate*(BO$2-ExDivPct)),ExDivTree!BO24))</f>
        <v>183.16180864430001</v>
      </c>
      <c r="BP24" s="17">
        <f>IF(BP$3="","",IF(AND(DivAs=2,BP$2&lt;ExDivPct),ExDivTree!BP24+DivAmount*EXP(IntRate*(BP$2-ExDivPct)),ExDivTree!BP24))</f>
        <v>188.7065855406</v>
      </c>
      <c r="BQ24" s="17">
        <f>IF(BQ$3="","",IF(AND(DivAs=2,BQ$2&lt;ExDivPct),ExDivTree!BQ24+DivAmount*EXP(IntRate*(BQ$2-ExDivPct)),ExDivTree!BQ24))</f>
        <v>194.4192170298</v>
      </c>
      <c r="BR24" s="17">
        <f>IF(BR$3="","",IF(AND(DivAs=2,BR$2&lt;ExDivPct),ExDivTree!BR24+DivAmount*EXP(IntRate*(BR$2-ExDivPct)),ExDivTree!BR24))</f>
        <v>200.30478450019999</v>
      </c>
      <c r="BS24" s="17">
        <f>IF(BS$3="","",IF(AND(DivAs=2,BS$2&lt;ExDivPct),ExDivTree!BS24+DivAmount*EXP(IntRate*(BS$2-ExDivPct)),ExDivTree!BS24))</f>
        <v>206.36852316669999</v>
      </c>
      <c r="BT24" s="17">
        <f>IF(BT$3="","",IF(AND(DivAs=2,BT$2&lt;ExDivPct),ExDivTree!BT24+DivAmount*EXP(IntRate*(BT$2-ExDivPct)),ExDivTree!BT24))</f>
        <v>212.61582672759999</v>
      </c>
      <c r="BU24" s="17">
        <f>IF(BU$3="","",IF(AND(DivAs=2,BU$2&lt;ExDivPct),ExDivTree!BU24+DivAmount*EXP(IntRate*(BU$2-ExDivPct)),ExDivTree!BU24))</f>
        <v>219.05225216229999</v>
      </c>
      <c r="BV24" s="17">
        <f>IF(BV$3="","",IF(AND(DivAs=2,BV$2&lt;ExDivPct),ExDivTree!BV24+DivAmount*EXP(IntRate*(BV$2-ExDivPct)),ExDivTree!BV24))</f>
        <v>225.68352467400001</v>
      </c>
      <c r="BW24" s="17">
        <f>IF(BW$3="","",IF(AND(DivAs=2,BW$2&lt;ExDivPct),ExDivTree!BW24+DivAmount*EXP(IntRate*(BW$2-ExDivPct)),ExDivTree!BW24))</f>
        <v>232.51554278270001</v>
      </c>
      <c r="BX24" s="17">
        <f>IF(BX$3="","",IF(AND(DivAs=2,BX$2&lt;ExDivPct),ExDivTree!BX24+DivAmount*EXP(IntRate*(BX$2-ExDivPct)),ExDivTree!BX24))</f>
        <v>239.55438357150001</v>
      </c>
      <c r="BY24" s="17">
        <f>IF(BY$3="","",IF(AND(DivAs=2,BY$2&lt;ExDivPct),ExDivTree!BY24+DivAmount*EXP(IntRate*(BY$2-ExDivPct)),ExDivTree!BY24))</f>
        <v>246.80630809249999</v>
      </c>
      <c r="BZ24" s="17">
        <f>IF(BZ$3="","",IF(AND(DivAs=2,BZ$2&lt;ExDivPct),ExDivTree!BZ24+DivAmount*EXP(IntRate*(BZ$2-ExDivPct)),ExDivTree!BZ24))</f>
        <v>254.27776693589999</v>
      </c>
      <c r="CA24" s="17">
        <f>IF(CA$3="","",IF(AND(DivAs=2,CA$2&lt;ExDivPct),ExDivTree!CA24+DivAmount*EXP(IntRate*(CA$2-ExDivPct)),ExDivTree!CA24))</f>
        <v>261.97540596760001</v>
      </c>
      <c r="CB24" s="17">
        <f>IF(CB$3="","",IF(AND(DivAs=2,CB$2&lt;ExDivPct),ExDivTree!CB24+DivAmount*EXP(IntRate*(CB$2-ExDivPct)),ExDivTree!CB24))</f>
        <v>269.906072241</v>
      </c>
      <c r="CC24" s="17">
        <f>IF(CC$3="","",IF(AND(DivAs=2,CC$2&lt;ExDivPct),ExDivTree!CC24+DivAmount*EXP(IntRate*(CC$2-ExDivPct)),ExDivTree!CC24))</f>
        <v>278.07682008739999</v>
      </c>
      <c r="CD24" s="17">
        <f>IF(CD$3="","",IF(AND(DivAs=2,CD$2&lt;ExDivPct),ExDivTree!CD24+DivAmount*EXP(IntRate*(CD$2-ExDivPct)),ExDivTree!CD24))</f>
        <v>286.49491739059999</v>
      </c>
      <c r="CE24" s="17">
        <f>IF(CE$3="","",IF(AND(DivAs=2,CE$2&lt;ExDivPct),ExDivTree!CE24+DivAmount*EXP(IntRate*(CE$2-ExDivPct)),ExDivTree!CE24))</f>
        <v>295.167852052</v>
      </c>
      <c r="CF24" s="17">
        <f>IF(CF$3="","",IF(AND(DivAs=2,CF$2&lt;ExDivPct),ExDivTree!CF24+DivAmount*EXP(IntRate*(CF$2-ExDivPct)),ExDivTree!CF24))</f>
        <v>304.10333865090001</v>
      </c>
      <c r="CG24" s="17">
        <f>IF(CG$3="","",IF(AND(DivAs=2,CG$2&lt;ExDivPct),ExDivTree!CG24+DivAmount*EXP(IntRate*(CG$2-ExDivPct)),ExDivTree!CG24))</f>
        <v>313.30932530669998</v>
      </c>
      <c r="CH24" s="17">
        <f>IF(CH$3="","",IF(AND(DivAs=2,CH$2&lt;ExDivPct),ExDivTree!CH24+DivAmount*EXP(IntRate*(CH$2-ExDivPct)),ExDivTree!CH24))</f>
        <v>322.79400074860001</v>
      </c>
      <c r="CI24" s="17">
        <f>IF(CI$3="","",IF(AND(DivAs=2,CI$2&lt;ExDivPct),ExDivTree!CI24+DivAmount*EXP(IntRate*(CI$2-ExDivPct)),ExDivTree!CI24))</f>
        <v>332.56580159970002</v>
      </c>
      <c r="CJ24" s="17">
        <f>IF(CJ$3="","",IF(AND(DivAs=2,CJ$2&lt;ExDivPct),ExDivTree!CJ24+DivAmount*EXP(IntRate*(CJ$2-ExDivPct)),ExDivTree!CJ24))</f>
        <v>342.63341988129997</v>
      </c>
      <c r="CK24" s="17">
        <f>IF(CK$3="","",IF(AND(DivAs=2,CK$2&lt;ExDivPct),ExDivTree!CK24+DivAmount*EXP(IntRate*(CK$2-ExDivPct)),ExDivTree!CK24))</f>
        <v>353.00581074439998</v>
      </c>
      <c r="CL24" s="17">
        <f>IF(CL$3="","",IF(AND(DivAs=2,CL$2&lt;ExDivPct),ExDivTree!CL24+DivAmount*EXP(IntRate*(CL$2-ExDivPct)),ExDivTree!CL24))</f>
        <v>363.69220043529998</v>
      </c>
      <c r="CM24" s="17">
        <f>IF(CM$3="","",IF(AND(DivAs=2,CM$2&lt;ExDivPct),ExDivTree!CM24+DivAmount*EXP(IntRate*(CM$2-ExDivPct)),ExDivTree!CM24))</f>
        <v>374.70209450239997</v>
      </c>
      <c r="CN24" s="17">
        <f>IF(CN$3="","",IF(AND(DivAs=2,CN$2&lt;ExDivPct),ExDivTree!CN24+DivAmount*EXP(IntRate*(CN$2-ExDivPct)),ExDivTree!CN24))</f>
        <v>386.04528625159998</v>
      </c>
      <c r="CO24" s="17">
        <f>IF(CO$3="","",IF(AND(DivAs=2,CO$2&lt;ExDivPct),ExDivTree!CO24+DivAmount*EXP(IntRate*(CO$2-ExDivPct)),ExDivTree!CO24))</f>
        <v>397.73186545689998</v>
      </c>
      <c r="CP24" s="17">
        <f>IF(CP$3="","",IF(AND(DivAs=2,CP$2&lt;ExDivPct),ExDivTree!CP24+DivAmount*EXP(IntRate*(CP$2-ExDivPct)),ExDivTree!CP24))</f>
        <v>409.77222733590003</v>
      </c>
      <c r="CQ24" s="17">
        <f>IF(CQ$3="","",IF(AND(DivAs=2,CQ$2&lt;ExDivPct),ExDivTree!CQ24+DivAmount*EXP(IntRate*(CQ$2-ExDivPct)),ExDivTree!CQ24))</f>
        <v>422.17708179589999</v>
      </c>
      <c r="CR24" s="17">
        <f>IF(CR$3="","",IF(AND(DivAs=2,CR$2&lt;ExDivPct),ExDivTree!CR24+DivAmount*EXP(IntRate*(CR$2-ExDivPct)),ExDivTree!CR24))</f>
        <v>434.95746296049998</v>
      </c>
      <c r="CS24" s="17">
        <f>IF(CS$3="","",IF(AND(DivAs=2,CS$2&lt;ExDivPct),ExDivTree!CS24+DivAmount*EXP(IntRate*(CS$2-ExDivPct)),ExDivTree!CS24))</f>
        <v>448.12473898450003</v>
      </c>
      <c r="CT24" s="17">
        <f>IF(CT$3="","",IF(AND(DivAs=2,CT$2&lt;ExDivPct),ExDivTree!CT24+DivAmount*EXP(IntRate*(CT$2-ExDivPct)),ExDivTree!CT24))</f>
        <v>461.69062216589998</v>
      </c>
      <c r="CU24" s="17">
        <f>IF(CU$3="","",IF(AND(DivAs=2,CU$2&lt;ExDivPct),ExDivTree!CU24+DivAmount*EXP(IntRate*(CU$2-ExDivPct)),ExDivTree!CU24))</f>
        <v>475.6671793639</v>
      </c>
      <c r="CV24" s="17">
        <f>IF(CV$3="","",IF(AND(DivAs=2,CV$2&lt;ExDivPct),ExDivTree!CV24+DivAmount*EXP(IntRate*(CV$2-ExDivPct)),ExDivTree!CV24))</f>
        <v>490.0668427324</v>
      </c>
      <c r="CW24" s="17">
        <f>IF(CW$3="","",IF(AND(DivAs=2,CW$2&lt;ExDivPct),ExDivTree!CW24+DivAmount*EXP(IntRate*(CW$2-ExDivPct)),ExDivTree!CW24))</f>
        <v>504.90242077850002</v>
      </c>
      <c r="CX24" s="17">
        <f>IF(CX$3="","",IF(AND(DivAs=2,CX$2&lt;ExDivPct),ExDivTree!CX24+DivAmount*EXP(IntRate*(CX$2-ExDivPct)),ExDivTree!CX24))</f>
        <v>520.18710975550005</v>
      </c>
      <c r="CY24" s="17">
        <f>IF(CY$3="","",IF(AND(DivAs=2,CY$2&lt;ExDivPct),ExDivTree!CY24+DivAmount*EXP(IntRate*(CY$2-ExDivPct)),ExDivTree!CY24))</f>
        <v>535.9345054012</v>
      </c>
      <c r="CZ24" s="17">
        <f>IF(CZ$3="","",IF(AND(DivAs=2,CZ$2&lt;ExDivPct),ExDivTree!CZ24+DivAmount*EXP(IntRate*(CZ$2-ExDivPct)),ExDivTree!CZ24))</f>
        <v>552.1586150311</v>
      </c>
      <c r="DA24" s="17">
        <f>IF(DA$3="","",IF(AND(DivAs=2,DA$2&lt;ExDivPct),ExDivTree!DA24+DivAmount*EXP(IntRate*(DA$2-ExDivPct)),ExDivTree!DA24))</f>
        <v>568.87386999800003</v>
      </c>
      <c r="DB24" s="17">
        <f>IF(DB$3="","",IF(AND(DivAs=2,DB$2&lt;ExDivPct),ExDivTree!DB24+DivAmount*EXP(IntRate*(DB$2-ExDivPct)),ExDivTree!DB24))</f>
        <v>586.09513852880002</v>
      </c>
    </row>
    <row r="25" spans="1:106" x14ac:dyDescent="0.2">
      <c r="A25">
        <f>ExDivTree!A25</f>
        <v>2.5778247814659425E+21</v>
      </c>
      <c r="B25" s="71">
        <f>ExDivTree!B25</f>
        <v>1.0167725953041902E-9</v>
      </c>
      <c r="C25" s="71">
        <f>ExDivTree!C25</f>
        <v>1.1884587683133028E-9</v>
      </c>
      <c r="D25" s="177">
        <f>ExDivTree!D25</f>
        <v>21</v>
      </c>
      <c r="Z25" s="17">
        <f>IF(Z$3="","",IF(AND(DivAs=2,Z$2&lt;ExDivPct),ExDivTree!Z25+DivAmount*EXP(IntRate*(Z$2-ExDivPct)),ExDivTree!Z25))</f>
        <v>50.803713265100001</v>
      </c>
      <c r="AA25" s="17">
        <f>IF(AA$3="","",IF(AND(DivAs=2,AA$2&lt;ExDivPct),ExDivTree!AA25+DivAmount*EXP(IntRate*(AA$2-ExDivPct)),ExDivTree!AA25))</f>
        <v>52.341671738199999</v>
      </c>
      <c r="AB25" s="17">
        <f>IF(AB$3="","",IF(AND(DivAs=2,AB$2&lt;ExDivPct),ExDivTree!AB25+DivAmount*EXP(IntRate*(AB$2-ExDivPct)),ExDivTree!AB25))</f>
        <v>53.9261881519</v>
      </c>
      <c r="AC25" s="17">
        <f>IF(AC$3="","",IF(AND(DivAs=2,AC$2&lt;ExDivPct),ExDivTree!AC25+DivAmount*EXP(IntRate*(AC$2-ExDivPct)),ExDivTree!AC25))</f>
        <v>55.558671934300001</v>
      </c>
      <c r="AD25" s="17">
        <f>IF(AD$3="","",IF(AND(DivAs=2,AD$2&lt;ExDivPct),ExDivTree!AD25+DivAmount*EXP(IntRate*(AD$2-ExDivPct)),ExDivTree!AD25))</f>
        <v>57.2405751804</v>
      </c>
      <c r="AE25" s="17">
        <f>IF(AE$3="","",IF(AND(DivAs=2,AE$2&lt;ExDivPct),ExDivTree!AE25+DivAmount*EXP(IntRate*(AE$2-ExDivPct)),ExDivTree!AE25))</f>
        <v>58.973393944000001</v>
      </c>
      <c r="AF25" s="17">
        <f>IF(AF$3="","",IF(AND(DivAs=2,AF$2&lt;ExDivPct),ExDivTree!AF25+DivAmount*EXP(IntRate*(AF$2-ExDivPct)),ExDivTree!AF25))</f>
        <v>60.758669568099997</v>
      </c>
      <c r="AG25" s="17">
        <f>IF(AG$3="","",IF(AND(DivAs=2,AG$2&lt;ExDivPct),ExDivTree!AG25+DivAmount*EXP(IntRate*(AG$2-ExDivPct)),ExDivTree!AG25))</f>
        <v>62.597990056199997</v>
      </c>
      <c r="AH25" s="17">
        <f>IF(AH$3="","",IF(AND(DivAs=2,AH$2&lt;ExDivPct),ExDivTree!AH25+DivAmount*EXP(IntRate*(AH$2-ExDivPct)),ExDivTree!AH25))</f>
        <v>64.492991484599997</v>
      </c>
      <c r="AI25" s="17">
        <f>IF(AI$3="","",IF(AND(DivAs=2,AI$2&lt;ExDivPct),ExDivTree!AI25+DivAmount*EXP(IntRate*(AI$2-ExDivPct)),ExDivTree!AI25))</f>
        <v>66.445359457999999</v>
      </c>
      <c r="AJ25" s="17">
        <f>IF(AJ$3="","",IF(AND(DivAs=2,AJ$2&lt;ExDivPct),ExDivTree!AJ25+DivAmount*EXP(IntRate*(AJ$2-ExDivPct)),ExDivTree!AJ25))</f>
        <v>68.456830608600001</v>
      </c>
      <c r="AK25" s="17">
        <f>IF(AK$3="","",IF(AND(DivAs=2,AK$2&lt;ExDivPct),ExDivTree!AK25+DivAmount*EXP(IntRate*(AK$2-ExDivPct)),ExDivTree!AK25))</f>
        <v>70.529194140900003</v>
      </c>
      <c r="AL25" s="17">
        <f>IF(AL$3="","",IF(AND(DivAs=2,AL$2&lt;ExDivPct),ExDivTree!AL25+DivAmount*EXP(IntRate*(AL$2-ExDivPct)),ExDivTree!AL25))</f>
        <v>72.664293423199993</v>
      </c>
      <c r="AM25" s="17">
        <f>IF(AM$3="","",IF(AND(DivAs=2,AM$2&lt;ExDivPct),ExDivTree!AM25+DivAmount*EXP(IntRate*(AM$2-ExDivPct)),ExDivTree!AM25))</f>
        <v>74.864027627300004</v>
      </c>
      <c r="AN25" s="17">
        <f>IF(AN$3="","",IF(AND(DivAs=2,AN$2&lt;ExDivPct),ExDivTree!AN25+DivAmount*EXP(IntRate*(AN$2-ExDivPct)),ExDivTree!AN25))</f>
        <v>77.130353417699993</v>
      </c>
      <c r="AO25" s="17">
        <f>IF(AO$3="","",IF(AND(DivAs=2,AO$2&lt;ExDivPct),ExDivTree!AO25+DivAmount*EXP(IntRate*(AO$2-ExDivPct)),ExDivTree!AO25))</f>
        <v>79.465286692199996</v>
      </c>
      <c r="AP25" s="17">
        <f>IF(AP$3="","",IF(AND(DivAs=2,AP$2&lt;ExDivPct),ExDivTree!AP25+DivAmount*EXP(IntRate*(AP$2-ExDivPct)),ExDivTree!AP25))</f>
        <v>81.870904375099997</v>
      </c>
      <c r="AQ25" s="17">
        <f>IF(AQ$3="","",IF(AND(DivAs=2,AQ$2&lt;ExDivPct),ExDivTree!AQ25+DivAmount*EXP(IntRate*(AQ$2-ExDivPct)),ExDivTree!AQ25))</f>
        <v>84.349346264299996</v>
      </c>
      <c r="AR25" s="17">
        <f>IF(AR$3="","",IF(AND(DivAs=2,AR$2&lt;ExDivPct),ExDivTree!AR25+DivAmount*EXP(IntRate*(AR$2-ExDivPct)),ExDivTree!AR25))</f>
        <v>86.902816935100006</v>
      </c>
      <c r="AS25" s="17">
        <f>IF(AS$3="","",IF(AND(DivAs=2,AS$2&lt;ExDivPct),ExDivTree!AS25+DivAmount*EXP(IntRate*(AS$2-ExDivPct)),ExDivTree!AS25))</f>
        <v>89.533587700699997</v>
      </c>
      <c r="AT25" s="17">
        <f>IF(AT$3="","",IF(AND(DivAs=2,AT$2&lt;ExDivPct),ExDivTree!AT25+DivAmount*EXP(IntRate*(AT$2-ExDivPct)),ExDivTree!AT25))</f>
        <v>92.243998633000004</v>
      </c>
      <c r="AU25" s="17">
        <f>IF(AU$3="","",IF(AND(DivAs=2,AU$2&lt;ExDivPct),ExDivTree!AU25+DivAmount*EXP(IntRate*(AU$2-ExDivPct)),ExDivTree!AU25))</f>
        <v>95.036460643599995</v>
      </c>
      <c r="AV25" s="17">
        <f>IF(AV$3="","",IF(AND(DivAs=2,AV$2&lt;ExDivPct),ExDivTree!AV25+DivAmount*EXP(IntRate*(AV$2-ExDivPct)),ExDivTree!AV25))</f>
        <v>97.913457628800003</v>
      </c>
      <c r="AW25" s="17">
        <f>IF(AW$3="","",IF(AND(DivAs=2,AW$2&lt;ExDivPct),ExDivTree!AW25+DivAmount*EXP(IntRate*(AW$2-ExDivPct)),ExDivTree!AW25))</f>
        <v>100.87754867869999</v>
      </c>
      <c r="AX25" s="17">
        <f>IF(AX$3="","",IF(AND(DivAs=2,AX$2&lt;ExDivPct),ExDivTree!AX25+DivAmount*EXP(IntRate*(AX$2-ExDivPct)),ExDivTree!AX25))</f>
        <v>103.9313703537</v>
      </c>
      <c r="AY25" s="17">
        <f>IF(AY$3="","",IF(AND(DivAs=2,AY$2&lt;ExDivPct),ExDivTree!AY25+DivAmount*EXP(IntRate*(AY$2-ExDivPct)),ExDivTree!AY25))</f>
        <v>107.07763902950001</v>
      </c>
      <c r="AZ25" s="17">
        <f>IF(AZ$3="","",IF(AND(DivAs=2,AZ$2&lt;ExDivPct),ExDivTree!AZ25+DivAmount*EXP(IntRate*(AZ$2-ExDivPct)),ExDivTree!AZ25))</f>
        <v>110.3191533135</v>
      </c>
      <c r="BA25" s="17">
        <f>IF(BA$3="","",IF(AND(DivAs=2,BA$2&lt;ExDivPct),ExDivTree!BA25+DivAmount*EXP(IntRate*(BA$2-ExDivPct)),ExDivTree!BA25))</f>
        <v>113.65879653410001</v>
      </c>
      <c r="BB25" s="17">
        <f>IF(BB$3="","",IF(AND(DivAs=2,BB$2&lt;ExDivPct),ExDivTree!BB25+DivAmount*EXP(IntRate*(BB$2-ExDivPct)),ExDivTree!BB25))</f>
        <v>117.0995393054</v>
      </c>
      <c r="BC25" s="17">
        <f>IF(BC$3="","",IF(AND(DivAs=2,BC$2&lt;ExDivPct),ExDivTree!BC25+DivAmount*EXP(IntRate*(BC$2-ExDivPct)),ExDivTree!BC25))</f>
        <v>120.6444421697</v>
      </c>
      <c r="BD25" s="17">
        <f>IF(BD$3="","",IF(AND(DivAs=2,BD$2&lt;ExDivPct),ExDivTree!BD25+DivAmount*EXP(IntRate*(BD$2-ExDivPct)),ExDivTree!BD25))</f>
        <v>124.2966583198</v>
      </c>
      <c r="BE25" s="17">
        <f>IF(BE$3="","",IF(AND(DivAs=2,BE$2&lt;ExDivPct),ExDivTree!BE25+DivAmount*EXP(IntRate*(BE$2-ExDivPct)),ExDivTree!BE25))</f>
        <v>128.0594364035</v>
      </c>
      <c r="BF25" s="17">
        <f>IF(BF$3="","",IF(AND(DivAs=2,BF$2&lt;ExDivPct),ExDivTree!BF25+DivAmount*EXP(IntRate*(BF$2-ExDivPct)),ExDivTree!BF25))</f>
        <v>131.9361234136</v>
      </c>
      <c r="BG25" s="17">
        <f>IF(BG$3="","",IF(AND(DivAs=2,BG$2&lt;ExDivPct),ExDivTree!BG25+DivAmount*EXP(IntRate*(BG$2-ExDivPct)),ExDivTree!BG25))</f>
        <v>135.930167665</v>
      </c>
      <c r="BH25" s="17">
        <f>IF(BH$3="","",IF(AND(DivAs=2,BH$2&lt;ExDivPct),ExDivTree!BH25+DivAmount*EXP(IntRate*(BH$2-ExDivPct)),ExDivTree!BH25))</f>
        <v>140.0451218618</v>
      </c>
      <c r="BI25" s="17">
        <f>IF(BI$3="","",IF(AND(DivAs=2,BI$2&lt;ExDivPct),ExDivTree!BI25+DivAmount*EXP(IntRate*(BI$2-ExDivPct)),ExDivTree!BI25))</f>
        <v>144.2846462576</v>
      </c>
      <c r="BJ25" s="17">
        <f>IF(BJ$3="","",IF(AND(DivAs=2,BJ$2&lt;ExDivPct),ExDivTree!BJ25+DivAmount*EXP(IntRate*(BJ$2-ExDivPct)),ExDivTree!BJ25))</f>
        <v>148.6525119113</v>
      </c>
      <c r="BK25" s="17">
        <f>IF(BK$3="","",IF(AND(DivAs=2,BK$2&lt;ExDivPct),ExDivTree!BK25+DivAmount*EXP(IntRate*(BK$2-ExDivPct)),ExDivTree!BK25))</f>
        <v>153.1526040414</v>
      </c>
      <c r="BL25" s="17">
        <f>IF(BL$3="","",IF(AND(DivAs=2,BL$2&lt;ExDivPct),ExDivTree!BL25+DivAmount*EXP(IntRate*(BL$2-ExDivPct)),ExDivTree!BL25))</f>
        <v>157.78892548190001</v>
      </c>
      <c r="BM25" s="17">
        <f>IF(BM$3="","",IF(AND(DivAs=2,BM$2&lt;ExDivPct),ExDivTree!BM25+DivAmount*EXP(IntRate*(BM$2-ExDivPct)),ExDivTree!BM25))</f>
        <v>162.56560024269999</v>
      </c>
      <c r="BN25" s="17">
        <f>IF(BN$3="","",IF(AND(DivAs=2,BN$2&lt;ExDivPct),ExDivTree!BN25+DivAmount*EXP(IntRate*(BN$2-ExDivPct)),ExDivTree!BN25))</f>
        <v>167.48687717819999</v>
      </c>
      <c r="BO25" s="17">
        <f>IF(BO$3="","",IF(AND(DivAs=2,BO$2&lt;ExDivPct),ExDivTree!BO25+DivAmount*EXP(IntRate*(BO$2-ExDivPct)),ExDivTree!BO25))</f>
        <v>172.55713376649999</v>
      </c>
      <c r="BP25" s="17">
        <f>IF(BP$3="","",IF(AND(DivAs=2,BP$2&lt;ExDivPct),ExDivTree!BP25+DivAmount*EXP(IntRate*(BP$2-ExDivPct)),ExDivTree!BP25))</f>
        <v>177.78088000310001</v>
      </c>
      <c r="BQ25" s="17">
        <f>IF(BQ$3="","",IF(AND(DivAs=2,BQ$2&lt;ExDivPct),ExDivTree!BQ25+DivAmount*EXP(IntRate*(BQ$2-ExDivPct)),ExDivTree!BQ25))</f>
        <v>183.16276241259999</v>
      </c>
      <c r="BR25" s="17">
        <f>IF(BR$3="","",IF(AND(DivAs=2,BR$2&lt;ExDivPct),ExDivTree!BR25+DivAmount*EXP(IntRate*(BR$2-ExDivPct)),ExDivTree!BR25))</f>
        <v>188.7075681819</v>
      </c>
      <c r="BS25" s="17">
        <f>IF(BS$3="","",IF(AND(DivAs=2,BS$2&lt;ExDivPct),ExDivTree!BS25+DivAmount*EXP(IntRate*(BS$2-ExDivPct)),ExDivTree!BS25))</f>
        <v>194.42022941810001</v>
      </c>
      <c r="BT25" s="17">
        <f>IF(BT$3="","",IF(AND(DivAs=2,BT$2&lt;ExDivPct),ExDivTree!BT25+DivAmount*EXP(IntRate*(BT$2-ExDivPct)),ExDivTree!BT25))</f>
        <v>200.3058275361</v>
      </c>
      <c r="BU25" s="17">
        <f>IF(BU$3="","",IF(AND(DivAs=2,BU$2&lt;ExDivPct),ExDivTree!BU25+DivAmount*EXP(IntRate*(BU$2-ExDivPct)),ExDivTree!BU25))</f>
        <v>206.36959777800001</v>
      </c>
      <c r="BV25" s="17">
        <f>IF(BV$3="","",IF(AND(DivAs=2,BV$2&lt;ExDivPct),ExDivTree!BV25+DivAmount*EXP(IntRate*(BV$2-ExDivPct)),ExDivTree!BV25))</f>
        <v>212.6169338702</v>
      </c>
      <c r="BW25" s="17">
        <f>IF(BW$3="","",IF(AND(DivAs=2,BW$2&lt;ExDivPct),ExDivTree!BW25+DivAmount*EXP(IntRate*(BW$2-ExDivPct)),ExDivTree!BW25))</f>
        <v>219.0533928209</v>
      </c>
      <c r="BX25" s="17">
        <f>IF(BX$3="","",IF(AND(DivAs=2,BX$2&lt;ExDivPct),ExDivTree!BX25+DivAmount*EXP(IntRate*(BX$2-ExDivPct)),ExDivTree!BX25))</f>
        <v>225.68469986330001</v>
      </c>
      <c r="BY25" s="17">
        <f>IF(BY$3="","",IF(AND(DivAs=2,BY$2&lt;ExDivPct),ExDivTree!BY25+DivAmount*EXP(IntRate*(BY$2-ExDivPct)),ExDivTree!BY25))</f>
        <v>232.516753548</v>
      </c>
      <c r="BZ25" s="17">
        <f>IF(BZ$3="","",IF(AND(DivAs=2,BZ$2&lt;ExDivPct),ExDivTree!BZ25+DivAmount*EXP(IntRate*(BZ$2-ExDivPct)),ExDivTree!BZ25))</f>
        <v>239.55563098979999</v>
      </c>
      <c r="CA25" s="17">
        <f>IF(CA$3="","",IF(AND(DivAs=2,CA$2&lt;ExDivPct),ExDivTree!CA25+DivAmount*EXP(IntRate*(CA$2-ExDivPct)),ExDivTree!CA25))</f>
        <v>246.80759327339999</v>
      </c>
      <c r="CB25" s="17">
        <f>IF(CB$3="","",IF(AND(DivAs=2,CB$2&lt;ExDivPct),ExDivTree!CB25+DivAmount*EXP(IntRate*(CB$2-ExDivPct)),ExDivTree!CB25))</f>
        <v>254.27909102250001</v>
      </c>
      <c r="CC25" s="17">
        <f>IF(CC$3="","",IF(AND(DivAs=2,CC$2&lt;ExDivPct),ExDivTree!CC25+DivAmount*EXP(IntRate*(CC$2-ExDivPct)),ExDivTree!CC25))</f>
        <v>261.97677013769999</v>
      </c>
      <c r="CD25" s="17">
        <f>IF(CD$3="","",IF(AND(DivAs=2,CD$2&lt;ExDivPct),ExDivTree!CD25+DivAmount*EXP(IntRate*(CD$2-ExDivPct)),ExDivTree!CD25))</f>
        <v>269.90747770809998</v>
      </c>
      <c r="CE25" s="17">
        <f>IF(CE$3="","",IF(AND(DivAs=2,CE$2&lt;ExDivPct),ExDivTree!CE25+DivAmount*EXP(IntRate*(CE$2-ExDivPct)),ExDivTree!CE25))</f>
        <v>278.07826810159997</v>
      </c>
      <c r="CF25" s="17">
        <f>IF(CF$3="","",IF(AND(DivAs=2,CF$2&lt;ExDivPct),ExDivTree!CF25+DivAmount*EXP(IntRate*(CF$2-ExDivPct)),ExDivTree!CF25))</f>
        <v>286.4964092399</v>
      </c>
      <c r="CG25" s="17">
        <f>IF(CG$3="","",IF(AND(DivAs=2,CG$2&lt;ExDivPct),ExDivTree!CG25+DivAmount*EXP(IntRate*(CG$2-ExDivPct)),ExDivTree!CG25))</f>
        <v>295.16938906339999</v>
      </c>
      <c r="CH25" s="17">
        <f>IF(CH$3="","",IF(AND(DivAs=2,CH$2&lt;ExDivPct),ExDivTree!CH25+DivAmount*EXP(IntRate*(CH$2-ExDivPct)),ExDivTree!CH25))</f>
        <v>304.1049221916</v>
      </c>
      <c r="CI25" s="17">
        <f>IF(CI$3="","",IF(AND(DivAs=2,CI$2&lt;ExDivPct),ExDivTree!CI25+DivAmount*EXP(IntRate*(CI$2-ExDivPct)),ExDivTree!CI25))</f>
        <v>313.31095678520001</v>
      </c>
      <c r="CJ25" s="17">
        <f>IF(CJ$3="","",IF(AND(DivAs=2,CJ$2&lt;ExDivPct),ExDivTree!CJ25+DivAmount*EXP(IntRate*(CJ$2-ExDivPct)),ExDivTree!CJ25))</f>
        <v>322.79568161610001</v>
      </c>
      <c r="CK25" s="17">
        <f>IF(CK$3="","",IF(AND(DivAs=2,CK$2&lt;ExDivPct),ExDivTree!CK25+DivAmount*EXP(IntRate*(CK$2-ExDivPct)),ExDivTree!CK25))</f>
        <v>332.56753335140002</v>
      </c>
      <c r="CL25" s="17">
        <f>IF(CL$3="","",IF(AND(DivAs=2,CL$2&lt;ExDivPct),ExDivTree!CL25+DivAmount*EXP(IntRate*(CL$2-ExDivPct)),ExDivTree!CL25))</f>
        <v>342.6352040575</v>
      </c>
      <c r="CM25" s="17">
        <f>IF(CM$3="","",IF(AND(DivAs=2,CM$2&lt;ExDivPct),ExDivTree!CM25+DivAmount*EXP(IntRate*(CM$2-ExDivPct)),ExDivTree!CM25))</f>
        <v>353.00764893209998</v>
      </c>
      <c r="CN25" s="17">
        <f>IF(CN$3="","",IF(AND(DivAs=2,CN$2&lt;ExDivPct),ExDivTree!CN25+DivAmount*EXP(IntRate*(CN$2-ExDivPct)),ExDivTree!CN25))</f>
        <v>363.69409426959999</v>
      </c>
      <c r="CO25" s="17">
        <f>IF(CO$3="","",IF(AND(DivAs=2,CO$2&lt;ExDivPct),ExDivTree!CO25+DivAmount*EXP(IntRate*(CO$2-ExDivPct)),ExDivTree!CO25))</f>
        <v>374.70404566799999</v>
      </c>
      <c r="CP25" s="17">
        <f>IF(CP$3="","",IF(AND(DivAs=2,CP$2&lt;ExDivPct),ExDivTree!CP25+DivAmount*EXP(IntRate*(CP$2-ExDivPct)),ExDivTree!CP25))</f>
        <v>386.04729648390003</v>
      </c>
      <c r="CQ25" s="17">
        <f>IF(CQ$3="","",IF(AND(DivAs=2,CQ$2&lt;ExDivPct),ExDivTree!CQ25+DivAmount*EXP(IntRate*(CQ$2-ExDivPct)),ExDivTree!CQ25))</f>
        <v>397.7339365441</v>
      </c>
      <c r="CR25" s="17">
        <f>IF(CR$3="","",IF(AND(DivAs=2,CR$2&lt;ExDivPct),ExDivTree!CR25+DivAmount*EXP(IntRate*(CR$2-ExDivPct)),ExDivTree!CR25))</f>
        <v>409.77436112020001</v>
      </c>
      <c r="CS25" s="17">
        <f>IF(CS$3="","",IF(AND(DivAs=2,CS$2&lt;ExDivPct),ExDivTree!CS25+DivAmount*EXP(IntRate*(CS$2-ExDivPct)),ExDivTree!CS25))</f>
        <v>422.17928017529999</v>
      </c>
      <c r="CT25" s="17">
        <f>IF(CT$3="","",IF(AND(DivAs=2,CT$2&lt;ExDivPct),ExDivTree!CT25+DivAmount*EXP(IntRate*(CT$2-ExDivPct)),ExDivTree!CT25))</f>
        <v>434.95972789050001</v>
      </c>
      <c r="CU25" s="17">
        <f>IF(CU$3="","",IF(AND(DivAs=2,CU$2&lt;ExDivPct),ExDivTree!CU25+DivAmount*EXP(IntRate*(CU$2-ExDivPct)),ExDivTree!CU25))</f>
        <v>448.12707247970002</v>
      </c>
      <c r="CV25" s="17">
        <f>IF(CV$3="","",IF(AND(DivAs=2,CV$2&lt;ExDivPct),ExDivTree!CV25+DivAmount*EXP(IntRate*(CV$2-ExDivPct)),ExDivTree!CV25))</f>
        <v>461.69302630200002</v>
      </c>
      <c r="CW25" s="17">
        <f>IF(CW$3="","",IF(AND(DivAs=2,CW$2&lt;ExDivPct),ExDivTree!CW25+DivAmount*EXP(IntRate*(CW$2-ExDivPct)),ExDivTree!CW25))</f>
        <v>475.6696562793</v>
      </c>
      <c r="CX25" s="17">
        <f>IF(CX$3="","",IF(AND(DivAs=2,CX$2&lt;ExDivPct),ExDivTree!CX25+DivAmount*EXP(IntRate*(CX$2-ExDivPct)),ExDivTree!CX25))</f>
        <v>490.06939463039998</v>
      </c>
      <c r="CY25" s="17">
        <f>IF(CY$3="","",IF(AND(DivAs=2,CY$2&lt;ExDivPct),ExDivTree!CY25+DivAmount*EXP(IntRate*(CY$2-ExDivPct)),ExDivTree!CY25))</f>
        <v>504.90504992899997</v>
      </c>
      <c r="CZ25" s="17">
        <f>IF(CZ$3="","",IF(AND(DivAs=2,CZ$2&lt;ExDivPct),ExDivTree!CZ25+DivAmount*EXP(IntRate*(CZ$2-ExDivPct)),ExDivTree!CZ25))</f>
        <v>520.18981849709996</v>
      </c>
      <c r="DA25" s="17">
        <f>IF(DA$3="","",IF(AND(DivAs=2,DA$2&lt;ExDivPct),ExDivTree!DA25+DivAmount*EXP(IntRate*(DA$2-ExDivPct)),ExDivTree!DA25))</f>
        <v>535.93729614330005</v>
      </c>
      <c r="DB25" s="17">
        <f>IF(DB$3="","",IF(AND(DivAs=2,DB$2&lt;ExDivPct),ExDivTree!DB25+DivAmount*EXP(IntRate*(DB$2-ExDivPct)),ExDivTree!DB25))</f>
        <v>552.16149025610002</v>
      </c>
    </row>
    <row r="26" spans="1:106" x14ac:dyDescent="0.2">
      <c r="A26">
        <f>ExDivTree!A26</f>
        <v>9.3739082962397928E+21</v>
      </c>
      <c r="B26" s="71">
        <f>ExDivTree!B26</f>
        <v>3.6973548920152377E-9</v>
      </c>
      <c r="C26" s="71">
        <f>ExDivTree!C26</f>
        <v>4.2988198309386987E-9</v>
      </c>
      <c r="D26" s="177">
        <f>ExDivTree!D26</f>
        <v>22</v>
      </c>
      <c r="AA26" s="17">
        <f>IF(AA$3="","",IF(AND(DivAs=2,AA$2&lt;ExDivPct),ExDivTree!AA26+DivAmount*EXP(IntRate*(AA$2-ExDivPct)),ExDivTree!AA26))</f>
        <v>49.311201492199999</v>
      </c>
      <c r="AB26" s="17">
        <f>IF(AB$3="","",IF(AND(DivAs=2,AB$2&lt;ExDivPct),ExDivTree!AB26+DivAmount*EXP(IntRate*(AB$2-ExDivPct)),ExDivTree!AB26))</f>
        <v>50.803977812699998</v>
      </c>
      <c r="AC26" s="17">
        <f>IF(AC$3="","",IF(AND(DivAs=2,AC$2&lt;ExDivPct),ExDivTree!AC26+DivAmount*EXP(IntRate*(AC$2-ExDivPct)),ExDivTree!AC26))</f>
        <v>52.341944294400001</v>
      </c>
      <c r="AD26" s="17">
        <f>IF(AD$3="","",IF(AND(DivAs=2,AD$2&lt;ExDivPct),ExDivTree!AD26+DivAmount*EXP(IntRate*(AD$2-ExDivPct)),ExDivTree!AD26))</f>
        <v>53.926468959099999</v>
      </c>
      <c r="AE26" s="17">
        <f>IF(AE$3="","",IF(AND(DivAs=2,AE$2&lt;ExDivPct),ExDivTree!AE26+DivAmount*EXP(IntRate*(AE$2-ExDivPct)),ExDivTree!AE26))</f>
        <v>55.558961242300001</v>
      </c>
      <c r="AF26" s="17">
        <f>IF(AF$3="","",IF(AND(DivAs=2,AF$2&lt;ExDivPct),ExDivTree!AF26+DivAmount*EXP(IntRate*(AF$2-ExDivPct)),ExDivTree!AF26))</f>
        <v>57.240873246500001</v>
      </c>
      <c r="AG26" s="17">
        <f>IF(AG$3="","",IF(AND(DivAs=2,AG$2&lt;ExDivPct),ExDivTree!AG26+DivAmount*EXP(IntRate*(AG$2-ExDivPct)),ExDivTree!AG26))</f>
        <v>58.973701033300003</v>
      </c>
      <c r="AH26" s="17">
        <f>IF(AH$3="","",IF(AND(DivAs=2,AH$2&lt;ExDivPct),ExDivTree!AH26+DivAmount*EXP(IntRate*(AH$2-ExDivPct)),ExDivTree!AH26))</f>
        <v>60.7589859538</v>
      </c>
      <c r="AI26" s="17">
        <f>IF(AI$3="","",IF(AND(DivAs=2,AI$2&lt;ExDivPct),ExDivTree!AI26+DivAmount*EXP(IntRate*(AI$2-ExDivPct)),ExDivTree!AI26))</f>
        <v>62.5983160197</v>
      </c>
      <c r="AJ26" s="17">
        <f>IF(AJ$3="","",IF(AND(DivAs=2,AJ$2&lt;ExDivPct),ExDivTree!AJ26+DivAmount*EXP(IntRate*(AJ$2-ExDivPct)),ExDivTree!AJ26))</f>
        <v>64.493327315900004</v>
      </c>
      <c r="AK26" s="17">
        <f>IF(AK$3="","",IF(AND(DivAs=2,AK$2&lt;ExDivPct),ExDivTree!AK26+DivAmount*EXP(IntRate*(AK$2-ExDivPct)),ExDivTree!AK26))</f>
        <v>66.445705455799995</v>
      </c>
      <c r="AL26" s="17">
        <f>IF(AL$3="","",IF(AND(DivAs=2,AL$2&lt;ExDivPct),ExDivTree!AL26+DivAmount*EXP(IntRate*(AL$2-ExDivPct)),ExDivTree!AL26))</f>
        <v>68.457187080699995</v>
      </c>
      <c r="AM26" s="17">
        <f>IF(AM$3="","",IF(AND(DivAs=2,AM$2&lt;ExDivPct),ExDivTree!AM26+DivAmount*EXP(IntRate*(AM$2-ExDivPct)),ExDivTree!AM26))</f>
        <v>70.529561404299997</v>
      </c>
      <c r="AN26" s="17">
        <f>IF(AN$3="","",IF(AND(DivAs=2,AN$2&lt;ExDivPct),ExDivTree!AN26+DivAmount*EXP(IntRate*(AN$2-ExDivPct)),ExDivTree!AN26))</f>
        <v>72.664671804600005</v>
      </c>
      <c r="AO26" s="17">
        <f>IF(AO$3="","",IF(AND(DivAs=2,AO$2&lt;ExDivPct),ExDivTree!AO26+DivAmount*EXP(IntRate*(AO$2-ExDivPct)),ExDivTree!AO26))</f>
        <v>74.864417463300001</v>
      </c>
      <c r="AP26" s="17">
        <f>IF(AP$3="","",IF(AND(DivAs=2,AP$2&lt;ExDivPct),ExDivTree!AP26+DivAmount*EXP(IntRate*(AP$2-ExDivPct)),ExDivTree!AP26))</f>
        <v>77.130755054999995</v>
      </c>
      <c r="AQ26" s="17">
        <f>IF(AQ$3="","",IF(AND(DivAs=2,AQ$2&lt;ExDivPct),ExDivTree!AQ26+DivAmount*EXP(IntRate*(AQ$2-ExDivPct)),ExDivTree!AQ26))</f>
        <v>79.465700488099998</v>
      </c>
      <c r="AR26" s="17">
        <f>IF(AR$3="","",IF(AND(DivAs=2,AR$2&lt;ExDivPct),ExDivTree!AR26+DivAmount*EXP(IntRate*(AR$2-ExDivPct)),ExDivTree!AR26))</f>
        <v>81.871330697700003</v>
      </c>
      <c r="AS26" s="17">
        <f>IF(AS$3="","",IF(AND(DivAs=2,AS$2&lt;ExDivPct),ExDivTree!AS26+DivAmount*EXP(IntRate*(AS$2-ExDivPct)),ExDivTree!AS26))</f>
        <v>84.349785492799995</v>
      </c>
      <c r="AT26" s="17">
        <f>IF(AT$3="","",IF(AND(DivAs=2,AT$2&lt;ExDivPct),ExDivTree!AT26+DivAmount*EXP(IntRate*(AT$2-ExDivPct)),ExDivTree!AT26))</f>
        <v>86.903269460199994</v>
      </c>
      <c r="AU26" s="17">
        <f>IF(AU$3="","",IF(AND(DivAs=2,AU$2&lt;ExDivPct),ExDivTree!AU26+DivAmount*EXP(IntRate*(AU$2-ExDivPct)),ExDivTree!AU26))</f>
        <v>89.534053924899993</v>
      </c>
      <c r="AV26" s="17">
        <f>IF(AV$3="","",IF(AND(DivAs=2,AV$2&lt;ExDivPct),ExDivTree!AV26+DivAmount*EXP(IntRate*(AV$2-ExDivPct)),ExDivTree!AV26))</f>
        <v>92.244478971000007</v>
      </c>
      <c r="AW26" s="17">
        <f>IF(AW$3="","",IF(AND(DivAs=2,AW$2&lt;ExDivPct),ExDivTree!AW26+DivAmount*EXP(IntRate*(AW$2-ExDivPct)),ExDivTree!AW26))</f>
        <v>95.036955522699998</v>
      </c>
      <c r="AX26" s="17">
        <f>IF(AX$3="","",IF(AND(DivAs=2,AX$2&lt;ExDivPct),ExDivTree!AX26+DivAmount*EXP(IntRate*(AX$2-ExDivPct)),ExDivTree!AX26))</f>
        <v>97.913967489200004</v>
      </c>
      <c r="AY26" s="17">
        <f>IF(AY$3="","",IF(AND(DivAs=2,AY$2&lt;ExDivPct),ExDivTree!AY26+DivAmount*EXP(IntRate*(AY$2-ExDivPct)),ExDivTree!AY26))</f>
        <v>100.8780739739</v>
      </c>
      <c r="AZ26" s="17">
        <f>IF(AZ$3="","",IF(AND(DivAs=2,AZ$2&lt;ExDivPct),ExDivTree!AZ26+DivAmount*EXP(IntRate*(AZ$2-ExDivPct)),ExDivTree!AZ26))</f>
        <v>103.9319115509</v>
      </c>
      <c r="BA26" s="17">
        <f>IF(BA$3="","",IF(AND(DivAs=2,BA$2&lt;ExDivPct),ExDivTree!BA26+DivAmount*EXP(IntRate*(BA$2-ExDivPct)),ExDivTree!BA26))</f>
        <v>107.07819661009999</v>
      </c>
      <c r="BB26" s="17">
        <f>IF(BB$3="","",IF(AND(DivAs=2,BB$2&lt;ExDivPct),ExDivTree!BB26+DivAmount*EXP(IntRate*(BB$2-ExDivPct)),ExDivTree!BB26))</f>
        <v>110.31972777350001</v>
      </c>
      <c r="BC26" s="17">
        <f>IF(BC$3="","",IF(AND(DivAs=2,BC$2&lt;ExDivPct),ExDivTree!BC26+DivAmount*EXP(IntRate*(BC$2-ExDivPct)),ExDivTree!BC26))</f>
        <v>113.6593883844</v>
      </c>
      <c r="BD26" s="17">
        <f>IF(BD$3="","",IF(AND(DivAs=2,BD$2&lt;ExDivPct),ExDivTree!BD26+DivAmount*EXP(IntRate*(BD$2-ExDivPct)),ExDivTree!BD26))</f>
        <v>117.1001490726</v>
      </c>
      <c r="BE26" s="17">
        <f>IF(BE$3="","",IF(AND(DivAs=2,BE$2&lt;ExDivPct),ExDivTree!BE26+DivAmount*EXP(IntRate*(BE$2-ExDivPct)),ExDivTree!BE26))</f>
        <v>120.6450703962</v>
      </c>
      <c r="BF26" s="17">
        <f>IF(BF$3="","",IF(AND(DivAs=2,BF$2&lt;ExDivPct),ExDivTree!BF26+DivAmount*EXP(IntRate*(BF$2-ExDivPct)),ExDivTree!BF26))</f>
        <v>124.2973055643</v>
      </c>
      <c r="BG26" s="17">
        <f>IF(BG$3="","",IF(AND(DivAs=2,BG$2&lt;ExDivPct),ExDivTree!BG26+DivAmount*EXP(IntRate*(BG$2-ExDivPct)),ExDivTree!BG26))</f>
        <v>128.06010324170001</v>
      </c>
      <c r="BH26" s="17">
        <f>IF(BH$3="","",IF(AND(DivAs=2,BH$2&lt;ExDivPct),ExDivTree!BH26+DivAmount*EXP(IntRate*(BH$2-ExDivPct)),ExDivTree!BH26))</f>
        <v>131.93681043870001</v>
      </c>
      <c r="BI26" s="17">
        <f>IF(BI$3="","",IF(AND(DivAs=2,BI$2&lt;ExDivPct),ExDivTree!BI26+DivAmount*EXP(IntRate*(BI$2-ExDivPct)),ExDivTree!BI26))</f>
        <v>135.93087548810001</v>
      </c>
      <c r="BJ26" s="17">
        <f>IF(BJ$3="","",IF(AND(DivAs=2,BJ$2&lt;ExDivPct),ExDivTree!BJ26+DivAmount*EXP(IntRate*(BJ$2-ExDivPct)),ExDivTree!BJ26))</f>
        <v>140.0458511125</v>
      </c>
      <c r="BK26" s="17">
        <f>IF(BK$3="","",IF(AND(DivAs=2,BK$2&lt;ExDivPct),ExDivTree!BK26+DivAmount*EXP(IntRate*(BK$2-ExDivPct)),ExDivTree!BK26))</f>
        <v>144.28539758459999</v>
      </c>
      <c r="BL26" s="17">
        <f>IF(BL$3="","",IF(AND(DivAs=2,BL$2&lt;ExDivPct),ExDivTree!BL26+DivAmount*EXP(IntRate*(BL$2-ExDivPct)),ExDivTree!BL26))</f>
        <v>148.6532859829</v>
      </c>
      <c r="BM26" s="17">
        <f>IF(BM$3="","",IF(AND(DivAs=2,BM$2&lt;ExDivPct),ExDivTree!BM26+DivAmount*EXP(IntRate*(BM$2-ExDivPct)),ExDivTree!BM26))</f>
        <v>153.15340154610001</v>
      </c>
      <c r="BN26" s="17">
        <f>IF(BN$3="","",IF(AND(DivAs=2,BN$2&lt;ExDivPct),ExDivTree!BN26+DivAmount*EXP(IntRate*(BN$2-ExDivPct)),ExDivTree!BN26))</f>
        <v>157.78974712909999</v>
      </c>
      <c r="BO26" s="17">
        <f>IF(BO$3="","",IF(AND(DivAs=2,BO$2&lt;ExDivPct),ExDivTree!BO26+DivAmount*EXP(IntRate*(BO$2-ExDivPct)),ExDivTree!BO26))</f>
        <v>162.56644676330001</v>
      </c>
      <c r="BP26" s="17">
        <f>IF(BP$3="","",IF(AND(DivAs=2,BP$2&lt;ExDivPct),ExDivTree!BP26+DivAmount*EXP(IntRate*(BP$2-ExDivPct)),ExDivTree!BP26))</f>
        <v>167.48774932520001</v>
      </c>
      <c r="BQ26" s="17">
        <f>IF(BQ$3="","",IF(AND(DivAs=2,BQ$2&lt;ExDivPct),ExDivTree!BQ26+DivAmount*EXP(IntRate*(BQ$2-ExDivPct)),ExDivTree!BQ26))</f>
        <v>172.5580323156</v>
      </c>
      <c r="BR26" s="17">
        <f>IF(BR$3="","",IF(AND(DivAs=2,BR$2&lt;ExDivPct),ExDivTree!BR26+DivAmount*EXP(IntRate*(BR$2-ExDivPct)),ExDivTree!BR26))</f>
        <v>177.7818057536</v>
      </c>
      <c r="BS26" s="17">
        <f>IF(BS$3="","",IF(AND(DivAs=2,BS$2&lt;ExDivPct),ExDivTree!BS26+DivAmount*EXP(IntRate*(BS$2-ExDivPct)),ExDivTree!BS26))</f>
        <v>183.16371618790001</v>
      </c>
      <c r="BT26" s="17">
        <f>IF(BT$3="","",IF(AND(DivAs=2,BT$2&lt;ExDivPct),ExDivTree!BT26+DivAmount*EXP(IntRate*(BT$2-ExDivPct)),ExDivTree!BT26))</f>
        <v>188.70855083039999</v>
      </c>
      <c r="BU26" s="17">
        <f>IF(BU$3="","",IF(AND(DivAs=2,BU$2&lt;ExDivPct),ExDivTree!BU26+DivAmount*EXP(IntRate*(BU$2-ExDivPct)),ExDivTree!BU26))</f>
        <v>194.4212418139</v>
      </c>
      <c r="BV26" s="17">
        <f>IF(BV$3="","",IF(AND(DivAs=2,BV$2&lt;ExDivPct),ExDivTree!BV26+DivAmount*EXP(IntRate*(BV$2-ExDivPct)),ExDivTree!BV26))</f>
        <v>200.30687057969999</v>
      </c>
      <c r="BW26" s="17">
        <f>IF(BW$3="","",IF(AND(DivAs=2,BW$2&lt;ExDivPct),ExDivTree!BW26+DivAmount*EXP(IntRate*(BW$2-ExDivPct)),ExDivTree!BW26))</f>
        <v>206.3706723972</v>
      </c>
      <c r="BX26" s="17">
        <f>IF(BX$3="","",IF(AND(DivAs=2,BX$2&lt;ExDivPct),ExDivTree!BX26+DivAmount*EXP(IntRate*(BX$2-ExDivPct)),ExDivTree!BX26))</f>
        <v>212.61804102080001</v>
      </c>
      <c r="BY26" s="17">
        <f>IF(BY$3="","",IF(AND(DivAs=2,BY$2&lt;ExDivPct),ExDivTree!BY26+DivAmount*EXP(IntRate*(BY$2-ExDivPct)),ExDivTree!BY26))</f>
        <v>219.0545334878</v>
      </c>
      <c r="BZ26" s="17">
        <f>IF(BZ$3="","",IF(AND(DivAs=2,BZ$2&lt;ExDivPct),ExDivTree!BZ26+DivAmount*EXP(IntRate*(BZ$2-ExDivPct)),ExDivTree!BZ26))</f>
        <v>225.68587506110001</v>
      </c>
      <c r="CA26" s="17">
        <f>IF(CA$3="","",IF(AND(DivAs=2,CA$2&lt;ExDivPct),ExDivTree!CA26+DivAmount*EXP(IntRate*(CA$2-ExDivPct)),ExDivTree!CA26))</f>
        <v>232.51796432200001</v>
      </c>
      <c r="CB26" s="17">
        <f>IF(CB$3="","",IF(AND(DivAs=2,CB$2&lt;ExDivPct),ExDivTree!CB26+DivAmount*EXP(IntRate*(CB$2-ExDivPct)),ExDivTree!CB26))</f>
        <v>239.55687841700001</v>
      </c>
      <c r="CC26" s="17">
        <f>IF(CC$3="","",IF(AND(DivAs=2,CC$2&lt;ExDivPct),ExDivTree!CC26+DivAmount*EXP(IntRate*(CC$2-ExDivPct)),ExDivTree!CC26))</f>
        <v>246.80887846339999</v>
      </c>
      <c r="CD26" s="17">
        <f>IF(CD$3="","",IF(AND(DivAs=2,CD$2&lt;ExDivPct),ExDivTree!CD26+DivAmount*EXP(IntRate*(CD$2-ExDivPct)),ExDivTree!CD26))</f>
        <v>254.2804151185</v>
      </c>
      <c r="CE26" s="17">
        <f>IF(CE$3="","",IF(AND(DivAs=2,CE$2&lt;ExDivPct),ExDivTree!CE26+DivAmount*EXP(IntRate*(CE$2-ExDivPct)),ExDivTree!CE26))</f>
        <v>261.97813431750001</v>
      </c>
      <c r="CF26" s="17">
        <f>IF(CF$3="","",IF(AND(DivAs=2,CF$2&lt;ExDivPct),ExDivTree!CF26+DivAmount*EXP(IntRate*(CF$2-ExDivPct)),ExDivTree!CF26))</f>
        <v>269.90888318510002</v>
      </c>
      <c r="CG26" s="17">
        <f>IF(CG$3="","",IF(AND(DivAs=2,CG$2&lt;ExDivPct),ExDivTree!CG26+DivAmount*EXP(IntRate*(CG$2-ExDivPct)),ExDivTree!CG26))</f>
        <v>278.07971612599999</v>
      </c>
      <c r="CH26" s="17">
        <f>IF(CH$3="","",IF(AND(DivAs=2,CH$2&lt;ExDivPct),ExDivTree!CH26+DivAmount*EXP(IntRate*(CH$2-ExDivPct)),ExDivTree!CH26))</f>
        <v>286.49790109970002</v>
      </c>
      <c r="CI26" s="17">
        <f>IF(CI$3="","",IF(AND(DivAs=2,CI$2&lt;ExDivPct),ExDivTree!CI26+DivAmount*EXP(IntRate*(CI$2-ExDivPct)),ExDivTree!CI26))</f>
        <v>295.1709260856</v>
      </c>
      <c r="CJ26" s="17">
        <f>IF(CJ$3="","",IF(AND(DivAs=2,CJ$2&lt;ExDivPct),ExDivTree!CJ26+DivAmount*EXP(IntRate*(CJ$2-ExDivPct)),ExDivTree!CJ26))</f>
        <v>304.10650574340002</v>
      </c>
      <c r="CK26" s="17">
        <f>IF(CK$3="","",IF(AND(DivAs=2,CK$2&lt;ExDivPct),ExDivTree!CK26+DivAmount*EXP(IntRate*(CK$2-ExDivPct)),ExDivTree!CK26))</f>
        <v>313.31258827520003</v>
      </c>
      <c r="CL26" s="17">
        <f>IF(CL$3="","",IF(AND(DivAs=2,CL$2&lt;ExDivPct),ExDivTree!CL26+DivAmount*EXP(IntRate*(CL$2-ExDivPct)),ExDivTree!CL26))</f>
        <v>322.79736249550001</v>
      </c>
      <c r="CM26" s="17">
        <f>IF(CM$3="","",IF(AND(DivAs=2,CM$2&lt;ExDivPct),ExDivTree!CM26+DivAmount*EXP(IntRate*(CM$2-ExDivPct)),ExDivTree!CM26))</f>
        <v>332.56926511530003</v>
      </c>
      <c r="CN26" s="17">
        <f>IF(CN$3="","",IF(AND(DivAs=2,CN$2&lt;ExDivPct),ExDivTree!CN26+DivAmount*EXP(IntRate*(CN$2-ExDivPct)),ExDivTree!CN26))</f>
        <v>342.63698824639999</v>
      </c>
      <c r="CO26" s="17">
        <f>IF(CO$3="","",IF(AND(DivAs=2,CO$2&lt;ExDivPct),ExDivTree!CO26+DivAmount*EXP(IntRate*(CO$2-ExDivPct)),ExDivTree!CO26))</f>
        <v>353.00948713299999</v>
      </c>
      <c r="CP26" s="17">
        <f>IF(CP$3="","",IF(AND(DivAs=2,CP$2&lt;ExDivPct),ExDivTree!CP26+DivAmount*EXP(IntRate*(CP$2-ExDivPct)),ExDivTree!CP26))</f>
        <v>363.6959881176</v>
      </c>
      <c r="CQ26" s="17">
        <f>IF(CQ$3="","",IF(AND(DivAs=2,CQ$2&lt;ExDivPct),ExDivTree!CQ26+DivAmount*EXP(IntRate*(CQ$2-ExDivPct)),ExDivTree!CQ26))</f>
        <v>374.70599684759998</v>
      </c>
      <c r="CR26" s="17">
        <f>IF(CR$3="","",IF(AND(DivAs=2,CR$2&lt;ExDivPct),ExDivTree!CR26+DivAmount*EXP(IntRate*(CR$2-ExDivPct)),ExDivTree!CR26))</f>
        <v>386.04930673069998</v>
      </c>
      <c r="CS26" s="17">
        <f>IF(CS$3="","",IF(AND(DivAs=2,CS$2&lt;ExDivPct),ExDivTree!CS26+DivAmount*EXP(IntRate*(CS$2-ExDivPct)),ExDivTree!CS26))</f>
        <v>397.73600764619999</v>
      </c>
      <c r="CT26" s="17">
        <f>IF(CT$3="","",IF(AND(DivAs=2,CT$2&lt;ExDivPct),ExDivTree!CT26+DivAmount*EXP(IntRate*(CT$2-ExDivPct)),ExDivTree!CT26))</f>
        <v>409.77649491990002</v>
      </c>
      <c r="CU26" s="17">
        <f>IF(CU$3="","",IF(AND(DivAs=2,CU$2&lt;ExDivPct),ExDivTree!CU26+DivAmount*EXP(IntRate*(CU$2-ExDivPct)),ExDivTree!CU26))</f>
        <v>422.18147857060001</v>
      </c>
      <c r="CV26" s="17">
        <f>IF(CV$3="","",IF(AND(DivAs=2,CV$2&lt;ExDivPct),ExDivTree!CV26+DivAmount*EXP(IntRate*(CV$2-ExDivPct)),ExDivTree!CV26))</f>
        <v>434.96199283679999</v>
      </c>
      <c r="CW26" s="17">
        <f>IF(CW$3="","",IF(AND(DivAs=2,CW$2&lt;ExDivPct),ExDivTree!CW26+DivAmount*EXP(IntRate*(CW$2-ExDivPct)),ExDivTree!CW26))</f>
        <v>448.12940599180001</v>
      </c>
      <c r="CX26" s="17">
        <f>IF(CX$3="","",IF(AND(DivAs=2,CX$2&lt;ExDivPct),ExDivTree!CX26+DivAmount*EXP(IntRate*(CX$2-ExDivPct)),ExDivTree!CX26))</f>
        <v>461.69543045540001</v>
      </c>
      <c r="CY26" s="17">
        <f>IF(CY$3="","",IF(AND(DivAs=2,CY$2&lt;ExDivPct),ExDivTree!CY26+DivAmount*EXP(IntRate*(CY$2-ExDivPct)),ExDivTree!CY26))</f>
        <v>475.67213321259999</v>
      </c>
      <c r="CZ26" s="17">
        <f>IF(CZ$3="","",IF(AND(DivAs=2,CZ$2&lt;ExDivPct),ExDivTree!CZ26+DivAmount*EXP(IntRate*(CZ$2-ExDivPct)),ExDivTree!CZ26))</f>
        <v>490.07194654680001</v>
      </c>
      <c r="DA26" s="17">
        <f>IF(DA$3="","",IF(AND(DivAs=2,DA$2&lt;ExDivPct),ExDivTree!DA26+DivAmount*EXP(IntRate*(DA$2-ExDivPct)),ExDivTree!DA26))</f>
        <v>504.90767909840002</v>
      </c>
      <c r="DB26" s="17">
        <f>IF(DB$3="","",IF(AND(DivAs=2,DB$2&lt;ExDivPct),ExDivTree!DB26+DivAmount*EXP(IntRate*(DB$2-ExDivPct)),ExDivTree!DB26))</f>
        <v>520.19252725820002</v>
      </c>
    </row>
    <row r="27" spans="1:106" x14ac:dyDescent="0.2">
      <c r="A27">
        <f>ExDivTree!A27</f>
        <v>3.2197337191432325E+22</v>
      </c>
      <c r="B27" s="71">
        <f>ExDivTree!B27</f>
        <v>1.2699610281269727E-8</v>
      </c>
      <c r="C27" s="71">
        <f>ExDivTree!C27</f>
        <v>1.4687447162153431E-8</v>
      </c>
      <c r="D27" s="177">
        <f>ExDivTree!D27</f>
        <v>23</v>
      </c>
      <c r="AB27" s="17">
        <f>IF(AB$3="","",IF(AND(DivAs=2,AB$2&lt;ExDivPct),ExDivTree!AB27+DivAmount*EXP(IntRate*(AB$2-ExDivPct)),ExDivTree!AB27))</f>
        <v>47.862536738499998</v>
      </c>
      <c r="AC27" s="17">
        <f>IF(AC$3="","",IF(AND(DivAs=2,AC$2&lt;ExDivPct),ExDivTree!AC27+DivAmount*EXP(IntRate*(AC$2-ExDivPct)),ExDivTree!AC27))</f>
        <v>49.311458267900001</v>
      </c>
      <c r="AD27" s="17">
        <f>IF(AD$3="","",IF(AND(DivAs=2,AD$2&lt;ExDivPct),ExDivTree!AD27+DivAmount*EXP(IntRate*(AD$2-ExDivPct)),ExDivTree!AD27))</f>
        <v>50.804242361599997</v>
      </c>
      <c r="AE27" s="17">
        <f>IF(AE$3="","",IF(AND(DivAs=2,AE$2&lt;ExDivPct),ExDivTree!AE27+DivAmount*EXP(IntRate*(AE$2-ExDivPct)),ExDivTree!AE27))</f>
        <v>52.342216851800003</v>
      </c>
      <c r="AF27" s="17">
        <f>IF(AF$3="","",IF(AND(DivAs=2,AF$2&lt;ExDivPct),ExDivTree!AF27+DivAmount*EXP(IntRate*(AF$2-ExDivPct)),ExDivTree!AF27))</f>
        <v>53.926749767499999</v>
      </c>
      <c r="AG27" s="17">
        <f>IF(AG$3="","",IF(AND(DivAs=2,AG$2&lt;ExDivPct),ExDivTree!AG27+DivAmount*EXP(IntRate*(AG$2-ExDivPct)),ExDivTree!AG27))</f>
        <v>55.559250551399998</v>
      </c>
      <c r="AH27" s="17">
        <f>IF(AH$3="","",IF(AND(DivAs=2,AH$2&lt;ExDivPct),ExDivTree!AH27+DivAmount*EXP(IntRate*(AH$2-ExDivPct)),ExDivTree!AH27))</f>
        <v>57.241171313800002</v>
      </c>
      <c r="AI27" s="17">
        <f>IF(AI$3="","",IF(AND(DivAs=2,AI$2&lt;ExDivPct),ExDivTree!AI27+DivAmount*EXP(IntRate*(AI$2-ExDivPct)),ExDivTree!AI27))</f>
        <v>58.974008123899999</v>
      </c>
      <c r="AJ27" s="17">
        <f>IF(AJ$3="","",IF(AND(DivAs=2,AJ$2&lt;ExDivPct),ExDivTree!AJ27+DivAmount*EXP(IntRate*(AJ$2-ExDivPct)),ExDivTree!AJ27))</f>
        <v>60.759302340799998</v>
      </c>
      <c r="AK27" s="17">
        <f>IF(AK$3="","",IF(AND(DivAs=2,AK$2&lt;ExDivPct),ExDivTree!AK27+DivAmount*EXP(IntRate*(AK$2-ExDivPct)),ExDivTree!AK27))</f>
        <v>62.598641984499999</v>
      </c>
      <c r="AL27" s="17">
        <f>IF(AL$3="","",IF(AND(DivAs=2,AL$2&lt;ExDivPct),ExDivTree!AL27+DivAmount*EXP(IntRate*(AL$2-ExDivPct)),ExDivTree!AL27))</f>
        <v>64.493663148500005</v>
      </c>
      <c r="AM27" s="17">
        <f>IF(AM$3="","",IF(AND(DivAs=2,AM$2&lt;ExDivPct),ExDivTree!AM27+DivAmount*EXP(IntRate*(AM$2-ExDivPct)),ExDivTree!AM27))</f>
        <v>66.446051454900001</v>
      </c>
      <c r="AN27" s="17">
        <f>IF(AN$3="","",IF(AND(DivAs=2,AN$2&lt;ExDivPct),ExDivTree!AN27+DivAmount*EXP(IntRate*(AN$2-ExDivPct)),ExDivTree!AN27))</f>
        <v>68.457543554099999</v>
      </c>
      <c r="AO27" s="17">
        <f>IF(AO$3="","",IF(AND(DivAs=2,AO$2&lt;ExDivPct),ExDivTree!AO27+DivAmount*EXP(IntRate*(AO$2-ExDivPct)),ExDivTree!AO27))</f>
        <v>70.529928669100002</v>
      </c>
      <c r="AP27" s="17">
        <f>IF(AP$3="","",IF(AND(DivAs=2,AP$2&lt;ExDivPct),ExDivTree!AP27+DivAmount*EXP(IntRate*(AP$2-ExDivPct)),ExDivTree!AP27))</f>
        <v>72.6650501875</v>
      </c>
      <c r="AQ27" s="17">
        <f>IF(AQ$3="","",IF(AND(DivAs=2,AQ$2&lt;ExDivPct),ExDivTree!AQ27+DivAmount*EXP(IntRate*(AQ$2-ExDivPct)),ExDivTree!AQ27))</f>
        <v>74.864807300799995</v>
      </c>
      <c r="AR27" s="17">
        <f>IF(AR$3="","",IF(AND(DivAs=2,AR$2&lt;ExDivPct),ExDivTree!AR27+DivAmount*EXP(IntRate*(AR$2-ExDivPct)),ExDivTree!AR27))</f>
        <v>77.131156693899996</v>
      </c>
      <c r="AS27" s="17">
        <f>IF(AS$3="","",IF(AND(DivAs=2,AS$2&lt;ExDivPct),ExDivTree!AS27+DivAmount*EXP(IntRate*(AS$2-ExDivPct)),ExDivTree!AS27))</f>
        <v>79.466114285700002</v>
      </c>
      <c r="AT27" s="17">
        <f>IF(AT$3="","",IF(AND(DivAs=2,AT$2&lt;ExDivPct),ExDivTree!AT27+DivAmount*EXP(IntRate*(AT$2-ExDivPct)),ExDivTree!AT27))</f>
        <v>81.871757021999997</v>
      </c>
      <c r="AU27" s="17">
        <f>IF(AU$3="","",IF(AND(DivAs=2,AU$2&lt;ExDivPct),ExDivTree!AU27+DivAmount*EXP(IntRate*(AU$2-ExDivPct)),ExDivTree!AU27))</f>
        <v>84.350224723099998</v>
      </c>
      <c r="AV27" s="17">
        <f>IF(AV$3="","",IF(AND(DivAs=2,AV$2&lt;ExDivPct),ExDivTree!AV27+DivAmount*EXP(IntRate*(AV$2-ExDivPct)),ExDivTree!AV27))</f>
        <v>86.903721987099999</v>
      </c>
      <c r="AW27" s="17">
        <f>IF(AW$3="","",IF(AND(DivAs=2,AW$2&lt;ExDivPct),ExDivTree!AW27+DivAmount*EXP(IntRate*(AW$2-ExDivPct)),ExDivTree!AW27))</f>
        <v>89.534520150999995</v>
      </c>
      <c r="AX27" s="17">
        <f>IF(AX$3="","",IF(AND(DivAs=2,AX$2&lt;ExDivPct),ExDivTree!AX27+DivAmount*EXP(IntRate*(AX$2-ExDivPct)),ExDivTree!AX27))</f>
        <v>92.244959310900001</v>
      </c>
      <c r="AY27" s="17">
        <f>IF(AY$3="","",IF(AND(DivAs=2,AY$2&lt;ExDivPct),ExDivTree!AY27+DivAmount*EXP(IntRate*(AY$2-ExDivPct)),ExDivTree!AY27))</f>
        <v>95.037450403700007</v>
      </c>
      <c r="AZ27" s="17">
        <f>IF(AZ$3="","",IF(AND(DivAs=2,AZ$2&lt;ExDivPct),ExDivTree!AZ27+DivAmount*EXP(IntRate*(AZ$2-ExDivPct)),ExDivTree!AZ27))</f>
        <v>97.914477351499997</v>
      </c>
      <c r="BA27" s="17">
        <f>IF(BA$3="","",IF(AND(DivAs=2,BA$2&lt;ExDivPct),ExDivTree!BA27+DivAmount*EXP(IntRate*(BA$2-ExDivPct)),ExDivTree!BA27))</f>
        <v>100.8785992711</v>
      </c>
      <c r="BB27" s="17">
        <f>IF(BB$3="","",IF(AND(DivAs=2,BB$2&lt;ExDivPct),ExDivTree!BB27+DivAmount*EXP(IntRate*(BB$2-ExDivPct)),ExDivTree!BB27))</f>
        <v>103.9324527502</v>
      </c>
      <c r="BC27" s="17">
        <f>IF(BC$3="","",IF(AND(DivAs=2,BC$2&lt;ExDivPct),ExDivTree!BC27+DivAmount*EXP(IntRate*(BC$2-ExDivPct)),ExDivTree!BC27))</f>
        <v>107.07875419290001</v>
      </c>
      <c r="BD27" s="17">
        <f>IF(BD$3="","",IF(AND(DivAs=2,BD$2&lt;ExDivPct),ExDivTree!BD27+DivAmount*EXP(IntRate*(BD$2-ExDivPct)),ExDivTree!BD27))</f>
        <v>110.3203022357</v>
      </c>
      <c r="BE27" s="17">
        <f>IF(BE$3="","",IF(AND(DivAs=2,BE$2&lt;ExDivPct),ExDivTree!BE27+DivAmount*EXP(IntRate*(BE$2-ExDivPct)),ExDivTree!BE27))</f>
        <v>113.6599802371</v>
      </c>
      <c r="BF27" s="17">
        <f>IF(BF$3="","",IF(AND(DivAs=2,BF$2&lt;ExDivPct),ExDivTree!BF27+DivAmount*EXP(IntRate*(BF$2-ExDivPct)),ExDivTree!BF27))</f>
        <v>117.10075884219999</v>
      </c>
      <c r="BG27" s="17">
        <f>IF(BG$3="","",IF(AND(DivAs=2,BG$2&lt;ExDivPct),ExDivTree!BG27+DivAmount*EXP(IntRate*(BG$2-ExDivPct)),ExDivTree!BG27))</f>
        <v>120.6456986251</v>
      </c>
      <c r="BH27" s="17">
        <f>IF(BH$3="","",IF(AND(DivAs=2,BH$2&lt;ExDivPct),ExDivTree!BH27+DivAmount*EXP(IntRate*(BH$2-ExDivPct)),ExDivTree!BH27))</f>
        <v>124.29795281129999</v>
      </c>
      <c r="BI27" s="17">
        <f>IF(BI$3="","",IF(AND(DivAs=2,BI$2&lt;ExDivPct),ExDivTree!BI27+DivAmount*EXP(IntRate*(BI$2-ExDivPct)),ExDivTree!BI27))</f>
        <v>128.0607700825</v>
      </c>
      <c r="BJ27" s="17">
        <f>IF(BJ$3="","",IF(AND(DivAs=2,BJ$2&lt;ExDivPct),ExDivTree!BJ27+DivAmount*EXP(IntRate*(BJ$2-ExDivPct)),ExDivTree!BJ27))</f>
        <v>131.93749746649999</v>
      </c>
      <c r="BK27" s="17">
        <f>IF(BK$3="","",IF(AND(DivAs=2,BK$2&lt;ExDivPct),ExDivTree!BK27+DivAmount*EXP(IntRate*(BK$2-ExDivPct)),ExDivTree!BK27))</f>
        <v>135.93158331399999</v>
      </c>
      <c r="BL27" s="17">
        <f>IF(BL$3="","",IF(AND(DivAs=2,BL$2&lt;ExDivPct),ExDivTree!BL27+DivAmount*EXP(IntRate*(BL$2-ExDivPct)),ExDivTree!BL27))</f>
        <v>140.04658036609999</v>
      </c>
      <c r="BM27" s="17">
        <f>IF(BM$3="","",IF(AND(DivAs=2,BM$2&lt;ExDivPct),ExDivTree!BM27+DivAmount*EXP(IntRate*(BM$2-ExDivPct)),ExDivTree!BM27))</f>
        <v>144.28614891460001</v>
      </c>
      <c r="BN27" s="17">
        <f>IF(BN$3="","",IF(AND(DivAs=2,BN$2&lt;ExDivPct),ExDivTree!BN27+DivAmount*EXP(IntRate*(BN$2-ExDivPct)),ExDivTree!BN27))</f>
        <v>148.65406005759999</v>
      </c>
      <c r="BO27" s="17">
        <f>IF(BO$3="","",IF(AND(DivAs=2,BO$2&lt;ExDivPct),ExDivTree!BO27+DivAmount*EXP(IntRate*(BO$2-ExDivPct)),ExDivTree!BO27))</f>
        <v>153.15419905409999</v>
      </c>
      <c r="BP27" s="17">
        <f>IF(BP$3="","",IF(AND(DivAs=2,BP$2&lt;ExDivPct),ExDivTree!BP27+DivAmount*EXP(IntRate*(BP$2-ExDivPct)),ExDivTree!BP27))</f>
        <v>157.79056877970001</v>
      </c>
      <c r="BQ27" s="17">
        <f>IF(BQ$3="","",IF(AND(DivAs=2,BQ$2&lt;ExDivPct),ExDivTree!BQ27+DivAmount*EXP(IntRate*(BQ$2-ExDivPct)),ExDivTree!BQ27))</f>
        <v>162.5672932873</v>
      </c>
      <c r="BR27" s="17">
        <f>IF(BR$3="","",IF(AND(DivAs=2,BR$2&lt;ExDivPct),ExDivTree!BR27+DivAmount*EXP(IntRate*(BR$2-ExDivPct)),ExDivTree!BR27))</f>
        <v>167.48862147560001</v>
      </c>
      <c r="BS27" s="17">
        <f>IF(BS$3="","",IF(AND(DivAs=2,BS$2&lt;ExDivPct),ExDivTree!BS27+DivAmount*EXP(IntRate*(BS$2-ExDivPct)),ExDivTree!BS27))</f>
        <v>172.55893086820001</v>
      </c>
      <c r="BT27" s="17">
        <f>IF(BT$3="","",IF(AND(DivAs=2,BT$2&lt;ExDivPct),ExDivTree!BT27+DivAmount*EXP(IntRate*(BT$2-ExDivPct)),ExDivTree!BT27))</f>
        <v>177.78273150769999</v>
      </c>
      <c r="BU27" s="17">
        <f>IF(BU$3="","",IF(AND(DivAs=2,BU$2&lt;ExDivPct),ExDivTree!BU27+DivAmount*EXP(IntRate*(BU$2-ExDivPct)),ExDivTree!BU27))</f>
        <v>183.16466996700001</v>
      </c>
      <c r="BV27" s="17">
        <f>IF(BV$3="","",IF(AND(DivAs=2,BV$2&lt;ExDivPct),ExDivTree!BV27+DivAmount*EXP(IntRate*(BV$2-ExDivPct)),ExDivTree!BV27))</f>
        <v>188.7095334828</v>
      </c>
      <c r="BW27" s="17">
        <f>IF(BW$3="","",IF(AND(DivAs=2,BW$2&lt;ExDivPct),ExDivTree!BW27+DivAmount*EXP(IntRate*(BW$2-ExDivPct)),ExDivTree!BW27))</f>
        <v>194.4222542137</v>
      </c>
      <c r="BX27" s="17">
        <f>IF(BX$3="","",IF(AND(DivAs=2,BX$2&lt;ExDivPct),ExDivTree!BX27+DivAmount*EXP(IntRate*(BX$2-ExDivPct)),ExDivTree!BX27))</f>
        <v>200.30791362740001</v>
      </c>
      <c r="BY27" s="17">
        <f>IF(BY$3="","",IF(AND(DivAs=2,BY$2&lt;ExDivPct),ExDivTree!BY27+DivAmount*EXP(IntRate*(BY$2-ExDivPct)),ExDivTree!BY27))</f>
        <v>206.3717470206</v>
      </c>
      <c r="BZ27" s="17">
        <f>IF(BZ$3="","",IF(AND(DivAs=2,BZ$2&lt;ExDivPct),ExDivTree!BZ27+DivAmount*EXP(IntRate*(BZ$2-ExDivPct)),ExDivTree!BZ27))</f>
        <v>212.61914817580001</v>
      </c>
      <c r="CA27" s="17">
        <f>IF(CA$3="","",IF(AND(DivAs=2,CA$2&lt;ExDivPct),ExDivTree!CA27+DivAmount*EXP(IntRate*(CA$2-ExDivPct)),ExDivTree!CA27))</f>
        <v>219.05567415920001</v>
      </c>
      <c r="CB27" s="17">
        <f>IF(CB$3="","",IF(AND(DivAs=2,CB$2&lt;ExDivPct),ExDivTree!CB27+DivAmount*EXP(IntRate*(CB$2-ExDivPct)),ExDivTree!CB27))</f>
        <v>225.6870502635</v>
      </c>
      <c r="CC27" s="17">
        <f>IF(CC$3="","",IF(AND(DivAs=2,CC$2&lt;ExDivPct),ExDivTree!CC27+DivAmount*EXP(IntRate*(CC$2-ExDivPct)),ExDivTree!CC27))</f>
        <v>232.5191751008</v>
      </c>
      <c r="CD27" s="17">
        <f>IF(CD$3="","",IF(AND(DivAs=2,CD$2&lt;ExDivPct),ExDivTree!CD27+DivAmount*EXP(IntRate*(CD$2-ExDivPct)),ExDivTree!CD27))</f>
        <v>239.5581258492</v>
      </c>
      <c r="CE27" s="17">
        <f>IF(CE$3="","",IF(AND(DivAs=2,CE$2&lt;ExDivPct),ExDivTree!CE27+DivAmount*EXP(IntRate*(CE$2-ExDivPct)),ExDivTree!CE27))</f>
        <v>246.8101636586</v>
      </c>
      <c r="CF27" s="17">
        <f>IF(CF$3="","",IF(AND(DivAs=2,CF$2&lt;ExDivPct),ExDivTree!CF27+DivAmount*EXP(IntRate*(CF$2-ExDivPct)),ExDivTree!CF27))</f>
        <v>254.28173921979999</v>
      </c>
      <c r="CG27" s="17">
        <f>IF(CG$3="","",IF(AND(DivAs=2,CG$2&lt;ExDivPct),ExDivTree!CG27+DivAmount*EXP(IntRate*(CG$2-ExDivPct)),ExDivTree!CG27))</f>
        <v>261.97949850269998</v>
      </c>
      <c r="CH27" s="17">
        <f>IF(CH$3="","",IF(AND(DivAs=2,CH$2&lt;ExDivPct),ExDivTree!CH27+DivAmount*EXP(IntRate*(CH$2-ExDivPct)),ExDivTree!CH27))</f>
        <v>269.91028866760001</v>
      </c>
      <c r="CI27" s="17">
        <f>IF(CI$3="","",IF(AND(DivAs=2,CI$2&lt;ExDivPct),ExDivTree!CI27+DivAmount*EXP(IntRate*(CI$2-ExDivPct)),ExDivTree!CI27))</f>
        <v>278.081164156</v>
      </c>
      <c r="CJ27" s="17">
        <f>IF(CJ$3="","",IF(AND(DivAs=2,CJ$2&lt;ExDivPct),ExDivTree!CJ27+DivAmount*EXP(IntRate*(CJ$2-ExDivPct)),ExDivTree!CJ27))</f>
        <v>286.49939296529999</v>
      </c>
      <c r="CK27" s="17">
        <f>IF(CK$3="","",IF(AND(DivAs=2,CK$2&lt;ExDivPct),ExDivTree!CK27+DivAmount*EXP(IntRate*(CK$2-ExDivPct)),ExDivTree!CK27))</f>
        <v>295.17246311380001</v>
      </c>
      <c r="CL27" s="17">
        <f>IF(CL$3="","",IF(AND(DivAs=2,CL$2&lt;ExDivPct),ExDivTree!CL27+DivAmount*EXP(IntRate*(CL$2-ExDivPct)),ExDivTree!CL27))</f>
        <v>304.10808930140001</v>
      </c>
      <c r="CM27" s="17">
        <f>IF(CM$3="","",IF(AND(DivAs=2,CM$2&lt;ExDivPct),ExDivTree!CM27+DivAmount*EXP(IntRate*(CM$2-ExDivPct)),ExDivTree!CM27))</f>
        <v>313.31421977150001</v>
      </c>
      <c r="CN27" s="17">
        <f>IF(CN$3="","",IF(AND(DivAs=2,CN$2&lt;ExDivPct),ExDivTree!CN27+DivAmount*EXP(IntRate*(CN$2-ExDivPct)),ExDivTree!CN27))</f>
        <v>322.7990433814</v>
      </c>
      <c r="CO27" s="17">
        <f>IF(CO$3="","",IF(AND(DivAs=2,CO$2&lt;ExDivPct),ExDivTree!CO27+DivAmount*EXP(IntRate*(CO$2-ExDivPct)),ExDivTree!CO27))</f>
        <v>332.5709968859</v>
      </c>
      <c r="CP27" s="17">
        <f>IF(CP$3="","",IF(AND(DivAs=2,CP$2&lt;ExDivPct),ExDivTree!CP27+DivAmount*EXP(IntRate*(CP$2-ExDivPct)),ExDivTree!CP27))</f>
        <v>342.63877244209999</v>
      </c>
      <c r="CQ27" s="17">
        <f>IF(CQ$3="","",IF(AND(DivAs=2,CQ$2&lt;ExDivPct),ExDivTree!CQ27+DivAmount*EXP(IntRate*(CQ$2-ExDivPct)),ExDivTree!CQ27))</f>
        <v>353.01132534089999</v>
      </c>
      <c r="CR27" s="17">
        <f>IF(CR$3="","",IF(AND(DivAs=2,CR$2&lt;ExDivPct),ExDivTree!CR27+DivAmount*EXP(IntRate*(CR$2-ExDivPct)),ExDivTree!CR27))</f>
        <v>363.69788197269997</v>
      </c>
      <c r="CS27" s="17">
        <f>IF(CS$3="","",IF(AND(DivAs=2,CS$2&lt;ExDivPct),ExDivTree!CS27+DivAmount*EXP(IntRate*(CS$2-ExDivPct)),ExDivTree!CS27))</f>
        <v>374.70794803450002</v>
      </c>
      <c r="CT27" s="17">
        <f>IF(CT$3="","",IF(AND(DivAs=2,CT$2&lt;ExDivPct),ExDivTree!CT27+DivAmount*EXP(IntRate*(CT$2-ExDivPct)),ExDivTree!CT27))</f>
        <v>386.05131698510002</v>
      </c>
      <c r="CU27" s="17">
        <f>IF(CU$3="","",IF(AND(DivAs=2,CU$2&lt;ExDivPct),ExDivTree!CU27+DivAmount*EXP(IntRate*(CU$2-ExDivPct)),ExDivTree!CU27))</f>
        <v>397.73807875620003</v>
      </c>
      <c r="CV27" s="17">
        <f>IF(CV$3="","",IF(AND(DivAs=2,CV$2&lt;ExDivPct),ExDivTree!CV27+DivAmount*EXP(IntRate*(CV$2-ExDivPct)),ExDivTree!CV27))</f>
        <v>409.77862872769998</v>
      </c>
      <c r="CW27" s="17">
        <f>IF(CW$3="","",IF(AND(DivAs=2,CW$2&lt;ExDivPct),ExDivTree!CW27+DivAmount*EXP(IntRate*(CW$2-ExDivPct)),ExDivTree!CW27))</f>
        <v>422.18367697420001</v>
      </c>
      <c r="CX27" s="17">
        <f>IF(CX$3="","",IF(AND(DivAs=2,CX$2&lt;ExDivPct),ExDivTree!CX27+DivAmount*EXP(IntRate*(CX$2-ExDivPct)),ExDivTree!CX27))</f>
        <v>434.96425779169999</v>
      </c>
      <c r="CY27" s="17">
        <f>IF(CY$3="","",IF(AND(DivAs=2,CY$2&lt;ExDivPct),ExDivTree!CY27+DivAmount*EXP(IntRate*(CY$2-ExDivPct)),ExDivTree!CY27))</f>
        <v>448.13173951260001</v>
      </c>
      <c r="CZ27" s="17">
        <f>IF(CZ$3="","",IF(AND(DivAs=2,CZ$2&lt;ExDivPct),ExDivTree!CZ27+DivAmount*EXP(IntRate*(CZ$2-ExDivPct)),ExDivTree!CZ27))</f>
        <v>461.69783461790001</v>
      </c>
      <c r="DA27" s="17">
        <f>IF(DA$3="","",IF(AND(DivAs=2,DA$2&lt;ExDivPct),ExDivTree!DA27+DivAmount*EXP(IntRate*(DA$2-ExDivPct)),ExDivTree!DA27))</f>
        <v>475.6746101553</v>
      </c>
      <c r="DB27" s="17">
        <f>IF(DB$3="","",IF(AND(DivAs=2,DB$2&lt;ExDivPct),ExDivTree!DB27+DivAmount*EXP(IntRate*(DB$2-ExDivPct)),ExDivTree!DB27))</f>
        <v>490.07449847290002</v>
      </c>
    </row>
    <row r="28" spans="1:106" x14ac:dyDescent="0.2">
      <c r="A28">
        <f>ExDivTree!A28</f>
        <v>1.0464134587215499E+23</v>
      </c>
      <c r="B28" s="71">
        <f>ExDivTree!B28</f>
        <v>4.1273733414126584E-8</v>
      </c>
      <c r="C28" s="71">
        <f>ExDivTree!C28</f>
        <v>4.7481835223381936E-8</v>
      </c>
      <c r="D28" s="177">
        <f>ExDivTree!D28</f>
        <v>24</v>
      </c>
      <c r="AC28" s="17">
        <f>IF(AC$3="","",IF(AND(DivAs=2,AC$2&lt;ExDivPct),ExDivTree!AC28+DivAmount*EXP(IntRate*(AC$2-ExDivPct)),ExDivTree!AC28))</f>
        <v>46.4564308661</v>
      </c>
      <c r="AD28" s="17">
        <f>IF(AD$3="","",IF(AND(DivAs=2,AD$2&lt;ExDivPct),ExDivTree!AD28+DivAmount*EXP(IntRate*(AD$2-ExDivPct)),ExDivTree!AD28))</f>
        <v>47.862785970700003</v>
      </c>
      <c r="AE28" s="17">
        <f>IF(AE$3="","",IF(AND(DivAs=2,AE$2&lt;ExDivPct),ExDivTree!AE28+DivAmount*EXP(IntRate*(AE$2-ExDivPct)),ExDivTree!AE28))</f>
        <v>49.311715045</v>
      </c>
      <c r="AF28" s="17">
        <f>IF(AF$3="","",IF(AND(DivAs=2,AF$2&lt;ExDivPct),ExDivTree!AF28+DivAmount*EXP(IntRate*(AF$2-ExDivPct)),ExDivTree!AF28))</f>
        <v>50.804506912000001</v>
      </c>
      <c r="AG28" s="17">
        <f>IF(AG$3="","",IF(AND(DivAs=2,AG$2&lt;ExDivPct),ExDivTree!AG28+DivAmount*EXP(IntRate*(AG$2-ExDivPct)),ExDivTree!AG28))</f>
        <v>52.342489410799999</v>
      </c>
      <c r="AH28" s="17">
        <f>IF(AH$3="","",IF(AND(DivAs=2,AH$2&lt;ExDivPct),ExDivTree!AH28+DivAmount*EXP(IntRate*(AH$2-ExDivPct)),ExDivTree!AH28))</f>
        <v>53.9270305776</v>
      </c>
      <c r="AI28" s="17">
        <f>IF(AI$3="","",IF(AND(DivAs=2,AI$2&lt;ExDivPct),ExDivTree!AI28+DivAmount*EXP(IntRate*(AI$2-ExDivPct)),ExDivTree!AI28))</f>
        <v>55.559539862400001</v>
      </c>
      <c r="AJ28" s="17">
        <f>IF(AJ$3="","",IF(AND(DivAs=2,AJ$2&lt;ExDivPct),ExDivTree!AJ28+DivAmount*EXP(IntRate*(AJ$2-ExDivPct)),ExDivTree!AJ28))</f>
        <v>57.2414693829</v>
      </c>
      <c r="AK28" s="17">
        <f>IF(AK$3="","",IF(AND(DivAs=2,AK$2&lt;ExDivPct),ExDivTree!AK28+DivAmount*EXP(IntRate*(AK$2-ExDivPct)),ExDivTree!AK28))</f>
        <v>58.974315216299999</v>
      </c>
      <c r="AL28" s="17">
        <f>IF(AL$3="","",IF(AND(DivAs=2,AL$2&lt;ExDivPct),ExDivTree!AL28+DivAmount*EXP(IntRate*(AL$2-ExDivPct)),ExDivTree!AL28))</f>
        <v>60.7596187296</v>
      </c>
      <c r="AM28" s="17">
        <f>IF(AM$3="","",IF(AND(DivAs=2,AM$2&lt;ExDivPct),ExDivTree!AM28+DivAmount*EXP(IntRate*(AM$2-ExDivPct)),ExDivTree!AM28))</f>
        <v>62.598967951200002</v>
      </c>
      <c r="AN28" s="17">
        <f>IF(AN$3="","",IF(AND(DivAs=2,AN$2&lt;ExDivPct),ExDivTree!AN28+DivAmount*EXP(IntRate*(AN$2-ExDivPct)),ExDivTree!AN28))</f>
        <v>64.493998982999997</v>
      </c>
      <c r="AO28" s="17">
        <f>IF(AO$3="","",IF(AND(DivAs=2,AO$2&lt;ExDivPct),ExDivTree!AO28+DivAmount*EXP(IntRate*(AO$2-ExDivPct)),ExDivTree!AO28))</f>
        <v>66.446397456</v>
      </c>
      <c r="AP28" s="17">
        <f>IF(AP$3="","",IF(AND(DivAs=2,AP$2&lt;ExDivPct),ExDivTree!AP28+DivAmount*EXP(IntRate*(AP$2-ExDivPct)),ExDivTree!AP28))</f>
        <v>68.457900029499996</v>
      </c>
      <c r="AQ28" s="17">
        <f>IF(AQ$3="","",IF(AND(DivAs=2,AQ$2&lt;ExDivPct),ExDivTree!AQ28+DivAmount*EXP(IntRate*(AQ$2-ExDivPct)),ExDivTree!AQ28))</f>
        <v>70.5302959359</v>
      </c>
      <c r="AR28" s="17">
        <f>IF(AR$3="","",IF(AND(DivAs=2,AR$2&lt;ExDivPct),ExDivTree!AR28+DivAmount*EXP(IntRate*(AR$2-ExDivPct)),ExDivTree!AR28))</f>
        <v>72.665428572400003</v>
      </c>
      <c r="AS28" s="17">
        <f>IF(AS$3="","",IF(AND(DivAs=2,AS$2&lt;ExDivPct),ExDivTree!AS28+DivAmount*EXP(IntRate*(AS$2-ExDivPct)),ExDivTree!AS28))</f>
        <v>74.865197140299998</v>
      </c>
      <c r="AT28" s="17">
        <f>IF(AT$3="","",IF(AND(DivAs=2,AT$2&lt;ExDivPct),ExDivTree!AT28+DivAmount*EXP(IntRate*(AT$2-ExDivPct)),ExDivTree!AT28))</f>
        <v>77.131558334900006</v>
      </c>
      <c r="AU28" s="17">
        <f>IF(AU$3="","",IF(AND(DivAs=2,AU$2&lt;ExDivPct),ExDivTree!AU28+DivAmount*EXP(IntRate*(AU$2-ExDivPct)),ExDivTree!AU28))</f>
        <v>79.4665280854</v>
      </c>
      <c r="AV28" s="17">
        <f>IF(AV$3="","",IF(AND(DivAs=2,AV$2&lt;ExDivPct),ExDivTree!AV28+DivAmount*EXP(IntRate*(AV$2-ExDivPct)),ExDivTree!AV28))</f>
        <v>81.8721833484</v>
      </c>
      <c r="AW28" s="17">
        <f>IF(AW$3="","",IF(AND(DivAs=2,AW$2&lt;ExDivPct),ExDivTree!AW28+DivAmount*EXP(IntRate*(AW$2-ExDivPct)),ExDivTree!AW28))</f>
        <v>84.350663955399995</v>
      </c>
      <c r="AX28" s="17">
        <f>IF(AX$3="","",IF(AND(DivAs=2,AX$2&lt;ExDivPct),ExDivTree!AX28+DivAmount*EXP(IntRate*(AX$2-ExDivPct)),ExDivTree!AX28))</f>
        <v>86.904174516099999</v>
      </c>
      <c r="AY28" s="17">
        <f>IF(AY$3="","",IF(AND(DivAs=2,AY$2&lt;ExDivPct),ExDivTree!AY28+DivAmount*EXP(IntRate*(AY$2-ExDivPct)),ExDivTree!AY28))</f>
        <v>89.534986379200006</v>
      </c>
      <c r="AZ28" s="17">
        <f>IF(AZ$3="","",IF(AND(DivAs=2,AZ$2&lt;ExDivPct),ExDivTree!AZ28+DivAmount*EXP(IntRate*(AZ$2-ExDivPct)),ExDivTree!AZ28))</f>
        <v>92.245439653000005</v>
      </c>
      <c r="BA28" s="17">
        <f>IF(BA$3="","",IF(AND(DivAs=2,BA$2&lt;ExDivPct),ExDivTree!BA28+DivAmount*EXP(IntRate*(BA$2-ExDivPct)),ExDivTree!BA28))</f>
        <v>95.037945286999999</v>
      </c>
      <c r="BB28" s="17">
        <f>IF(BB$3="","",IF(AND(DivAs=2,BB$2&lt;ExDivPct),ExDivTree!BB28+DivAmount*EXP(IntRate*(BB$2-ExDivPct)),ExDivTree!BB28))</f>
        <v>97.914987216200004</v>
      </c>
      <c r="BC28" s="17">
        <f>IF(BC$3="","",IF(AND(DivAs=2,BC$2&lt;ExDivPct),ExDivTree!BC28+DivAmount*EXP(IntRate*(BC$2-ExDivPct)),ExDivTree!BC28))</f>
        <v>100.8791245707</v>
      </c>
      <c r="BD28" s="17">
        <f>IF(BD$3="","",IF(AND(DivAs=2,BD$2&lt;ExDivPct),ExDivTree!BD28+DivAmount*EXP(IntRate*(BD$2-ExDivPct)),ExDivTree!BD28))</f>
        <v>103.932993952</v>
      </c>
      <c r="BE28" s="17">
        <f>IF(BE$3="","",IF(AND(DivAs=2,BE$2&lt;ExDivPct),ExDivTree!BE28+DivAmount*EXP(IntRate*(BE$2-ExDivPct)),ExDivTree!BE28))</f>
        <v>107.07931177819999</v>
      </c>
      <c r="BF28" s="17">
        <f>IF(BF$3="","",IF(AND(DivAs=2,BF$2&lt;ExDivPct),ExDivTree!BF28+DivAmount*EXP(IntRate*(BF$2-ExDivPct)),ExDivTree!BF28))</f>
        <v>110.32087670049999</v>
      </c>
      <c r="BG28" s="17">
        <f>IF(BG$3="","",IF(AND(DivAs=2,BG$2&lt;ExDivPct),ExDivTree!BG28+DivAmount*EXP(IntRate*(BG$2-ExDivPct)),ExDivTree!BG28))</f>
        <v>113.6605720924</v>
      </c>
      <c r="BH28" s="17">
        <f>IF(BH$3="","",IF(AND(DivAs=2,BH$2&lt;ExDivPct),ExDivTree!BH28+DivAmount*EXP(IntRate*(BH$2-ExDivPct)),ExDivTree!BH28))</f>
        <v>117.1013686144</v>
      </c>
      <c r="BI28" s="17">
        <f>IF(BI$3="","",IF(AND(DivAs=2,BI$2&lt;ExDivPct),ExDivTree!BI28+DivAmount*EXP(IntRate*(BI$2-ExDivPct)),ExDivTree!BI28))</f>
        <v>120.6463268566</v>
      </c>
      <c r="BJ28" s="17">
        <f>IF(BJ$3="","",IF(AND(DivAs=2,BJ$2&lt;ExDivPct),ExDivTree!BJ28+DivAmount*EXP(IntRate*(BJ$2-ExDivPct)),ExDivTree!BJ28))</f>
        <v>124.298600061</v>
      </c>
      <c r="BK28" s="17">
        <f>IF(BK$3="","",IF(AND(DivAs=2,BK$2&lt;ExDivPct),ExDivTree!BK28+DivAmount*EXP(IntRate*(BK$2-ExDivPct)),ExDivTree!BK28))</f>
        <v>128.0614369262</v>
      </c>
      <c r="BL28" s="17">
        <f>IF(BL$3="","",IF(AND(DivAs=2,BL$2&lt;ExDivPct),ExDivTree!BL28+DivAmount*EXP(IntRate*(BL$2-ExDivPct)),ExDivTree!BL28))</f>
        <v>131.93818449720001</v>
      </c>
      <c r="BM28" s="17">
        <f>IF(BM$3="","",IF(AND(DivAs=2,BM$2&lt;ExDivPct),ExDivTree!BM28+DivAmount*EXP(IntRate*(BM$2-ExDivPct)),ExDivTree!BM28))</f>
        <v>135.93229114280001</v>
      </c>
      <c r="BN28" s="17">
        <f>IF(BN$3="","",IF(AND(DivAs=2,BN$2&lt;ExDivPct),ExDivTree!BN28+DivAmount*EXP(IntRate*(BN$2-ExDivPct)),ExDivTree!BN28))</f>
        <v>140.0473096227</v>
      </c>
      <c r="BO28" s="17">
        <f>IF(BO$3="","",IF(AND(DivAs=2,BO$2&lt;ExDivPct),ExDivTree!BO28+DivAmount*EXP(IntRate*(BO$2-ExDivPct)),ExDivTree!BO28))</f>
        <v>144.2869002477</v>
      </c>
      <c r="BP28" s="17">
        <f>IF(BP$3="","",IF(AND(DivAs=2,BP$2&lt;ExDivPct),ExDivTree!BP28+DivAmount*EXP(IntRate*(BP$2-ExDivPct)),ExDivTree!BP28))</f>
        <v>148.65483413550001</v>
      </c>
      <c r="BQ28" s="17">
        <f>IF(BQ$3="","",IF(AND(DivAs=2,BQ$2&lt;ExDivPct),ExDivTree!BQ28+DivAmount*EXP(IntRate*(BQ$2-ExDivPct)),ExDivTree!BQ28))</f>
        <v>153.1549965653</v>
      </c>
      <c r="BR28" s="17">
        <f>IF(BR$3="","",IF(AND(DivAs=2,BR$2&lt;ExDivPct),ExDivTree!BR28+DivAmount*EXP(IntRate*(BR$2-ExDivPct)),ExDivTree!BR28))</f>
        <v>157.79139043359999</v>
      </c>
      <c r="BS28" s="17">
        <f>IF(BS$3="","",IF(AND(DivAs=2,BS$2&lt;ExDivPct),ExDivTree!BS28+DivAmount*EXP(IntRate*(BS$2-ExDivPct)),ExDivTree!BS28))</f>
        <v>162.56813981479999</v>
      </c>
      <c r="BT28" s="17">
        <f>IF(BT$3="","",IF(AND(DivAs=2,BT$2&lt;ExDivPct),ExDivTree!BT28+DivAmount*EXP(IntRate*(BT$2-ExDivPct)),ExDivTree!BT28))</f>
        <v>167.48949362970001</v>
      </c>
      <c r="BU28" s="17">
        <f>IF(BU$3="","",IF(AND(DivAs=2,BU$2&lt;ExDivPct),ExDivTree!BU28+DivAmount*EXP(IntRate*(BU$2-ExDivPct)),ExDivTree!BU28))</f>
        <v>172.55982942470001</v>
      </c>
      <c r="BV28" s="17">
        <f>IF(BV$3="","",IF(AND(DivAs=2,BV$2&lt;ExDivPct),ExDivTree!BV28+DivAmount*EXP(IntRate*(BV$2-ExDivPct)),ExDivTree!BV28))</f>
        <v>177.7836572658</v>
      </c>
      <c r="BW28" s="17">
        <f>IF(BW$3="","",IF(AND(DivAs=2,BW$2&lt;ExDivPct),ExDivTree!BW28+DivAmount*EXP(IntRate*(BW$2-ExDivPct)),ExDivTree!BW28))</f>
        <v>183.16562375020001</v>
      </c>
      <c r="BX28" s="17">
        <f>IF(BX$3="","",IF(AND(DivAs=2,BX$2&lt;ExDivPct),ExDivTree!BX28+DivAmount*EXP(IntRate*(BX$2-ExDivPct)),ExDivTree!BX28))</f>
        <v>188.71051613949999</v>
      </c>
      <c r="BY28" s="17">
        <f>IF(BY$3="","",IF(AND(DivAs=2,BY$2&lt;ExDivPct),ExDivTree!BY28+DivAmount*EXP(IntRate*(BY$2-ExDivPct)),ExDivTree!BY28))</f>
        <v>194.42326661800001</v>
      </c>
      <c r="BZ28" s="17">
        <f>IF(BZ$3="","",IF(AND(DivAs=2,BZ$2&lt;ExDivPct),ExDivTree!BZ28+DivAmount*EXP(IntRate*(BZ$2-ExDivPct)),ExDivTree!BZ28))</f>
        <v>200.30895667979999</v>
      </c>
      <c r="CA28" s="17">
        <f>IF(CA$3="","",IF(AND(DivAs=2,CA$2&lt;ExDivPct),ExDivTree!CA28+DivAmount*EXP(IntRate*(CA$2-ExDivPct)),ExDivTree!CA28))</f>
        <v>206.37282164889999</v>
      </c>
      <c r="CB28" s="17">
        <f>IF(CB$3="","",IF(AND(DivAs=2,CB$2&lt;ExDivPct),ExDivTree!CB28+DivAmount*EXP(IntRate*(CB$2-ExDivPct)),ExDivTree!CB28))</f>
        <v>212.6202553359</v>
      </c>
      <c r="CC28" s="17">
        <f>IF(CC$3="","",IF(AND(DivAs=2,CC$2&lt;ExDivPct),ExDivTree!CC28+DivAmount*EXP(IntRate*(CC$2-ExDivPct)),ExDivTree!CC28))</f>
        <v>219.05681483590001</v>
      </c>
      <c r="CD28" s="17">
        <f>IF(CD$3="","",IF(AND(DivAs=2,CD$2&lt;ExDivPct),ExDivTree!CD28+DivAmount*EXP(IntRate*(CD$2-ExDivPct)),ExDivTree!CD28))</f>
        <v>225.68822547139999</v>
      </c>
      <c r="CE28" s="17">
        <f>IF(CE$3="","",IF(AND(DivAs=2,CE$2&lt;ExDivPct),ExDivTree!CE28+DivAmount*EXP(IntRate*(CE$2-ExDivPct)),ExDivTree!CE28))</f>
        <v>232.52038588529999</v>
      </c>
      <c r="CF28" s="17">
        <f>IF(CF$3="","",IF(AND(DivAs=2,CF$2&lt;ExDivPct),ExDivTree!CF28+DivAmount*EXP(IntRate*(CF$2-ExDivPct)),ExDivTree!CF28))</f>
        <v>239.5593732872</v>
      </c>
      <c r="CG28" s="17">
        <f>IF(CG$3="","",IF(AND(DivAs=2,CG$2&lt;ExDivPct),ExDivTree!CG28+DivAmount*EXP(IntRate*(CG$2-ExDivPct)),ExDivTree!CG28))</f>
        <v>246.81144885969999</v>
      </c>
      <c r="CH28" s="17">
        <f>IF(CH$3="","",IF(AND(DivAs=2,CH$2&lt;ExDivPct),ExDivTree!CH28+DivAmount*EXP(IntRate*(CH$2-ExDivPct)),ExDivTree!CH28))</f>
        <v>254.28306332720001</v>
      </c>
      <c r="CI28" s="17">
        <f>IF(CI$3="","",IF(AND(DivAs=2,CI$2&lt;ExDivPct),ExDivTree!CI28+DivAmount*EXP(IntRate*(CI$2-ExDivPct)),ExDivTree!CI28))</f>
        <v>261.98086269420003</v>
      </c>
      <c r="CJ28" s="17">
        <f>IF(CJ$3="","",IF(AND(DivAs=2,CJ$2&lt;ExDivPct),ExDivTree!CJ28+DivAmount*EXP(IntRate*(CJ$2-ExDivPct)),ExDivTree!CJ28))</f>
        <v>269.91169415669998</v>
      </c>
      <c r="CK28" s="17">
        <f>IF(CK$3="","",IF(AND(DivAs=2,CK$2&lt;ExDivPct),ExDivTree!CK28+DivAmount*EXP(IntRate*(CK$2-ExDivPct)),ExDivTree!CK28))</f>
        <v>278.0826121929</v>
      </c>
      <c r="CL28" s="17">
        <f>IF(CL$3="","",IF(AND(DivAs=2,CL$2&lt;ExDivPct),ExDivTree!CL28+DivAmount*EXP(IntRate*(CL$2-ExDivPct)),ExDivTree!CL28))</f>
        <v>286.50088483799999</v>
      </c>
      <c r="CM28" s="17">
        <f>IF(CM$3="","",IF(AND(DivAs=2,CM$2&lt;ExDivPct),ExDivTree!CM28+DivAmount*EXP(IntRate*(CM$2-ExDivPct)),ExDivTree!CM28))</f>
        <v>295.17400014930001</v>
      </c>
      <c r="CN28" s="17">
        <f>IF(CN$3="","",IF(AND(DivAs=2,CN$2&lt;ExDivPct),ExDivTree!CN28+DivAmount*EXP(IntRate*(CN$2-ExDivPct)),ExDivTree!CN28))</f>
        <v>304.10967286689998</v>
      </c>
      <c r="CO28" s="17">
        <f>IF(CO$3="","",IF(AND(DivAs=2,CO$2&lt;ExDivPct),ExDivTree!CO28+DivAmount*EXP(IntRate*(CO$2-ExDivPct)),ExDivTree!CO28))</f>
        <v>313.31585127559998</v>
      </c>
      <c r="CP28" s="17">
        <f>IF(CP$3="","",IF(AND(DivAs=2,CP$2&lt;ExDivPct),ExDivTree!CP28+DivAmount*EXP(IntRate*(CP$2-ExDivPct)),ExDivTree!CP28))</f>
        <v>322.80072427530001</v>
      </c>
      <c r="CQ28" s="17">
        <f>IF(CQ$3="","",IF(AND(DivAs=2,CQ$2&lt;ExDivPct),ExDivTree!CQ28+DivAmount*EXP(IntRate*(CQ$2-ExDivPct)),ExDivTree!CQ28))</f>
        <v>332.57272866480002</v>
      </c>
      <c r="CR28" s="17">
        <f>IF(CR$3="","",IF(AND(DivAs=2,CR$2&lt;ExDivPct),ExDivTree!CR28+DivAmount*EXP(IntRate*(CR$2-ExDivPct)),ExDivTree!CR28))</f>
        <v>342.6405566464</v>
      </c>
      <c r="CS28" s="17">
        <f>IF(CS$3="","",IF(AND(DivAs=2,CS$2&lt;ExDivPct),ExDivTree!CS28+DivAmount*EXP(IntRate*(CS$2-ExDivPct)),ExDivTree!CS28))</f>
        <v>353.01316355760002</v>
      </c>
      <c r="CT28" s="17">
        <f>IF(CT$3="","",IF(AND(DivAs=2,CT$2&lt;ExDivPct),ExDivTree!CT28+DivAmount*EXP(IntRate*(CT$2-ExDivPct)),ExDivTree!CT28))</f>
        <v>363.699775837</v>
      </c>
      <c r="CU28" s="17">
        <f>IF(CU$3="","",IF(AND(DivAs=2,CU$2&lt;ExDivPct),ExDivTree!CU28+DivAmount*EXP(IntRate*(CU$2-ExDivPct)),ExDivTree!CU28))</f>
        <v>374.70989923100001</v>
      </c>
      <c r="CV28" s="17">
        <f>IF(CV$3="","",IF(AND(DivAs=2,CV$2&lt;ExDivPct),ExDivTree!CV28+DivAmount*EXP(IntRate*(CV$2-ExDivPct)),ExDivTree!CV28))</f>
        <v>386.05332724930003</v>
      </c>
      <c r="CW28" s="17">
        <f>IF(CW$3="","",IF(AND(DivAs=2,CW$2&lt;ExDivPct),ExDivTree!CW28+DivAmount*EXP(IntRate*(CW$2-ExDivPct)),ExDivTree!CW28))</f>
        <v>397.74014987620001</v>
      </c>
      <c r="CX28" s="17">
        <f>IF(CX$3="","",IF(AND(DivAs=2,CX$2&lt;ExDivPct),ExDivTree!CX28+DivAmount*EXP(IntRate*(CX$2-ExDivPct)),ExDivTree!CX28))</f>
        <v>409.78076254579997</v>
      </c>
      <c r="CY28" s="17">
        <f>IF(CY$3="","",IF(AND(DivAs=2,CY$2&lt;ExDivPct),ExDivTree!CY28+DivAmount*EXP(IntRate*(CY$2-ExDivPct)),ExDivTree!CY28))</f>
        <v>422.18587538840001</v>
      </c>
      <c r="CZ28" s="17">
        <f>IF(CZ$3="","",IF(AND(DivAs=2,CZ$2&lt;ExDivPct),ExDivTree!CZ28+DivAmount*EXP(IntRate*(CZ$2-ExDivPct)),ExDivTree!CZ28))</f>
        <v>434.9665227575</v>
      </c>
      <c r="DA28" s="17">
        <f>IF(DA$3="","",IF(AND(DivAs=2,DA$2&lt;ExDivPct),ExDivTree!DA28+DivAmount*EXP(IntRate*(DA$2-ExDivPct)),ExDivTree!DA28))</f>
        <v>448.1340730448</v>
      </c>
      <c r="DB28" s="17">
        <f>IF(DB$3="","",IF(AND(DivAs=2,DB$2&lt;ExDivPct),ExDivTree!DB28+DivAmount*EXP(IntRate*(DB$2-ExDivPct)),ExDivTree!DB28))</f>
        <v>461.70023879209998</v>
      </c>
    </row>
    <row r="29" spans="1:106" x14ac:dyDescent="0.2">
      <c r="A29">
        <f>ExDivTree!A29</f>
        <v>3.2229534528623754E+23</v>
      </c>
      <c r="B29" s="71">
        <f>ExDivTree!B29</f>
        <v>1.2712309891550995E-7</v>
      </c>
      <c r="C29" s="71">
        <f>ExDivTree!C29</f>
        <v>1.4547086839054137E-7</v>
      </c>
      <c r="D29" s="177">
        <f>ExDivTree!D29</f>
        <v>25</v>
      </c>
      <c r="AD29" s="17">
        <f>IF(AD$3="","",IF(AND(DivAs=2,AD$2&lt;ExDivPct),ExDivTree!AD29+DivAmount*EXP(IntRate*(AD$2-ExDivPct)),ExDivTree!AD29))</f>
        <v>45.091633579899998</v>
      </c>
      <c r="AE29" s="17">
        <f>IF(AE$3="","",IF(AND(DivAs=2,AE$2&lt;ExDivPct),ExDivTree!AE29+DivAmount*EXP(IntRate*(AE$2-ExDivPct)),ExDivTree!AE29))</f>
        <v>46.456672776300003</v>
      </c>
      <c r="AF29" s="17">
        <f>IF(AF$3="","",IF(AND(DivAs=2,AF$2&lt;ExDivPct),ExDivTree!AF29+DivAmount*EXP(IntRate*(AF$2-ExDivPct)),ExDivTree!AF29))</f>
        <v>47.863035204100001</v>
      </c>
      <c r="AG29" s="17">
        <f>IF(AG$3="","",IF(AND(DivAs=2,AG$2&lt;ExDivPct),ExDivTree!AG29+DivAmount*EXP(IntRate*(AG$2-ExDivPct)),ExDivTree!AG29))</f>
        <v>49.311971823299999</v>
      </c>
      <c r="AH29" s="17">
        <f>IF(AH$3="","",IF(AND(DivAs=2,AH$2&lt;ExDivPct),ExDivTree!AH29+DivAmount*EXP(IntRate*(AH$2-ExDivPct)),ExDivTree!AH29))</f>
        <v>50.8047714637</v>
      </c>
      <c r="AI29" s="17">
        <f>IF(AI$3="","",IF(AND(DivAs=2,AI$2&lt;ExDivPct),ExDivTree!AI29+DivAmount*EXP(IntRate*(AI$2-ExDivPct)),ExDivTree!AI29))</f>
        <v>52.342761971199998</v>
      </c>
      <c r="AJ29" s="17">
        <f>IF(AJ$3="","",IF(AND(DivAs=2,AJ$2&lt;ExDivPct),ExDivTree!AJ29+DivAmount*EXP(IntRate*(AJ$2-ExDivPct)),ExDivTree!AJ29))</f>
        <v>53.927311389099998</v>
      </c>
      <c r="AK29" s="17">
        <f>IF(AK$3="","",IF(AND(DivAs=2,AK$2&lt;ExDivPct),ExDivTree!AK29+DivAmount*EXP(IntRate*(AK$2-ExDivPct)),ExDivTree!AK29))</f>
        <v>55.559829174800001</v>
      </c>
      <c r="AL29" s="17">
        <f>IF(AL$3="","",IF(AND(DivAs=2,AL$2&lt;ExDivPct),ExDivTree!AL29+DivAmount*EXP(IntRate*(AL$2-ExDivPct)),ExDivTree!AL29))</f>
        <v>57.241767453599998</v>
      </c>
      <c r="AM29" s="17">
        <f>IF(AM$3="","",IF(AND(DivAs=2,AM$2&lt;ExDivPct),ExDivTree!AM29+DivAmount*EXP(IntRate*(AM$2-ExDivPct)),ExDivTree!AM29))</f>
        <v>58.974622310299999</v>
      </c>
      <c r="AN29" s="17">
        <f>IF(AN$3="","",IF(AND(DivAs=2,AN$2&lt;ExDivPct),ExDivTree!AN29+DivAmount*EXP(IntRate*(AN$2-ExDivPct)),ExDivTree!AN29))</f>
        <v>60.759935120199998</v>
      </c>
      <c r="AO29" s="17">
        <f>IF(AO$3="","",IF(AND(DivAs=2,AO$2&lt;ExDivPct),ExDivTree!AO29+DivAmount*EXP(IntRate*(AO$2-ExDivPct)),ExDivTree!AO29))</f>
        <v>62.599293919799997</v>
      </c>
      <c r="AP29" s="17">
        <f>IF(AP$3="","",IF(AND(DivAs=2,AP$2&lt;ExDivPct),ExDivTree!AP29+DivAmount*EXP(IntRate*(AP$2-ExDivPct)),ExDivTree!AP29))</f>
        <v>64.494334819499997</v>
      </c>
      <c r="AQ29" s="17">
        <f>IF(AQ$3="","",IF(AND(DivAs=2,AQ$2&lt;ExDivPct),ExDivTree!AQ29+DivAmount*EXP(IntRate*(AQ$2-ExDivPct)),ExDivTree!AQ29))</f>
        <v>66.446743459100006</v>
      </c>
      <c r="AR29" s="17">
        <f>IF(AR$3="","",IF(AND(DivAs=2,AR$2&lt;ExDivPct),ExDivTree!AR29+DivAmount*EXP(IntRate*(AR$2-ExDivPct)),ExDivTree!AR29))</f>
        <v>68.458256507000002</v>
      </c>
      <c r="AS29" s="17">
        <f>IF(AS$3="","",IF(AND(DivAs=2,AS$2&lt;ExDivPct),ExDivTree!AS29+DivAmount*EXP(IntRate*(AS$2-ExDivPct)),ExDivTree!AS29))</f>
        <v>70.530663204899994</v>
      </c>
      <c r="AT29" s="17">
        <f>IF(AT$3="","",IF(AND(DivAs=2,AT$2&lt;ExDivPct),ExDivTree!AT29+DivAmount*EXP(IntRate*(AT$2-ExDivPct)),ExDivTree!AT29))</f>
        <v>72.665806959500003</v>
      </c>
      <c r="AU29" s="17">
        <f>IF(AU$3="","",IF(AND(DivAs=2,AU$2&lt;ExDivPct),ExDivTree!AU29+DivAmount*EXP(IntRate*(AU$2-ExDivPct)),ExDivTree!AU29))</f>
        <v>74.8655869822</v>
      </c>
      <c r="AV29" s="17">
        <f>IF(AV$3="","",IF(AND(DivAs=2,AV$2&lt;ExDivPct),ExDivTree!AV29+DivAmount*EXP(IntRate*(AV$2-ExDivPct)),ExDivTree!AV29))</f>
        <v>77.131959978300003</v>
      </c>
      <c r="AW29" s="17">
        <f>IF(AW$3="","",IF(AND(DivAs=2,AW$2&lt;ExDivPct),ExDivTree!AW29+DivAmount*EXP(IntRate*(AW$2-ExDivPct)),ExDivTree!AW29))</f>
        <v>79.466941887600001</v>
      </c>
      <c r="AX29" s="17">
        <f>IF(AX$3="","",IF(AND(DivAs=2,AX$2&lt;ExDivPct),ExDivTree!AX29+DivAmount*EXP(IntRate*(AX$2-ExDivPct)),ExDivTree!AX29))</f>
        <v>81.872609677499995</v>
      </c>
      <c r="AY29" s="17">
        <f>IF(AY$3="","",IF(AND(DivAs=2,AY$2&lt;ExDivPct),ExDivTree!AY29+DivAmount*EXP(IntRate*(AY$2-ExDivPct)),ExDivTree!AY29))</f>
        <v>84.3511031906</v>
      </c>
      <c r="AZ29" s="17">
        <f>IF(AZ$3="","",IF(AND(DivAs=2,AZ$2&lt;ExDivPct),ExDivTree!AZ29+DivAmount*EXP(IntRate*(AZ$2-ExDivPct)),ExDivTree!AZ29))</f>
        <v>86.904627047999995</v>
      </c>
      <c r="BA29" s="17">
        <f>IF(BA$3="","",IF(AND(DivAs=2,BA$2&lt;ExDivPct),ExDivTree!BA29+DivAmount*EXP(IntRate*(BA$2-ExDivPct)),ExDivTree!BA29))</f>
        <v>89.5354526104</v>
      </c>
      <c r="BB29" s="17">
        <f>IF(BB$3="","",IF(AND(DivAs=2,BB$2&lt;ExDivPct),ExDivTree!BB29+DivAmount*EXP(IntRate*(BB$2-ExDivPct)),ExDivTree!BB29))</f>
        <v>92.245919998199994</v>
      </c>
      <c r="BC29" s="17">
        <f>IF(BC$3="","",IF(AND(DivAs=2,BC$2&lt;ExDivPct),ExDivTree!BC29+DivAmount*EXP(IntRate*(BC$2-ExDivPct)),ExDivTree!BC29))</f>
        <v>95.038440173500007</v>
      </c>
      <c r="BD29" s="17">
        <f>IF(BD$3="","",IF(AND(DivAs=2,BD$2&lt;ExDivPct),ExDivTree!BD29+DivAmount*EXP(IntRate*(BD$2-ExDivPct)),ExDivTree!BD29))</f>
        <v>97.915497084199998</v>
      </c>
      <c r="BE29" s="17">
        <f>IF(BE$3="","",IF(AND(DivAs=2,BE$2&lt;ExDivPct),ExDivTree!BE29+DivAmount*EXP(IntRate*(BE$2-ExDivPct)),ExDivTree!BE29))</f>
        <v>100.8796498737</v>
      </c>
      <c r="BF29" s="17">
        <f>IF(BF$3="","",IF(AND(DivAs=2,BF$2&lt;ExDivPct),ExDivTree!BF29+DivAmount*EXP(IntRate*(BF$2-ExDivPct)),ExDivTree!BF29))</f>
        <v>103.9335351572</v>
      </c>
      <c r="BG29" s="17">
        <f>IF(BG$3="","",IF(AND(DivAs=2,BG$2&lt;ExDivPct),ExDivTree!BG29+DivAmount*EXP(IntRate*(BG$2-ExDivPct)),ExDivTree!BG29))</f>
        <v>107.0798693671</v>
      </c>
      <c r="BH29" s="17">
        <f>IF(BH$3="","",IF(AND(DivAs=2,BH$2&lt;ExDivPct),ExDivTree!BH29+DivAmount*EXP(IntRate*(BH$2-ExDivPct)),ExDivTree!BH29))</f>
        <v>110.3214511691</v>
      </c>
      <c r="BI29" s="17">
        <f>IF(BI$3="","",IF(AND(DivAs=2,BI$2&lt;ExDivPct),ExDivTree!BI29+DivAmount*EXP(IntRate*(BI$2-ExDivPct)),ExDivTree!BI29))</f>
        <v>113.6611639516</v>
      </c>
      <c r="BJ29" s="17">
        <f>IF(BJ$3="","",IF(AND(DivAs=2,BJ$2&lt;ExDivPct),ExDivTree!BJ29+DivAmount*EXP(IntRate*(BJ$2-ExDivPct)),ExDivTree!BJ29))</f>
        <v>117.1019783907</v>
      </c>
      <c r="BK29" s="17">
        <f>IF(BK$3="","",IF(AND(DivAs=2,BK$2&lt;ExDivPct),ExDivTree!BK29+DivAmount*EXP(IntRate*(BK$2-ExDivPct)),ExDivTree!BK29))</f>
        <v>120.64695509240001</v>
      </c>
      <c r="BL29" s="17">
        <f>IF(BL$3="","",IF(AND(DivAs=2,BL$2&lt;ExDivPct),ExDivTree!BL29+DivAmount*EXP(IntRate*(BL$2-ExDivPct)),ExDivTree!BL29))</f>
        <v>124.2992473151</v>
      </c>
      <c r="BM29" s="17">
        <f>IF(BM$3="","",IF(AND(DivAs=2,BM$2&lt;ExDivPct),ExDivTree!BM29+DivAmount*EXP(IntRate*(BM$2-ExDivPct)),ExDivTree!BM29))</f>
        <v>128.0621037743</v>
      </c>
      <c r="BN29" s="17">
        <f>IF(BN$3="","",IF(AND(DivAs=2,BN$2&lt;ExDivPct),ExDivTree!BN29+DivAmount*EXP(IntRate*(BN$2-ExDivPct)),ExDivTree!BN29))</f>
        <v>131.9388715325</v>
      </c>
      <c r="BO29" s="17">
        <f>IF(BO$3="","",IF(AND(DivAs=2,BO$2&lt;ExDivPct),ExDivTree!BO29+DivAmount*EXP(IntRate*(BO$2-ExDivPct)),ExDivTree!BO29))</f>
        <v>135.93299897649999</v>
      </c>
      <c r="BP29" s="17">
        <f>IF(BP$3="","",IF(AND(DivAs=2,BP$2&lt;ExDivPct),ExDivTree!BP29+DivAmount*EXP(IntRate*(BP$2-ExDivPct)),ExDivTree!BP29))</f>
        <v>140.04803888430001</v>
      </c>
      <c r="BQ29" s="17">
        <f>IF(BQ$3="","",IF(AND(DivAs=2,BQ$2&lt;ExDivPct),ExDivTree!BQ29+DivAmount*EXP(IntRate*(BQ$2-ExDivPct)),ExDivTree!BQ29))</f>
        <v>144.28765158589999</v>
      </c>
      <c r="BR29" s="17">
        <f>IF(BR$3="","",IF(AND(DivAs=2,BR$2&lt;ExDivPct),ExDivTree!BR29+DivAmount*EXP(IntRate*(BR$2-ExDivPct)),ExDivTree!BR29))</f>
        <v>148.65560821860001</v>
      </c>
      <c r="BS29" s="17">
        <f>IF(BS$3="","",IF(AND(DivAs=2,BS$2&lt;ExDivPct),ExDivTree!BS29+DivAmount*EXP(IntRate*(BS$2-ExDivPct)),ExDivTree!BS29))</f>
        <v>153.15579408190001</v>
      </c>
      <c r="BT29" s="17">
        <f>IF(BT$3="","",IF(AND(DivAs=2,BT$2&lt;ExDivPct),ExDivTree!BT29+DivAmount*EXP(IntRate*(BT$2-ExDivPct)),ExDivTree!BT29))</f>
        <v>157.79221209299999</v>
      </c>
      <c r="BU29" s="17">
        <f>IF(BU$3="","",IF(AND(DivAs=2,BU$2&lt;ExDivPct),ExDivTree!BU29+DivAmount*EXP(IntRate*(BU$2-ExDivPct)),ExDivTree!BU29))</f>
        <v>162.56898634789999</v>
      </c>
      <c r="BV29" s="17">
        <f>IF(BV$3="","",IF(AND(DivAs=2,BV$2&lt;ExDivPct),ExDivTree!BV29+DivAmount*EXP(IntRate*(BV$2-ExDivPct)),ExDivTree!BV29))</f>
        <v>167.4903657895</v>
      </c>
      <c r="BW29" s="17">
        <f>IF(BW$3="","",IF(AND(DivAs=2,BW$2&lt;ExDivPct),ExDivTree!BW29+DivAmount*EXP(IntRate*(BW$2-ExDivPct)),ExDivTree!BW29))</f>
        <v>172.56072798700001</v>
      </c>
      <c r="BX29" s="17">
        <f>IF(BX$3="","",IF(AND(DivAs=2,BX$2&lt;ExDivPct),ExDivTree!BX29+DivAmount*EXP(IntRate*(BX$2-ExDivPct)),ExDivTree!BX29))</f>
        <v>177.78458302979999</v>
      </c>
      <c r="BY29" s="17">
        <f>IF(BY$3="","",IF(AND(DivAs=2,BY$2&lt;ExDivPct),ExDivTree!BY29+DivAmount*EXP(IntRate*(BY$2-ExDivPct)),ExDivTree!BY29))</f>
        <v>183.16657753940001</v>
      </c>
      <c r="BZ29" s="17">
        <f>IF(BZ$3="","",IF(AND(DivAs=2,BZ$2&lt;ExDivPct),ExDivTree!BZ29+DivAmount*EXP(IntRate*(BZ$2-ExDivPct)),ExDivTree!BZ29))</f>
        <v>188.71149880230001</v>
      </c>
      <c r="CA29" s="17">
        <f>IF(CA$3="","",IF(AND(DivAs=2,CA$2&lt;ExDivPct),ExDivTree!CA29+DivAmount*EXP(IntRate*(CA$2-ExDivPct)),ExDivTree!CA29))</f>
        <v>194.4242790285</v>
      </c>
      <c r="CB29" s="17">
        <f>IF(CB$3="","",IF(AND(DivAs=2,CB$2&lt;ExDivPct),ExDivTree!CB29+DivAmount*EXP(IntRate*(CB$2-ExDivPct)),ExDivTree!CB29))</f>
        <v>200.30999973850001</v>
      </c>
      <c r="CC29" s="17">
        <f>IF(CC$3="","",IF(AND(DivAs=2,CC$2&lt;ExDivPct),ExDivTree!CC29+DivAmount*EXP(IntRate*(CC$2-ExDivPct)),ExDivTree!CC29))</f>
        <v>206.3738962836</v>
      </c>
      <c r="CD29" s="17">
        <f>IF(CD$3="","",IF(AND(DivAs=2,CD$2&lt;ExDivPct),ExDivTree!CD29+DivAmount*EXP(IntRate*(CD$2-ExDivPct)),ExDivTree!CD29))</f>
        <v>212.62136250250001</v>
      </c>
      <c r="CE29" s="17">
        <f>IF(CE$3="","",IF(AND(DivAs=2,CE$2&lt;ExDivPct),ExDivTree!CE29+DivAmount*EXP(IntRate*(CE$2-ExDivPct)),ExDivTree!CE29))</f>
        <v>219.05795551919999</v>
      </c>
      <c r="CF29" s="17">
        <f>IF(CF$3="","",IF(AND(DivAs=2,CF$2&lt;ExDivPct),ExDivTree!CF29+DivAmount*EXP(IntRate*(CF$2-ExDivPct)),ExDivTree!CF29))</f>
        <v>225.68940068609999</v>
      </c>
      <c r="CG29" s="17">
        <f>IF(CG$3="","",IF(AND(DivAs=2,CG$2&lt;ExDivPct),ExDivTree!CG29+DivAmount*EXP(IntRate*(CG$2-ExDivPct)),ExDivTree!CG29))</f>
        <v>232.5215966767</v>
      </c>
      <c r="CH29" s="17">
        <f>IF(CH$3="","",IF(AND(DivAs=2,CH$2&lt;ExDivPct),ExDivTree!CH29+DivAmount*EXP(IntRate*(CH$2-ExDivPct)),ExDivTree!CH29))</f>
        <v>239.5606207324</v>
      </c>
      <c r="CI29" s="17">
        <f>IF(CI$3="","",IF(AND(DivAs=2,CI$2&lt;ExDivPct),ExDivTree!CI29+DivAmount*EXP(IntRate*(CI$2-ExDivPct)),ExDivTree!CI29))</f>
        <v>246.81273406829999</v>
      </c>
      <c r="CJ29" s="17">
        <f>IF(CJ$3="","",IF(AND(DivAs=2,CJ$2&lt;ExDivPct),ExDivTree!CJ29+DivAmount*EXP(IntRate*(CJ$2-ExDivPct)),ExDivTree!CJ29))</f>
        <v>254.2843874424</v>
      </c>
      <c r="CK29" s="17">
        <f>IF(CK$3="","",IF(AND(DivAs=2,CK$2&lt;ExDivPct),ExDivTree!CK29+DivAmount*EXP(IntRate*(CK$2-ExDivPct)),ExDivTree!CK29))</f>
        <v>261.98222689379998</v>
      </c>
      <c r="CL29" s="17">
        <f>IF(CL$3="","",IF(AND(DivAs=2,CL$2&lt;ExDivPct),ExDivTree!CL29+DivAmount*EXP(IntRate*(CL$2-ExDivPct)),ExDivTree!CL29))</f>
        <v>269.91309965409999</v>
      </c>
      <c r="CM29" s="17">
        <f>IF(CM$3="","",IF(AND(DivAs=2,CM$2&lt;ExDivPct),ExDivTree!CM29+DivAmount*EXP(IntRate*(CM$2-ExDivPct)),ExDivTree!CM29))</f>
        <v>278.08406023830003</v>
      </c>
      <c r="CN29" s="17">
        <f>IF(CN$3="","",IF(AND(DivAs=2,CN$2&lt;ExDivPct),ExDivTree!CN29+DivAmount*EXP(IntRate*(CN$2-ExDivPct)),ExDivTree!CN29))</f>
        <v>286.50237671939999</v>
      </c>
      <c r="CO29" s="17">
        <f>IF(CO$3="","",IF(AND(DivAs=2,CO$2&lt;ExDivPct),ExDivTree!CO29+DivAmount*EXP(IntRate*(CO$2-ExDivPct)),ExDivTree!CO29))</f>
        <v>295.17553719379998</v>
      </c>
      <c r="CP29" s="17">
        <f>IF(CP$3="","",IF(AND(DivAs=2,CP$2&lt;ExDivPct),ExDivTree!CP29+DivAmount*EXP(IntRate*(CP$2-ExDivPct)),ExDivTree!CP29))</f>
        <v>304.11125644160001</v>
      </c>
      <c r="CQ29" s="17">
        <f>IF(CQ$3="","",IF(AND(DivAs=2,CQ$2&lt;ExDivPct),ExDivTree!CQ29+DivAmount*EXP(IntRate*(CQ$2-ExDivPct)),ExDivTree!CQ29))</f>
        <v>313.31748278920003</v>
      </c>
      <c r="CR29" s="17">
        <f>IF(CR$3="","",IF(AND(DivAs=2,CR$2&lt;ExDivPct),ExDivTree!CR29+DivAmount*EXP(IntRate*(CR$2-ExDivPct)),ExDivTree!CR29))</f>
        <v>322.802405179</v>
      </c>
      <c r="CS29" s="17">
        <f>IF(CS$3="","",IF(AND(DivAs=2,CS$2&lt;ExDivPct),ExDivTree!CS29+DivAmount*EXP(IntRate*(CS$2-ExDivPct)),ExDivTree!CS29))</f>
        <v>332.5744604537</v>
      </c>
      <c r="CT29" s="17">
        <f>IF(CT$3="","",IF(AND(DivAs=2,CT$2&lt;ExDivPct),ExDivTree!CT29+DivAmount*EXP(IntRate*(CT$2-ExDivPct)),ExDivTree!CT29))</f>
        <v>342.64234086099998</v>
      </c>
      <c r="CU29" s="17">
        <f>IF(CU$3="","",IF(AND(DivAs=2,CU$2&lt;ExDivPct),ExDivTree!CU29+DivAmount*EXP(IntRate*(CU$2-ExDivPct)),ExDivTree!CU29))</f>
        <v>353.01500178489999</v>
      </c>
      <c r="CV29" s="17">
        <f>IF(CV$3="","",IF(AND(DivAs=2,CV$2&lt;ExDivPct),ExDivTree!CV29+DivAmount*EXP(IntRate*(CV$2-ExDivPct)),ExDivTree!CV29))</f>
        <v>363.7016697121</v>
      </c>
      <c r="CW29" s="17">
        <f>IF(CW$3="","",IF(AND(DivAs=2,CW$2&lt;ExDivPct),ExDivTree!CW29+DivAmount*EXP(IntRate*(CW$2-ExDivPct)),ExDivTree!CW29))</f>
        <v>374.71185043849999</v>
      </c>
      <c r="CX29" s="17">
        <f>IF(CX$3="","",IF(AND(DivAs=2,CX$2&lt;ExDivPct),ExDivTree!CX29+DivAmount*EXP(IntRate*(CX$2-ExDivPct)),ExDivTree!CX29))</f>
        <v>386.0553375248</v>
      </c>
      <c r="CY29" s="17">
        <f>IF(CY$3="","",IF(AND(DivAs=2,CY$2&lt;ExDivPct),ExDivTree!CY29+DivAmount*EXP(IntRate*(CY$2-ExDivPct)),ExDivTree!CY29))</f>
        <v>397.74222100790001</v>
      </c>
      <c r="CZ29" s="17">
        <f>IF(CZ$3="","",IF(AND(DivAs=2,CZ$2&lt;ExDivPct),ExDivTree!CZ29+DivAmount*EXP(IntRate*(CZ$2-ExDivPct)),ExDivTree!CZ29))</f>
        <v>409.78289637590001</v>
      </c>
      <c r="DA29" s="17">
        <f>IF(DA$3="","",IF(AND(DivAs=2,DA$2&lt;ExDivPct),ExDivTree!DA29+DivAmount*EXP(IntRate*(DA$2-ExDivPct)),ExDivTree!DA29))</f>
        <v>422.188073815</v>
      </c>
      <c r="DB29" s="17">
        <f>IF(DB$3="","",IF(AND(DivAs=2,DB$2&lt;ExDivPct),ExDivTree!DB29+DivAmount*EXP(IntRate*(DB$2-ExDivPct)),ExDivTree!DB29))</f>
        <v>434.96878773610001</v>
      </c>
    </row>
    <row r="30" spans="1:106" x14ac:dyDescent="0.2">
      <c r="A30">
        <f>ExDivTree!A30</f>
        <v>9.4209408622130929E+23</v>
      </c>
      <c r="B30" s="71">
        <f>ExDivTree!B30</f>
        <v>3.71590596829952E-7</v>
      </c>
      <c r="C30" s="71">
        <f>ExDivTree!C30</f>
        <v>4.2297441067782927E-7</v>
      </c>
      <c r="D30" s="177">
        <f>ExDivTree!D30</f>
        <v>26</v>
      </c>
      <c r="AE30" s="17">
        <f>IF(AE$3="","",IF(AND(DivAs=2,AE$2&lt;ExDivPct),ExDivTree!AE30+DivAmount*EXP(IntRate*(AE$2-ExDivPct)),ExDivTree!AE30))</f>
        <v>43.766931315999997</v>
      </c>
      <c r="AF30" s="17">
        <f>IF(AF$3="","",IF(AND(DivAs=2,AF$2&lt;ExDivPct),ExDivTree!AF30+DivAmount*EXP(IntRate*(AF$2-ExDivPct)),ExDivTree!AF30))</f>
        <v>45.091868383300003</v>
      </c>
      <c r="AG30" s="17">
        <f>IF(AG$3="","",IF(AND(DivAs=2,AG$2&lt;ExDivPct),ExDivTree!AG30+DivAmount*EXP(IntRate*(AG$2-ExDivPct)),ExDivTree!AG30))</f>
        <v>46.456914687800001</v>
      </c>
      <c r="AH30" s="17">
        <f>IF(AH$3="","",IF(AND(DivAs=2,AH$2&lt;ExDivPct),ExDivTree!AH30+DivAmount*EXP(IntRate*(AH$2-ExDivPct)),ExDivTree!AH30))</f>
        <v>47.863284438900003</v>
      </c>
      <c r="AI30" s="17">
        <f>IF(AI$3="","",IF(AND(DivAs=2,AI$2&lt;ExDivPct),ExDivTree!AI30+DivAmount*EXP(IntRate*(AI$2-ExDivPct)),ExDivTree!AI30))</f>
        <v>49.312228603100003</v>
      </c>
      <c r="AJ30" s="17">
        <f>IF(AJ$3="","",IF(AND(DivAs=2,AJ$2&lt;ExDivPct),ExDivTree!AJ30+DivAmount*EXP(IntRate*(AJ$2-ExDivPct)),ExDivTree!AJ30))</f>
        <v>50.805036016899997</v>
      </c>
      <c r="AK30" s="17">
        <f>IF(AK$3="","",IF(AND(DivAs=2,AK$2&lt;ExDivPct),ExDivTree!AK30+DivAmount*EXP(IntRate*(AK$2-ExDivPct)),ExDivTree!AK30))</f>
        <v>52.343034533100003</v>
      </c>
      <c r="AL30" s="17">
        <f>IF(AL$3="","",IF(AND(DivAs=2,AL$2&lt;ExDivPct),ExDivTree!AL30+DivAmount*EXP(IntRate*(AL$2-ExDivPct)),ExDivTree!AL30))</f>
        <v>53.927592202100001</v>
      </c>
      <c r="AM30" s="17">
        <f>IF(AM$3="","",IF(AND(DivAs=2,AM$2&lt;ExDivPct),ExDivTree!AM30+DivAmount*EXP(IntRate*(AM$2-ExDivPct)),ExDivTree!AM30))</f>
        <v>55.560118488699999</v>
      </c>
      <c r="AN30" s="17">
        <f>IF(AN$3="","",IF(AND(DivAs=2,AN$2&lt;ExDivPct),ExDivTree!AN30+DivAmount*EXP(IntRate*(AN$2-ExDivPct)),ExDivTree!AN30))</f>
        <v>57.242065525699999</v>
      </c>
      <c r="AO30" s="17">
        <f>IF(AO$3="","",IF(AND(DivAs=2,AO$2&lt;ExDivPct),ExDivTree!AO30+DivAmount*EXP(IntRate*(AO$2-ExDivPct)),ExDivTree!AO30))</f>
        <v>58.974929405799998</v>
      </c>
      <c r="AP30" s="17">
        <f>IF(AP$3="","",IF(AND(DivAs=2,AP$2&lt;ExDivPct),ExDivTree!AP30+DivAmount*EXP(IntRate*(AP$2-ExDivPct)),ExDivTree!AP30))</f>
        <v>60.7602515122</v>
      </c>
      <c r="AQ30" s="17">
        <f>IF(AQ$3="","",IF(AND(DivAs=2,AQ$2&lt;ExDivPct),ExDivTree!AQ30+DivAmount*EXP(IntRate*(AQ$2-ExDivPct)),ExDivTree!AQ30))</f>
        <v>62.599619889800003</v>
      </c>
      <c r="AR30" s="17">
        <f>IF(AR$3="","",IF(AND(DivAs=2,AR$2&lt;ExDivPct),ExDivTree!AR30+DivAmount*EXP(IntRate*(AR$2-ExDivPct)),ExDivTree!AR30))</f>
        <v>64.494670657499995</v>
      </c>
      <c r="AS30" s="17">
        <f>IF(AS$3="","",IF(AND(DivAs=2,AS$2&lt;ExDivPct),ExDivTree!AS30+DivAmount*EXP(IntRate*(AS$2-ExDivPct)),ExDivTree!AS30))</f>
        <v>66.447089463799998</v>
      </c>
      <c r="AT30" s="17">
        <f>IF(AT$3="","",IF(AND(DivAs=2,AT$2&lt;ExDivPct),ExDivTree!AT30+DivAmount*EXP(IntRate*(AT$2-ExDivPct)),ExDivTree!AT30))</f>
        <v>68.458612986099993</v>
      </c>
      <c r="AU30" s="17">
        <f>IF(AU$3="","",IF(AND(DivAs=2,AU$2&lt;ExDivPct),ExDivTree!AU30+DivAmount*EXP(IntRate*(AU$2-ExDivPct)),ExDivTree!AU30))</f>
        <v>70.531030475600005</v>
      </c>
      <c r="AV30" s="17">
        <f>IF(AV$3="","",IF(AND(DivAs=2,AV$2&lt;ExDivPct),ExDivTree!AV30+DivAmount*EXP(IntRate*(AV$2-ExDivPct)),ExDivTree!AV30))</f>
        <v>72.666185348499994</v>
      </c>
      <c r="AW30" s="17">
        <f>IF(AW$3="","",IF(AND(DivAs=2,AW$2&lt;ExDivPct),ExDivTree!AW30+DivAmount*EXP(IntRate*(AW$2-ExDivPct)),ExDivTree!AW30))</f>
        <v>74.865976825999994</v>
      </c>
      <c r="AX30" s="17">
        <f>IF(AX$3="","",IF(AND(DivAs=2,AX$2&lt;ExDivPct),ExDivTree!AX30+DivAmount*EXP(IntRate*(AX$2-ExDivPct)),ExDivTree!AX30))</f>
        <v>77.132361623600005</v>
      </c>
      <c r="AY30" s="17">
        <f>IF(AY$3="","",IF(AND(DivAs=2,AY$2&lt;ExDivPct),ExDivTree!AY30+DivAmount*EXP(IntRate*(AY$2-ExDivPct)),ExDivTree!AY30))</f>
        <v>79.467355691700007</v>
      </c>
      <c r="AZ30" s="17">
        <f>IF(AZ$3="","",IF(AND(DivAs=2,AZ$2&lt;ExDivPct),ExDivTree!AZ30+DivAmount*EXP(IntRate*(AZ$2-ExDivPct)),ExDivTree!AZ30))</f>
        <v>81.873036008499994</v>
      </c>
      <c r="BA30" s="17">
        <f>IF(BA$3="","",IF(AND(DivAs=2,BA$2&lt;ExDivPct),ExDivTree!BA30+DivAmount*EXP(IntRate*(BA$2-ExDivPct)),ExDivTree!BA30))</f>
        <v>84.351542427699997</v>
      </c>
      <c r="BB30" s="17">
        <f>IF(BB$3="","",IF(AND(DivAs=2,BB$2&lt;ExDivPct),ExDivTree!BB30+DivAmount*EXP(IntRate*(BB$2-ExDivPct)),ExDivTree!BB30))</f>
        <v>86.905079581999999</v>
      </c>
      <c r="BC30" s="17">
        <f>IF(BC$3="","",IF(AND(DivAs=2,BC$2&lt;ExDivPct),ExDivTree!BC30+DivAmount*EXP(IntRate*(BC$2-ExDivPct)),ExDivTree!BC30))</f>
        <v>89.535918843700003</v>
      </c>
      <c r="BD30" s="17">
        <f>IF(BD$3="","",IF(AND(DivAs=2,BD$2&lt;ExDivPct),ExDivTree!BD30+DivAmount*EXP(IntRate*(BD$2-ExDivPct)),ExDivTree!BD30))</f>
        <v>92.246400345599994</v>
      </c>
      <c r="BE30" s="17">
        <f>IF(BE$3="","",IF(AND(DivAs=2,BE$2&lt;ExDivPct),ExDivTree!BE30+DivAmount*EXP(IntRate*(BE$2-ExDivPct)),ExDivTree!BE30))</f>
        <v>95.038935062199997</v>
      </c>
      <c r="BF30" s="17">
        <f>IF(BF$3="","",IF(AND(DivAs=2,BF$2&lt;ExDivPct),ExDivTree!BF30+DivAmount*EXP(IntRate*(BF$2-ExDivPct)),ExDivTree!BF30))</f>
        <v>97.916006954400004</v>
      </c>
      <c r="BG30" s="17">
        <f>IF(BG$3="","",IF(AND(DivAs=2,BG$2&lt;ExDivPct),ExDivTree!BG30+DivAmount*EXP(IntRate*(BG$2-ExDivPct)),ExDivTree!BG30))</f>
        <v>100.8801751789</v>
      </c>
      <c r="BH30" s="17">
        <f>IF(BH$3="","",IF(AND(DivAs=2,BH$2&lt;ExDivPct),ExDivTree!BH30+DivAmount*EXP(IntRate*(BH$2-ExDivPct)),ExDivTree!BH30))</f>
        <v>103.93407636480001</v>
      </c>
      <c r="BI30" s="17">
        <f>IF(BI$3="","",IF(AND(DivAs=2,BI$2&lt;ExDivPct),ExDivTree!BI30+DivAmount*EXP(IntRate*(BI$2-ExDivPct)),ExDivTree!BI30))</f>
        <v>107.0804269584</v>
      </c>
      <c r="BJ30" s="17">
        <f>IF(BJ$3="","",IF(AND(DivAs=2,BJ$2&lt;ExDivPct),ExDivTree!BJ30+DivAmount*EXP(IntRate*(BJ$2-ExDivPct)),ExDivTree!BJ30))</f>
        <v>110.32202564009999</v>
      </c>
      <c r="BK30" s="17">
        <f>IF(BK$3="","",IF(AND(DivAs=2,BK$2&lt;ExDivPct),ExDivTree!BK30+DivAmount*EXP(IntRate*(BK$2-ExDivPct)),ExDivTree!BK30))</f>
        <v>113.66175581340001</v>
      </c>
      <c r="BL30" s="17">
        <f>IF(BL$3="","",IF(AND(DivAs=2,BL$2&lt;ExDivPct),ExDivTree!BL30+DivAmount*EXP(IntRate*(BL$2-ExDivPct)),ExDivTree!BL30))</f>
        <v>117.1025881697</v>
      </c>
      <c r="BM30" s="17">
        <f>IF(BM$3="","",IF(AND(DivAs=2,BM$2&lt;ExDivPct),ExDivTree!BM30+DivAmount*EXP(IntRate*(BM$2-ExDivPct)),ExDivTree!BM30))</f>
        <v>120.64758333100001</v>
      </c>
      <c r="BN30" s="17">
        <f>IF(BN$3="","",IF(AND(DivAs=2,BN$2&lt;ExDivPct),ExDivTree!BN30+DivAmount*EXP(IntRate*(BN$2-ExDivPct)),ExDivTree!BN30))</f>
        <v>124.299894572</v>
      </c>
      <c r="BO30" s="17">
        <f>IF(BO$3="","",IF(AND(DivAs=2,BO$2&lt;ExDivPct),ExDivTree!BO30+DivAmount*EXP(IntRate*(BO$2-ExDivPct)),ExDivTree!BO30))</f>
        <v>128.0627706253</v>
      </c>
      <c r="BP30" s="17">
        <f>IF(BP$3="","",IF(AND(DivAs=2,BP$2&lt;ExDivPct),ExDivTree!BP30+DivAmount*EXP(IntRate*(BP$2-ExDivPct)),ExDivTree!BP30))</f>
        <v>131.93955857079999</v>
      </c>
      <c r="BQ30" s="17">
        <f>IF(BQ$3="","",IF(AND(DivAs=2,BQ$2&lt;ExDivPct),ExDivTree!BQ30+DivAmount*EXP(IntRate*(BQ$2-ExDivPct)),ExDivTree!BQ30))</f>
        <v>135.93370681319999</v>
      </c>
      <c r="BR30" s="17">
        <f>IF(BR$3="","",IF(AND(DivAs=2,BR$2&lt;ExDivPct),ExDivTree!BR30+DivAmount*EXP(IntRate*(BR$2-ExDivPct)),ExDivTree!BR30))</f>
        <v>140.0487681491</v>
      </c>
      <c r="BS30" s="17">
        <f>IF(BS$3="","",IF(AND(DivAs=2,BS$2&lt;ExDivPct),ExDivTree!BS30+DivAmount*EXP(IntRate*(BS$2-ExDivPct)),ExDivTree!BS30))</f>
        <v>144.2884029274</v>
      </c>
      <c r="BT30" s="17">
        <f>IF(BT$3="","",IF(AND(DivAs=2,BT$2&lt;ExDivPct),ExDivTree!BT30+DivAmount*EXP(IntRate*(BT$2-ExDivPct)),ExDivTree!BT30))</f>
        <v>148.65638230510001</v>
      </c>
      <c r="BU30" s="17">
        <f>IF(BU$3="","",IF(AND(DivAs=2,BU$2&lt;ExDivPct),ExDivTree!BU30+DivAmount*EXP(IntRate*(BU$2-ExDivPct)),ExDivTree!BU30))</f>
        <v>153.1565916019</v>
      </c>
      <c r="BV30" s="17">
        <f>IF(BV$3="","",IF(AND(DivAs=2,BV$2&lt;ExDivPct),ExDivTree!BV30+DivAmount*EXP(IntRate*(BV$2-ExDivPct)),ExDivTree!BV30))</f>
        <v>157.793033756</v>
      </c>
      <c r="BW30" s="17">
        <f>IF(BW$3="","",IF(AND(DivAs=2,BW$2&lt;ExDivPct),ExDivTree!BW30+DivAmount*EXP(IntRate*(BW$2-ExDivPct)),ExDivTree!BW30))</f>
        <v>162.56983288480001</v>
      </c>
      <c r="BX30" s="17">
        <f>IF(BX$3="","",IF(AND(DivAs=2,BX$2&lt;ExDivPct),ExDivTree!BX30+DivAmount*EXP(IntRate*(BX$2-ExDivPct)),ExDivTree!BX30))</f>
        <v>167.4912379532</v>
      </c>
      <c r="BY30" s="17">
        <f>IF(BY$3="","",IF(AND(DivAs=2,BY$2&lt;ExDivPct),ExDivTree!BY30+DivAmount*EXP(IntRate*(BY$2-ExDivPct)),ExDivTree!BY30))</f>
        <v>172.56162655329999</v>
      </c>
      <c r="BZ30" s="17">
        <f>IF(BZ$3="","",IF(AND(DivAs=2,BZ$2&lt;ExDivPct),ExDivTree!BZ30+DivAmount*EXP(IntRate*(BZ$2-ExDivPct)),ExDivTree!BZ30))</f>
        <v>177.785508798</v>
      </c>
      <c r="CA30" s="17">
        <f>IF(CA$3="","",IF(AND(DivAs=2,CA$2&lt;ExDivPct),ExDivTree!CA30+DivAmount*EXP(IntRate*(CA$2-ExDivPct)),ExDivTree!CA30))</f>
        <v>183.167531333</v>
      </c>
      <c r="CB30" s="17">
        <f>IF(CB$3="","",IF(AND(DivAs=2,CB$2&lt;ExDivPct),ExDivTree!CB30+DivAmount*EXP(IntRate*(CB$2-ExDivPct)),ExDivTree!CB30))</f>
        <v>188.71248146970001</v>
      </c>
      <c r="CC30" s="17">
        <f>IF(CC$3="","",IF(AND(DivAs=2,CC$2&lt;ExDivPct),ExDivTree!CC30+DivAmount*EXP(IntRate*(CC$2-ExDivPct)),ExDivTree!CC30))</f>
        <v>194.42529144369999</v>
      </c>
      <c r="CD30" s="17">
        <f>IF(CD$3="","",IF(AND(DivAs=2,CD$2&lt;ExDivPct),ExDivTree!CD30+DivAmount*EXP(IntRate*(CD$2-ExDivPct)),ExDivTree!CD30))</f>
        <v>200.31104280209999</v>
      </c>
      <c r="CE30" s="17">
        <f>IF(CE$3="","",IF(AND(DivAs=2,CE$2&lt;ExDivPct),ExDivTree!CE30+DivAmount*EXP(IntRate*(CE$2-ExDivPct)),ExDivTree!CE30))</f>
        <v>206.37497092340001</v>
      </c>
      <c r="CF30" s="17">
        <f>IF(CF$3="","",IF(AND(DivAs=2,CF$2&lt;ExDivPct),ExDivTree!CF30+DivAmount*EXP(IntRate*(CF$2-ExDivPct)),ExDivTree!CF30))</f>
        <v>212.62246967440001</v>
      </c>
      <c r="CG30" s="17">
        <f>IF(CG$3="","",IF(AND(DivAs=2,CG$2&lt;ExDivPct),ExDivTree!CG30+DivAmount*EXP(IntRate*(CG$2-ExDivPct)),ExDivTree!CG30))</f>
        <v>219.05909620809999</v>
      </c>
      <c r="CH30" s="17">
        <f>IF(CH$3="","",IF(AND(DivAs=2,CH$2&lt;ExDivPct),ExDivTree!CH30+DivAmount*EXP(IntRate*(CH$2-ExDivPct)),ExDivTree!CH30))</f>
        <v>225.6905759066</v>
      </c>
      <c r="CI30" s="17">
        <f>IF(CI$3="","",IF(AND(DivAs=2,CI$2&lt;ExDivPct),ExDivTree!CI30+DivAmount*EXP(IntRate*(CI$2-ExDivPct)),ExDivTree!CI30))</f>
        <v>232.52280747410001</v>
      </c>
      <c r="CJ30" s="17">
        <f>IF(CJ$3="","",IF(AND(DivAs=2,CJ$2&lt;ExDivPct),ExDivTree!CJ30+DivAmount*EXP(IntRate*(CJ$2-ExDivPct)),ExDivTree!CJ30))</f>
        <v>239.5618681837</v>
      </c>
      <c r="CK30" s="17">
        <f>IF(CK$3="","",IF(AND(DivAs=2,CK$2&lt;ExDivPct),ExDivTree!CK30+DivAmount*EXP(IntRate*(CK$2-ExDivPct)),ExDivTree!CK30))</f>
        <v>246.81401928310001</v>
      </c>
      <c r="CL30" s="17">
        <f>IF(CL$3="","",IF(AND(DivAs=2,CL$2&lt;ExDivPct),ExDivTree!CL30+DivAmount*EXP(IntRate*(CL$2-ExDivPct)),ExDivTree!CL30))</f>
        <v>254.28571156390001</v>
      </c>
      <c r="CM30" s="17">
        <f>IF(CM$3="","",IF(AND(DivAs=2,CM$2&lt;ExDivPct),ExDivTree!CM30+DivAmount*EXP(IntRate*(CM$2-ExDivPct)),ExDivTree!CM30))</f>
        <v>261.98359109979998</v>
      </c>
      <c r="CN30" s="17">
        <f>IF(CN$3="","",IF(AND(DivAs=2,CN$2&lt;ExDivPct),ExDivTree!CN30+DivAmount*EXP(IntRate*(CN$2-ExDivPct)),ExDivTree!CN30))</f>
        <v>269.91450515809998</v>
      </c>
      <c r="CO30" s="17">
        <f>IF(CO$3="","",IF(AND(DivAs=2,CO$2&lt;ExDivPct),ExDivTree!CO30+DivAmount*EXP(IntRate*(CO$2-ExDivPct)),ExDivTree!CO30))</f>
        <v>278.0855082905</v>
      </c>
      <c r="CP30" s="17">
        <f>IF(CP$3="","",IF(AND(DivAs=2,CP$2&lt;ExDivPct),ExDivTree!CP30+DivAmount*EXP(IntRate*(CP$2-ExDivPct)),ExDivTree!CP30))</f>
        <v>286.50386860790002</v>
      </c>
      <c r="CQ30" s="17">
        <f>IF(CQ$3="","",IF(AND(DivAs=2,CQ$2&lt;ExDivPct),ExDivTree!CQ30+DivAmount*EXP(IntRate*(CQ$2-ExDivPct)),ExDivTree!CQ30))</f>
        <v>295.17707424560001</v>
      </c>
      <c r="CR30" s="17">
        <f>IF(CR$3="","",IF(AND(DivAs=2,CR$2&lt;ExDivPct),ExDivTree!CR30+DivAmount*EXP(IntRate*(CR$2-ExDivPct)),ExDivTree!CR30))</f>
        <v>304.11284002389999</v>
      </c>
      <c r="CS30" s="17">
        <f>IF(CS$3="","",IF(AND(DivAs=2,CS$2&lt;ExDivPct),ExDivTree!CS30+DivAmount*EXP(IntRate*(CS$2-ExDivPct)),ExDivTree!CS30))</f>
        <v>313.31911431060001</v>
      </c>
      <c r="CT30" s="17">
        <f>IF(CT$3="","",IF(AND(DivAs=2,CT$2&lt;ExDivPct),ExDivTree!CT30+DivAmount*EXP(IntRate*(CT$2-ExDivPct)),ExDivTree!CT30))</f>
        <v>322.80408609070003</v>
      </c>
      <c r="CU30" s="17">
        <f>IF(CU$3="","",IF(AND(DivAs=2,CU$2&lt;ExDivPct),ExDivTree!CU30+DivAmount*EXP(IntRate*(CU$2-ExDivPct)),ExDivTree!CU30))</f>
        <v>332.57619225090002</v>
      </c>
      <c r="CV30" s="17">
        <f>IF(CV$3="","",IF(AND(DivAs=2,CV$2&lt;ExDivPct),ExDivTree!CV30+DivAmount*EXP(IntRate*(CV$2-ExDivPct)),ExDivTree!CV30))</f>
        <v>342.64412508409998</v>
      </c>
      <c r="CW30" s="17">
        <f>IF(CW$3="","",IF(AND(DivAs=2,CW$2&lt;ExDivPct),ExDivTree!CW30+DivAmount*EXP(IntRate*(CW$2-ExDivPct)),ExDivTree!CW30))</f>
        <v>353.01684002100001</v>
      </c>
      <c r="CX30" s="17">
        <f>IF(CX$3="","",IF(AND(DivAs=2,CX$2&lt;ExDivPct),ExDivTree!CX30+DivAmount*EXP(IntRate*(CX$2-ExDivPct)),ExDivTree!CX30))</f>
        <v>363.7035635963</v>
      </c>
      <c r="CY30" s="17">
        <f>IF(CY$3="","",IF(AND(DivAs=2,CY$2&lt;ExDivPct),ExDivTree!CY30+DivAmount*EXP(IntRate*(CY$2-ExDivPct)),ExDivTree!CY30))</f>
        <v>374.7138016554</v>
      </c>
      <c r="CZ30" s="17">
        <f>IF(CZ$3="","",IF(AND(DivAs=2,CZ$2&lt;ExDivPct),ExDivTree!CZ30+DivAmount*EXP(IntRate*(CZ$2-ExDivPct)),ExDivTree!CZ30))</f>
        <v>386.0573478101</v>
      </c>
      <c r="DA30" s="17">
        <f>IF(DA$3="","",IF(AND(DivAs=2,DA$2&lt;ExDivPct),ExDivTree!DA30+DivAmount*EXP(IntRate*(DA$2-ExDivPct)),ExDivTree!DA30))</f>
        <v>397.74429214970002</v>
      </c>
      <c r="DB30" s="17">
        <f>IF(DB$3="","",IF(AND(DivAs=2,DB$2&lt;ExDivPct),ExDivTree!DB30+DivAmount*EXP(IntRate*(DB$2-ExDivPct)),ExDivTree!DB30))</f>
        <v>409.78503021649999</v>
      </c>
    </row>
    <row r="31" spans="1:106" x14ac:dyDescent="0.2">
      <c r="A31">
        <f>ExDivTree!A31</f>
        <v>2.6169280172814157E+24</v>
      </c>
      <c r="B31" s="71">
        <f>ExDivTree!B31</f>
        <v>1.0321961023054226E-6</v>
      </c>
      <c r="C31" s="71">
        <f>ExDivTree!C31</f>
        <v>1.1687171353006962E-6</v>
      </c>
      <c r="D31" s="177">
        <f>ExDivTree!D31</f>
        <v>27</v>
      </c>
      <c r="AF31" s="17">
        <f>IF(AF$3="","",IF(AND(DivAs=2,AF$2&lt;ExDivPct),ExDivTree!AF31+DivAmount*EXP(IntRate*(AF$2-ExDivPct)),ExDivTree!AF31))</f>
        <v>42.481146162599998</v>
      </c>
      <c r="AG31" s="17">
        <f>IF(AG$3="","",IF(AND(DivAs=2,AG$2&lt;ExDivPct),ExDivTree!AG31+DivAmount*EXP(IntRate*(AG$2-ExDivPct)),ExDivTree!AG31))</f>
        <v>43.767159221299998</v>
      </c>
      <c r="AH31" s="17">
        <f>IF(AH$3="","",IF(AND(DivAs=2,AH$2&lt;ExDivPct),ExDivTree!AH31+DivAmount*EXP(IntRate*(AH$2-ExDivPct)),ExDivTree!AH31))</f>
        <v>45.092103187799999</v>
      </c>
      <c r="AI31" s="17">
        <f>IF(AI$3="","",IF(AND(DivAs=2,AI$2&lt;ExDivPct),ExDivTree!AI31+DivAmount*EXP(IntRate*(AI$2-ExDivPct)),ExDivTree!AI31))</f>
        <v>46.457156600499999</v>
      </c>
      <c r="AJ31" s="17">
        <f>IF(AJ$3="","",IF(AND(DivAs=2,AJ$2&lt;ExDivPct),ExDivTree!AJ31+DivAmount*EXP(IntRate*(AJ$2-ExDivPct)),ExDivTree!AJ31))</f>
        <v>47.863533674899998</v>
      </c>
      <c r="AK31" s="17">
        <f>IF(AK$3="","",IF(AND(DivAs=2,AK$2&lt;ExDivPct),ExDivTree!AK31+DivAmount*EXP(IntRate*(AK$2-ExDivPct)),ExDivTree!AK31))</f>
        <v>49.3124853841</v>
      </c>
      <c r="AL31" s="17">
        <f>IF(AL$3="","",IF(AND(DivAs=2,AL$2&lt;ExDivPct),ExDivTree!AL31+DivAmount*EXP(IntRate*(AL$2-ExDivPct)),ExDivTree!AL31))</f>
        <v>50.805300571300002</v>
      </c>
      <c r="AM31" s="17">
        <f>IF(AM$3="","",IF(AND(DivAs=2,AM$2&lt;ExDivPct),ExDivTree!AM31+DivAmount*EXP(IntRate*(AM$2-ExDivPct)),ExDivTree!AM31))</f>
        <v>52.3433070962</v>
      </c>
      <c r="AN31" s="17">
        <f>IF(AN$3="","",IF(AND(DivAs=2,AN$2&lt;ExDivPct),ExDivTree!AN31+DivAmount*EXP(IntRate*(AN$2-ExDivPct)),ExDivTree!AN31))</f>
        <v>53.9278730164</v>
      </c>
      <c r="AO31" s="17">
        <f>IF(AO$3="","",IF(AND(DivAs=2,AO$2&lt;ExDivPct),ExDivTree!AO31+DivAmount*EXP(IntRate*(AO$2-ExDivPct)),ExDivTree!AO31))</f>
        <v>55.560407804</v>
      </c>
      <c r="AP31" s="17">
        <f>IF(AP$3="","",IF(AND(DivAs=2,AP$2&lt;ExDivPct),ExDivTree!AP31+DivAmount*EXP(IntRate*(AP$2-ExDivPct)),ExDivTree!AP31))</f>
        <v>57.242363599400001</v>
      </c>
      <c r="AQ31" s="17">
        <f>IF(AQ$3="","",IF(AND(DivAs=2,AQ$2&lt;ExDivPct),ExDivTree!AQ31+DivAmount*EXP(IntRate*(AQ$2-ExDivPct)),ExDivTree!AQ31))</f>
        <v>58.975236502999998</v>
      </c>
      <c r="AR31" s="17">
        <f>IF(AR$3="","",IF(AND(DivAs=2,AR$2&lt;ExDivPct),ExDivTree!AR31+DivAmount*EXP(IntRate*(AR$2-ExDivPct)),ExDivTree!AR31))</f>
        <v>60.7605679061</v>
      </c>
      <c r="AS31" s="17">
        <f>IF(AS$3="","",IF(AND(DivAs=2,AS$2&lt;ExDivPct),ExDivTree!AS31+DivAmount*EXP(IntRate*(AS$2-ExDivPct)),ExDivTree!AS31))</f>
        <v>62.5999458617</v>
      </c>
      <c r="AT31" s="17">
        <f>IF(AT$3="","",IF(AND(DivAs=2,AT$2&lt;ExDivPct),ExDivTree!AT31+DivAmount*EXP(IntRate*(AT$2-ExDivPct)),ExDivTree!AT31))</f>
        <v>64.495006497399999</v>
      </c>
      <c r="AU31" s="17">
        <f>IF(AU$3="","",IF(AND(DivAs=2,AU$2&lt;ExDivPct),ExDivTree!AU31+DivAmount*EXP(IntRate*(AU$2-ExDivPct)),ExDivTree!AU31))</f>
        <v>66.447435470399995</v>
      </c>
      <c r="AV31" s="17">
        <f>IF(AV$3="","",IF(AND(DivAs=2,AV$2&lt;ExDivPct),ExDivTree!AV31+DivAmount*EXP(IntRate*(AV$2-ExDivPct)),ExDivTree!AV31))</f>
        <v>68.458969467200006</v>
      </c>
      <c r="AW31" s="17">
        <f>IF(AW$3="","",IF(AND(DivAs=2,AW$2&lt;ExDivPct),ExDivTree!AW31+DivAmount*EXP(IntRate*(AW$2-ExDivPct)),ExDivTree!AW31))</f>
        <v>70.531397748299995</v>
      </c>
      <c r="AX31" s="17">
        <f>IF(AX$3="","",IF(AND(DivAs=2,AX$2&lt;ExDivPct),ExDivTree!AX31+DivAmount*EXP(IntRate*(AX$2-ExDivPct)),ExDivTree!AX31))</f>
        <v>72.666563739500006</v>
      </c>
      <c r="AY31" s="17">
        <f>IF(AY$3="","",IF(AND(DivAs=2,AY$2&lt;ExDivPct),ExDivTree!AY31+DivAmount*EXP(IntRate*(AY$2-ExDivPct)),ExDivTree!AY31))</f>
        <v>74.866366671899996</v>
      </c>
      <c r="AZ31" s="17">
        <f>IF(AZ$3="","",IF(AND(DivAs=2,AZ$2&lt;ExDivPct),ExDivTree!AZ31+DivAmount*EXP(IntRate*(AZ$2-ExDivPct)),ExDivTree!AZ31))</f>
        <v>77.132763271200005</v>
      </c>
      <c r="BA31" s="17">
        <f>IF(BA$3="","",IF(AND(DivAs=2,BA$2&lt;ExDivPct),ExDivTree!BA31+DivAmount*EXP(IntRate*(BA$2-ExDivPct)),ExDivTree!BA31))</f>
        <v>79.467769498199999</v>
      </c>
      <c r="BB31" s="17">
        <f>IF(BB$3="","",IF(AND(DivAs=2,BB$2&lt;ExDivPct),ExDivTree!BB31+DivAmount*EXP(IntRate*(BB$2-ExDivPct)),ExDivTree!BB31))</f>
        <v>81.873462341999996</v>
      </c>
      <c r="BC31" s="17">
        <f>IF(BC$3="","",IF(AND(DivAs=2,BC$2&lt;ExDivPct),ExDivTree!BC31+DivAmount*EXP(IntRate*(BC$2-ExDivPct)),ExDivTree!BC31))</f>
        <v>84.351981667499999</v>
      </c>
      <c r="BD31" s="17">
        <f>IF(BD$3="","",IF(AND(DivAs=2,BD$2&lt;ExDivPct),ExDivTree!BD31+DivAmount*EXP(IntRate*(BD$2-ExDivPct)),ExDivTree!BD31))</f>
        <v>86.905532118699995</v>
      </c>
      <c r="BE31" s="17">
        <f>IF(BE$3="","",IF(AND(DivAs=2,BE$2&lt;ExDivPct),ExDivTree!BE31+DivAmount*EXP(IntRate*(BE$2-ExDivPct)),ExDivTree!BE31))</f>
        <v>89.536385079900001</v>
      </c>
      <c r="BF31" s="17">
        <f>IF(BF$3="","",IF(AND(DivAs=2,BF$2&lt;ExDivPct),ExDivTree!BF31+DivAmount*EXP(IntRate*(BF$2-ExDivPct)),ExDivTree!BF31))</f>
        <v>92.246880696000005</v>
      </c>
      <c r="BG31" s="17">
        <f>IF(BG$3="","",IF(AND(DivAs=2,BG$2&lt;ExDivPct),ExDivTree!BG31+DivAmount*EXP(IntRate*(BG$2-ExDivPct)),ExDivTree!BG31))</f>
        <v>95.039429954100001</v>
      </c>
      <c r="BH31" s="17">
        <f>IF(BH$3="","",IF(AND(DivAs=2,BH$2&lt;ExDivPct),ExDivTree!BH31+DivAmount*EXP(IntRate*(BH$2-ExDivPct)),ExDivTree!BH31))</f>
        <v>97.916516827999999</v>
      </c>
      <c r="BI31" s="17">
        <f>IF(BI$3="","",IF(AND(DivAs=2,BI$2&lt;ExDivPct),ExDivTree!BI31+DivAmount*EXP(IntRate*(BI$2-ExDivPct)),ExDivTree!BI31))</f>
        <v>100.8807004877</v>
      </c>
      <c r="BJ31" s="17">
        <f>IF(BJ$3="","",IF(AND(DivAs=2,BJ$2&lt;ExDivPct),ExDivTree!BJ31+DivAmount*EXP(IntRate*(BJ$2-ExDivPct)),ExDivTree!BJ31))</f>
        <v>103.93461757599999</v>
      </c>
      <c r="BK31" s="17">
        <f>IF(BK$3="","",IF(AND(DivAs=2,BK$2&lt;ExDivPct),ExDivTree!BK31+DivAmount*EXP(IntRate*(BK$2-ExDivPct)),ExDivTree!BK31))</f>
        <v>107.0809845535</v>
      </c>
      <c r="BL31" s="17">
        <f>IF(BL$3="","",IF(AND(DivAs=2,BL$2&lt;ExDivPct),ExDivTree!BL31+DivAmount*EXP(IntRate*(BL$2-ExDivPct)),ExDivTree!BL31))</f>
        <v>110.322600115</v>
      </c>
      <c r="BM31" s="17">
        <f>IF(BM$3="","",IF(AND(DivAs=2,BM$2&lt;ExDivPct),ExDivTree!BM31+DivAmount*EXP(IntRate*(BM$2-ExDivPct)),ExDivTree!BM31))</f>
        <v>113.66234767909999</v>
      </c>
      <c r="BN31" s="17">
        <f>IF(BN$3="","",IF(AND(DivAs=2,BN$2&lt;ExDivPct),ExDivTree!BN31+DivAmount*EXP(IntRate*(BN$2-ExDivPct)),ExDivTree!BN31))</f>
        <v>117.1031979527</v>
      </c>
      <c r="BO31" s="17">
        <f>IF(BO$3="","",IF(AND(DivAs=2,BO$2&lt;ExDivPct),ExDivTree!BO31+DivAmount*EXP(IntRate*(BO$2-ExDivPct)),ExDivTree!BO31))</f>
        <v>120.6482115737</v>
      </c>
      <c r="BP31" s="17">
        <f>IF(BP$3="","",IF(AND(DivAs=2,BP$2&lt;ExDivPct),ExDivTree!BP31+DivAmount*EXP(IntRate*(BP$2-ExDivPct)),ExDivTree!BP31))</f>
        <v>124.3005418333</v>
      </c>
      <c r="BQ31" s="17">
        <f>IF(BQ$3="","",IF(AND(DivAs=2,BQ$2&lt;ExDivPct),ExDivTree!BQ31+DivAmount*EXP(IntRate*(BQ$2-ExDivPct)),ExDivTree!BQ31))</f>
        <v>128.06343748090001</v>
      </c>
      <c r="BR31" s="17">
        <f>IF(BR$3="","",IF(AND(DivAs=2,BR$2&lt;ExDivPct),ExDivTree!BR31+DivAmount*EXP(IntRate*(BR$2-ExDivPct)),ExDivTree!BR31))</f>
        <v>131.9402456139</v>
      </c>
      <c r="BS31" s="17">
        <f>IF(BS$3="","",IF(AND(DivAs=2,BS$2&lt;ExDivPct),ExDivTree!BS31+DivAmount*EXP(IntRate*(BS$2-ExDivPct)),ExDivTree!BS31))</f>
        <v>135.93441465480001</v>
      </c>
      <c r="BT31" s="17">
        <f>IF(BT$3="","",IF(AND(DivAs=2,BT$2&lt;ExDivPct),ExDivTree!BT31+DivAmount*EXP(IntRate*(BT$2-ExDivPct)),ExDivTree!BT31))</f>
        <v>140.0494974188</v>
      </c>
      <c r="BU31" s="17">
        <f>IF(BU$3="","",IF(AND(DivAs=2,BU$2&lt;ExDivPct),ExDivTree!BU31+DivAmount*EXP(IntRate*(BU$2-ExDivPct)),ExDivTree!BU31))</f>
        <v>144.28915427390001</v>
      </c>
      <c r="BV31" s="17">
        <f>IF(BV$3="","",IF(AND(DivAs=2,BV$2&lt;ExDivPct),ExDivTree!BV31+DivAmount*EXP(IntRate*(BV$2-ExDivPct)),ExDivTree!BV31))</f>
        <v>148.65715639679999</v>
      </c>
      <c r="BW31" s="17">
        <f>IF(BW$3="","",IF(AND(DivAs=2,BW$2&lt;ExDivPct),ExDivTree!BW31+DivAmount*EXP(IntRate*(BW$2-ExDivPct)),ExDivTree!BW31))</f>
        <v>153.15738912739999</v>
      </c>
      <c r="BX31" s="17">
        <f>IF(BX$3="","",IF(AND(DivAs=2,BX$2&lt;ExDivPct),ExDivTree!BX31+DivAmount*EXP(IntRate*(BX$2-ExDivPct)),ExDivTree!BX31))</f>
        <v>157.79385542470001</v>
      </c>
      <c r="BY31" s="17">
        <f>IF(BY$3="","",IF(AND(DivAs=2,BY$2&lt;ExDivPct),ExDivTree!BY31+DivAmount*EXP(IntRate*(BY$2-ExDivPct)),ExDivTree!BY31))</f>
        <v>162.57067942750001</v>
      </c>
      <c r="BZ31" s="17">
        <f>IF(BZ$3="","",IF(AND(DivAs=2,BZ$2&lt;ExDivPct),ExDivTree!BZ31+DivAmount*EXP(IntRate*(BZ$2-ExDivPct)),ExDivTree!BZ31))</f>
        <v>167.492110123</v>
      </c>
      <c r="CA31" s="17">
        <f>IF(CA$3="","",IF(AND(DivAs=2,CA$2&lt;ExDivPct),ExDivTree!CA31+DivAmount*EXP(IntRate*(CA$2-ExDivPct)),ExDivTree!CA31))</f>
        <v>172.56252512590001</v>
      </c>
      <c r="CB31" s="17">
        <f>IF(CB$3="","",IF(AND(DivAs=2,CB$2&lt;ExDivPct),ExDivTree!CB31+DivAmount*EXP(IntRate*(CB$2-ExDivPct)),ExDivTree!CB31))</f>
        <v>177.78643457269999</v>
      </c>
      <c r="CC31" s="17">
        <f>IF(CC$3="","",IF(AND(DivAs=2,CC$2&lt;ExDivPct),ExDivTree!CC31+DivAmount*EXP(IntRate*(CC$2-ExDivPct)),ExDivTree!CC31))</f>
        <v>183.16848513330001</v>
      </c>
      <c r="CD31" s="17">
        <f>IF(CD$3="","",IF(AND(DivAs=2,CD$2&lt;ExDivPct),ExDivTree!CD31+DivAmount*EXP(IntRate*(CD$2-ExDivPct)),ExDivTree!CD31))</f>
        <v>188.713464144</v>
      </c>
      <c r="CE31" s="17">
        <f>IF(CE$3="","",IF(AND(DivAs=2,CE$2&lt;ExDivPct),ExDivTree!CE31+DivAmount*EXP(IntRate*(CE$2-ExDivPct)),ExDivTree!CE31))</f>
        <v>194.4263038661</v>
      </c>
      <c r="CF31" s="17">
        <f>IF(CF$3="","",IF(AND(DivAs=2,CF$2&lt;ExDivPct),ExDivTree!CF31+DivAmount*EXP(IntRate*(CF$2-ExDivPct)),ExDivTree!CF31))</f>
        <v>200.3120858732</v>
      </c>
      <c r="CG31" s="17">
        <f>IF(CG$3="","",IF(AND(DivAs=2,CG$2&lt;ExDivPct),ExDivTree!CG31+DivAmount*EXP(IntRate*(CG$2-ExDivPct)),ExDivTree!CG31))</f>
        <v>206.37604557099999</v>
      </c>
      <c r="CH31" s="17">
        <f>IF(CH$3="","",IF(AND(DivAs=2,CH$2&lt;ExDivPct),ExDivTree!CH31+DivAmount*EXP(IntRate*(CH$2-ExDivPct)),ExDivTree!CH31))</f>
        <v>212.6235768544</v>
      </c>
      <c r="CI31" s="17">
        <f>IF(CI$3="","",IF(AND(DivAs=2,CI$2&lt;ExDivPct),ExDivTree!CI31+DivAmount*EXP(IntRate*(CI$2-ExDivPct)),ExDivTree!CI31))</f>
        <v>219.06023690519999</v>
      </c>
      <c r="CJ31" s="17">
        <f>IF(CJ$3="","",IF(AND(DivAs=2,CJ$2&lt;ExDivPct),ExDivTree!CJ31+DivAmount*EXP(IntRate*(CJ$2-ExDivPct)),ExDivTree!CJ31))</f>
        <v>225.6917511355</v>
      </c>
      <c r="CK31" s="17">
        <f>IF(CK$3="","",IF(AND(DivAs=2,CK$2&lt;ExDivPct),ExDivTree!CK31+DivAmount*EXP(IntRate*(CK$2-ExDivPct)),ExDivTree!CK31))</f>
        <v>232.52401828020001</v>
      </c>
      <c r="CL31" s="17">
        <f>IF(CL$3="","",IF(AND(DivAs=2,CL$2&lt;ExDivPct),ExDivTree!CL31+DivAmount*EXP(IntRate*(CL$2-ExDivPct)),ExDivTree!CL31))</f>
        <v>239.56311564399999</v>
      </c>
      <c r="CM31" s="17">
        <f>IF(CM$3="","",IF(AND(DivAs=2,CM$2&lt;ExDivPct),ExDivTree!CM31+DivAmount*EXP(IntRate*(CM$2-ExDivPct)),ExDivTree!CM31))</f>
        <v>246.81530450720001</v>
      </c>
      <c r="CN31" s="17">
        <f>IF(CN$3="","",IF(AND(DivAs=2,CN$2&lt;ExDivPct),ExDivTree!CN31+DivAmount*EXP(IntRate*(CN$2-ExDivPct)),ExDivTree!CN31))</f>
        <v>254.2870356951</v>
      </c>
      <c r="CO31" s="17">
        <f>IF(CO$3="","",IF(AND(DivAs=2,CO$2&lt;ExDivPct),ExDivTree!CO31+DivAmount*EXP(IntRate*(CO$2-ExDivPct)),ExDivTree!CO31))</f>
        <v>261.98495531589998</v>
      </c>
      <c r="CP31" s="17">
        <f>IF(CP$3="","",IF(AND(DivAs=2,CP$2&lt;ExDivPct),ExDivTree!CP31+DivAmount*EXP(IntRate*(CP$2-ExDivPct)),ExDivTree!CP31))</f>
        <v>269.91591067259998</v>
      </c>
      <c r="CQ31" s="17">
        <f>IF(CQ$3="","",IF(AND(DivAs=2,CQ$2&lt;ExDivPct),ExDivTree!CQ31+DivAmount*EXP(IntRate*(CQ$2-ExDivPct)),ExDivTree!CQ31))</f>
        <v>278.0869563535</v>
      </c>
      <c r="CR31" s="17">
        <f>IF(CR$3="","",IF(AND(DivAs=2,CR$2&lt;ExDivPct),ExDivTree!CR31+DivAmount*EXP(IntRate*(CR$2-ExDivPct)),ExDivTree!CR31))</f>
        <v>286.50536050749997</v>
      </c>
      <c r="CS31" s="17">
        <f>IF(CS$3="","",IF(AND(DivAs=2,CS$2&lt;ExDivPct),ExDivTree!CS31+DivAmount*EXP(IntRate*(CS$2-ExDivPct)),ExDivTree!CS31))</f>
        <v>295.17861130879999</v>
      </c>
      <c r="CT31" s="17">
        <f>IF(CT$3="","",IF(AND(DivAs=2,CT$2&lt;ExDivPct),ExDivTree!CT31+DivAmount*EXP(IntRate*(CT$2-ExDivPct)),ExDivTree!CT31))</f>
        <v>304.11442361799999</v>
      </c>
      <c r="CU31" s="17">
        <f>IF(CU$3="","",IF(AND(DivAs=2,CU$2&lt;ExDivPct),ExDivTree!CU31+DivAmount*EXP(IntRate*(CU$2-ExDivPct)),ExDivTree!CU31))</f>
        <v>313.32074584409997</v>
      </c>
      <c r="CV31" s="17">
        <f>IF(CV$3="","",IF(AND(DivAs=2,CV$2&lt;ExDivPct),ExDivTree!CV31+DivAmount*EXP(IntRate*(CV$2-ExDivPct)),ExDivTree!CV31))</f>
        <v>322.80576701490003</v>
      </c>
      <c r="CW31" s="17">
        <f>IF(CW$3="","",IF(AND(DivAs=2,CW$2&lt;ExDivPct),ExDivTree!CW31+DivAmount*EXP(IntRate*(CW$2-ExDivPct)),ExDivTree!CW31))</f>
        <v>332.57792406099998</v>
      </c>
      <c r="CX31" s="17">
        <f>IF(CX$3="","",IF(AND(DivAs=2,CX$2&lt;ExDivPct),ExDivTree!CX31+DivAmount*EXP(IntRate*(CX$2-ExDivPct)),ExDivTree!CX31))</f>
        <v>342.64590932049998</v>
      </c>
      <c r="CY31" s="17">
        <f>IF(CY$3="","",IF(AND(DivAs=2,CY$2&lt;ExDivPct),ExDivTree!CY31+DivAmount*EXP(IntRate*(CY$2-ExDivPct)),ExDivTree!CY31))</f>
        <v>353.01867827090001</v>
      </c>
      <c r="CZ31" s="17">
        <f>IF(CZ$3="","",IF(AND(DivAs=2,CZ$2&lt;ExDivPct),ExDivTree!CZ31+DivAmount*EXP(IntRate*(CZ$2-ExDivPct)),ExDivTree!CZ31))</f>
        <v>363.7054574947</v>
      </c>
      <c r="DA31" s="17">
        <f>IF(DA$3="","",IF(AND(DivAs=2,DA$2&lt;ExDivPct),ExDivTree!DA31+DivAmount*EXP(IntRate*(DA$2-ExDivPct)),ExDivTree!DA31))</f>
        <v>374.71575288700001</v>
      </c>
      <c r="DB31" s="17">
        <f>IF(DB$3="","",IF(AND(DivAs=2,DB$2&lt;ExDivPct),ExDivTree!DB31+DivAmount*EXP(IntRate*(DB$2-ExDivPct)),ExDivTree!DB31))</f>
        <v>386.05935811040001</v>
      </c>
    </row>
    <row r="32" spans="1:106" x14ac:dyDescent="0.2">
      <c r="A32">
        <f>ExDivTree!A32</f>
        <v>6.9161669028151688E+24</v>
      </c>
      <c r="B32" s="71">
        <f>ExDivTree!B32</f>
        <v>2.7279468418071878E-6</v>
      </c>
      <c r="C32" s="71">
        <f>ExDivTree!C32</f>
        <v>3.0724223682747663E-6</v>
      </c>
      <c r="D32" s="177">
        <f>ExDivTree!D32</f>
        <v>28</v>
      </c>
      <c r="AG32" s="17">
        <f>IF(AG$3="","",IF(AND(DivAs=2,AG$2&lt;ExDivPct),ExDivTree!AG32+DivAmount*EXP(IntRate*(AG$2-ExDivPct)),ExDivTree!AG32))</f>
        <v>41.233134812599999</v>
      </c>
      <c r="AH32" s="17">
        <f>IF(AH$3="","",IF(AND(DivAs=2,AH$2&lt;ExDivPct),ExDivTree!AH32+DivAmount*EXP(IntRate*(AH$2-ExDivPct)),ExDivTree!AH32))</f>
        <v>42.481367372400001</v>
      </c>
      <c r="AI32" s="17">
        <f>IF(AI$3="","",IF(AND(DivAs=2,AI$2&lt;ExDivPct),ExDivTree!AI32+DivAmount*EXP(IntRate*(AI$2-ExDivPct)),ExDivTree!AI32))</f>
        <v>43.767387127699998</v>
      </c>
      <c r="AJ32" s="17">
        <f>IF(AJ$3="","",IF(AND(DivAs=2,AJ$2&lt;ExDivPct),ExDivTree!AJ32+DivAmount*EXP(IntRate*(AJ$2-ExDivPct)),ExDivTree!AJ32))</f>
        <v>45.092337993599998</v>
      </c>
      <c r="AK32" s="17">
        <f>IF(AK$3="","",IF(AND(DivAs=2,AK$2&lt;ExDivPct),ExDivTree!AK32+DivAmount*EXP(IntRate*(AK$2-ExDivPct)),ExDivTree!AK32))</f>
        <v>46.457398514399998</v>
      </c>
      <c r="AL32" s="17">
        <f>IF(AL$3="","",IF(AND(DivAs=2,AL$2&lt;ExDivPct),ExDivTree!AL32+DivAmount*EXP(IntRate*(AL$2-ExDivPct)),ExDivTree!AL32))</f>
        <v>47.863782912200001</v>
      </c>
      <c r="AM32" s="17">
        <f>IF(AM$3="","",IF(AND(DivAs=2,AM$2&lt;ExDivPct),ExDivTree!AM32+DivAmount*EXP(IntRate*(AM$2-ExDivPct)),ExDivTree!AM32))</f>
        <v>49.3127421664</v>
      </c>
      <c r="AN32" s="17">
        <f>IF(AN$3="","",IF(AND(DivAs=2,AN$2&lt;ExDivPct),ExDivTree!AN32+DivAmount*EXP(IntRate*(AN$2-ExDivPct)),ExDivTree!AN32))</f>
        <v>50.805565127000001</v>
      </c>
      <c r="AO32" s="17">
        <f>IF(AO$3="","",IF(AND(DivAs=2,AO$2&lt;ExDivPct),ExDivTree!AO32+DivAmount*EXP(IntRate*(AO$2-ExDivPct)),ExDivTree!AO32))</f>
        <v>52.343579660700001</v>
      </c>
      <c r="AP32" s="17">
        <f>IF(AP$3="","",IF(AND(DivAs=2,AP$2&lt;ExDivPct),ExDivTree!AP32+DivAmount*EXP(IntRate*(AP$2-ExDivPct)),ExDivTree!AP32))</f>
        <v>53.928153832100001</v>
      </c>
      <c r="AQ32" s="17">
        <f>IF(AQ$3="","",IF(AND(DivAs=2,AQ$2&lt;ExDivPct),ExDivTree!AQ32+DivAmount*EXP(IntRate*(AQ$2-ExDivPct)),ExDivTree!AQ32))</f>
        <v>55.560697120699999</v>
      </c>
      <c r="AR32" s="17">
        <f>IF(AR$3="","",IF(AND(DivAs=2,AR$2&lt;ExDivPct),ExDivTree!AR32+DivAmount*EXP(IntRate*(AR$2-ExDivPct)),ExDivTree!AR32))</f>
        <v>57.242661674399997</v>
      </c>
      <c r="AS32" s="17">
        <f>IF(AS$3="","",IF(AND(DivAs=2,AS$2&lt;ExDivPct),ExDivTree!AS32+DivAmount*EXP(IntRate*(AS$2-ExDivPct)),ExDivTree!AS32))</f>
        <v>58.9755436015</v>
      </c>
      <c r="AT32" s="17">
        <f>IF(AT$3="","",IF(AND(DivAs=2,AT$2&lt;ExDivPct),ExDivTree!AT32+DivAmount*EXP(IntRate*(AT$2-ExDivPct)),ExDivTree!AT32))</f>
        <v>60.760884301200001</v>
      </c>
      <c r="AU32" s="17">
        <f>IF(AU$3="","",IF(AND(DivAs=2,AU$2&lt;ExDivPct),ExDivTree!AU32+DivAmount*EXP(IntRate*(AU$2-ExDivPct)),ExDivTree!AU32))</f>
        <v>62.600271834899999</v>
      </c>
      <c r="AV32" s="17">
        <f>IF(AV$3="","",IF(AND(DivAs=2,AV$2&lt;ExDivPct),ExDivTree!AV32+DivAmount*EXP(IntRate*(AV$2-ExDivPct)),ExDivTree!AV32))</f>
        <v>64.495342338599997</v>
      </c>
      <c r="AW32" s="17">
        <f>IF(AW$3="","",IF(AND(DivAs=2,AW$2&lt;ExDivPct),ExDivTree!AW32+DivAmount*EXP(IntRate*(AW$2-ExDivPct)),ExDivTree!AW32))</f>
        <v>66.447781478400003</v>
      </c>
      <c r="AX32" s="17">
        <f>IF(AX$3="","",IF(AND(DivAs=2,AX$2&lt;ExDivPct),ExDivTree!AX32+DivAmount*EXP(IntRate*(AX$2-ExDivPct)),ExDivTree!AX32))</f>
        <v>68.459325949800004</v>
      </c>
      <c r="AY32" s="17">
        <f>IF(AY$3="","",IF(AND(DivAs=2,AY$2&lt;ExDivPct),ExDivTree!AY32+DivAmount*EXP(IntRate*(AY$2-ExDivPct)),ExDivTree!AY32))</f>
        <v>70.531765022499997</v>
      </c>
      <c r="AZ32" s="17">
        <f>IF(AZ$3="","",IF(AND(DivAs=2,AZ$2&lt;ExDivPct),ExDivTree!AZ32+DivAmount*EXP(IntRate*(AZ$2-ExDivPct)),ExDivTree!AZ32))</f>
        <v>72.666942132000003</v>
      </c>
      <c r="BA32" s="17">
        <f>IF(BA$3="","",IF(AND(DivAs=2,BA$2&lt;ExDivPct),ExDivTree!BA32+DivAmount*EXP(IntRate*(BA$2-ExDivPct)),ExDivTree!BA32))</f>
        <v>74.866756519299997</v>
      </c>
      <c r="BB32" s="17">
        <f>IF(BB$3="","",IF(AND(DivAs=2,BB$2&lt;ExDivPct),ExDivTree!BB32+DivAmount*EXP(IntRate*(BB$2-ExDivPct)),ExDivTree!BB32))</f>
        <v>77.133164920300004</v>
      </c>
      <c r="BC32" s="17">
        <f>IF(BC$3="","",IF(AND(DivAs=2,BC$2&lt;ExDivPct),ExDivTree!BC32+DivAmount*EXP(IntRate*(BC$2-ExDivPct)),ExDivTree!BC32))</f>
        <v>79.468183306200004</v>
      </c>
      <c r="BD32" s="17">
        <f>IF(BD$3="","",IF(AND(DivAs=2,BD$2&lt;ExDivPct),ExDivTree!BD32+DivAmount*EXP(IntRate*(BD$2-ExDivPct)),ExDivTree!BD32))</f>
        <v>81.873888676999997</v>
      </c>
      <c r="BE32" s="17">
        <f>IF(BE$3="","",IF(AND(DivAs=2,BE$2&lt;ExDivPct),ExDivTree!BE32+DivAmount*EXP(IntRate*(BE$2-ExDivPct)),ExDivTree!BE32))</f>
        <v>84.352420908699997</v>
      </c>
      <c r="BF32" s="17">
        <f>IF(BF$3="","",IF(AND(DivAs=2,BF$2&lt;ExDivPct),ExDivTree!BF32+DivAmount*EXP(IntRate*(BF$2-ExDivPct)),ExDivTree!BF32))</f>
        <v>86.905984656800001</v>
      </c>
      <c r="BG32" s="17">
        <f>IF(BG$3="","",IF(AND(DivAs=2,BG$2&lt;ExDivPct),ExDivTree!BG32+DivAmount*EXP(IntRate*(BG$2-ExDivPct)),ExDivTree!BG32))</f>
        <v>89.536851317499995</v>
      </c>
      <c r="BH32" s="17">
        <f>IF(BH$3="","",IF(AND(DivAs=2,BH$2&lt;ExDivPct),ExDivTree!BH32+DivAmount*EXP(IntRate*(BH$2-ExDivPct)),ExDivTree!BH32))</f>
        <v>92.247361047799998</v>
      </c>
      <c r="BI32" s="17">
        <f>IF(BI$3="","",IF(AND(DivAs=2,BI$2&lt;ExDivPct),ExDivTree!BI32+DivAmount*EXP(IntRate*(BI$2-ExDivPct)),ExDivTree!BI32))</f>
        <v>95.0399248473</v>
      </c>
      <c r="BJ32" s="17">
        <f>IF(BJ$3="","",IF(AND(DivAs=2,BJ$2&lt;ExDivPct),ExDivTree!BJ32+DivAmount*EXP(IntRate*(BJ$2-ExDivPct)),ExDivTree!BJ32))</f>
        <v>97.917026702800001</v>
      </c>
      <c r="BK32" s="17">
        <f>IF(BK$3="","",IF(AND(DivAs=2,BK$2&lt;ExDivPct),ExDivTree!BK32+DivAmount*EXP(IntRate*(BK$2-ExDivPct)),ExDivTree!BK32))</f>
        <v>100.8812257977</v>
      </c>
      <c r="BL32" s="17">
        <f>IF(BL$3="","",IF(AND(DivAs=2,BL$2&lt;ExDivPct),ExDivTree!BL32+DivAmount*EXP(IntRate*(BL$2-ExDivPct)),ExDivTree!BL32))</f>
        <v>103.9351587885</v>
      </c>
      <c r="BM32" s="17">
        <f>IF(BM$3="","",IF(AND(DivAs=2,BM$2&lt;ExDivPct),ExDivTree!BM32+DivAmount*EXP(IntRate*(BM$2-ExDivPct)),ExDivTree!BM32))</f>
        <v>107.0815421499</v>
      </c>
      <c r="BN32" s="17">
        <f>IF(BN$3="","",IF(AND(DivAs=2,BN$2&lt;ExDivPct),ExDivTree!BN32+DivAmount*EXP(IntRate*(BN$2-ExDivPct)),ExDivTree!BN32))</f>
        <v>110.3231745913</v>
      </c>
      <c r="BO32" s="17">
        <f>IF(BO$3="","",IF(AND(DivAs=2,BO$2&lt;ExDivPct),ExDivTree!BO32+DivAmount*EXP(IntRate*(BO$2-ExDivPct)),ExDivTree!BO32))</f>
        <v>113.66293954619999</v>
      </c>
      <c r="BP32" s="17">
        <f>IF(BP$3="","",IF(AND(DivAs=2,BP$2&lt;ExDivPct),ExDivTree!BP32+DivAmount*EXP(IntRate*(BP$2-ExDivPct)),ExDivTree!BP32))</f>
        <v>117.1038077371</v>
      </c>
      <c r="BQ32" s="17">
        <f>IF(BQ$3="","",IF(AND(DivAs=2,BQ$2&lt;ExDivPct),ExDivTree!BQ32+DivAmount*EXP(IntRate*(BQ$2-ExDivPct)),ExDivTree!BQ32))</f>
        <v>120.6488398178</v>
      </c>
      <c r="BR32" s="17">
        <f>IF(BR$3="","",IF(AND(DivAs=2,BR$2&lt;ExDivPct),ExDivTree!BR32+DivAmount*EXP(IntRate*(BR$2-ExDivPct)),ExDivTree!BR32))</f>
        <v>124.3011890959</v>
      </c>
      <c r="BS32" s="17">
        <f>IF(BS$3="","",IF(AND(DivAs=2,BS$2&lt;ExDivPct),ExDivTree!BS32+DivAmount*EXP(IntRate*(BS$2-ExDivPct)),ExDivTree!BS32))</f>
        <v>128.06410433779999</v>
      </c>
      <c r="BT32" s="17">
        <f>IF(BT$3="","",IF(AND(DivAs=2,BT$2&lt;ExDivPct),ExDivTree!BT32+DivAmount*EXP(IntRate*(BT$2-ExDivPct)),ExDivTree!BT32))</f>
        <v>131.94093265820001</v>
      </c>
      <c r="BU32" s="17">
        <f>IF(BU$3="","",IF(AND(DivAs=2,BU$2&lt;ExDivPct),ExDivTree!BU32+DivAmount*EXP(IntRate*(BU$2-ExDivPct)),ExDivTree!BU32))</f>
        <v>135.93512249770001</v>
      </c>
      <c r="BV32" s="17">
        <f>IF(BV$3="","",IF(AND(DivAs=2,BV$2&lt;ExDivPct),ExDivTree!BV32+DivAmount*EXP(IntRate*(BV$2-ExDivPct)),ExDivTree!BV32))</f>
        <v>140.05022668999999</v>
      </c>
      <c r="BW32" s="17">
        <f>IF(BW$3="","",IF(AND(DivAs=2,BW$2&lt;ExDivPct),ExDivTree!BW32+DivAmount*EXP(IntRate*(BW$2-ExDivPct)),ExDivTree!BW32))</f>
        <v>144.28990562210001</v>
      </c>
      <c r="BX32" s="17">
        <f>IF(BX$3="","",IF(AND(DivAs=2,BX$2&lt;ExDivPct),ExDivTree!BX32+DivAmount*EXP(IntRate*(BX$2-ExDivPct)),ExDivTree!BX32))</f>
        <v>148.6579304903</v>
      </c>
      <c r="BY32" s="17">
        <f>IF(BY$3="","",IF(AND(DivAs=2,BY$2&lt;ExDivPct),ExDivTree!BY32+DivAmount*EXP(IntRate*(BY$2-ExDivPct)),ExDivTree!BY32))</f>
        <v>153.15818665469999</v>
      </c>
      <c r="BZ32" s="17">
        <f>IF(BZ$3="","",IF(AND(DivAs=2,BZ$2&lt;ExDivPct),ExDivTree!BZ32+DivAmount*EXP(IntRate*(BZ$2-ExDivPct)),ExDivTree!BZ32))</f>
        <v>157.7946770952</v>
      </c>
      <c r="CA32" s="17">
        <f>IF(CA$3="","",IF(AND(DivAs=2,CA$2&lt;ExDivPct),ExDivTree!CA32+DivAmount*EXP(IntRate*(CA$2-ExDivPct)),ExDivTree!CA32))</f>
        <v>162.57152597210001</v>
      </c>
      <c r="CB32" s="17">
        <f>IF(CB$3="","",IF(AND(DivAs=2,CB$2&lt;ExDivPct),ExDivTree!CB32+DivAmount*EXP(IntRate*(CB$2-ExDivPct)),ExDivTree!CB32))</f>
        <v>167.49298229460001</v>
      </c>
      <c r="CC32" s="17">
        <f>IF(CC$3="","",IF(AND(DivAs=2,CC$2&lt;ExDivPct),ExDivTree!CC32+DivAmount*EXP(IntRate*(CC$2-ExDivPct)),ExDivTree!CC32))</f>
        <v>172.56342370039999</v>
      </c>
      <c r="CD32" s="17">
        <f>IF(CD$3="","",IF(AND(DivAs=2,CD$2&lt;ExDivPct),ExDivTree!CD32+DivAmount*EXP(IntRate*(CD$2-ExDivPct)),ExDivTree!CD32))</f>
        <v>177.78736034939999</v>
      </c>
      <c r="CE32" s="17">
        <f>IF(CE$3="","",IF(AND(DivAs=2,CE$2&lt;ExDivPct),ExDivTree!CE32+DivAmount*EXP(IntRate*(CE$2-ExDivPct)),ExDivTree!CE32))</f>
        <v>183.1694389356</v>
      </c>
      <c r="CF32" s="17">
        <f>IF(CF$3="","",IF(AND(DivAs=2,CF$2&lt;ExDivPct),ExDivTree!CF32+DivAmount*EXP(IntRate*(CF$2-ExDivPct)),ExDivTree!CF32))</f>
        <v>188.7144468203</v>
      </c>
      <c r="CG32" s="17">
        <f>IF(CG$3="","",IF(AND(DivAs=2,CG$2&lt;ExDivPct),ExDivTree!CG32+DivAmount*EXP(IntRate*(CG$2-ExDivPct)),ExDivTree!CG32))</f>
        <v>194.42731629049999</v>
      </c>
      <c r="CH32" s="17">
        <f>IF(CH$3="","",IF(AND(DivAs=2,CH$2&lt;ExDivPct),ExDivTree!CH32+DivAmount*EXP(IntRate*(CH$2-ExDivPct)),ExDivTree!CH32))</f>
        <v>200.31312894620001</v>
      </c>
      <c r="CI32" s="17">
        <f>IF(CI$3="","",IF(AND(DivAs=2,CI$2&lt;ExDivPct),ExDivTree!CI32+DivAmount*EXP(IntRate*(CI$2-ExDivPct)),ExDivTree!CI32))</f>
        <v>206.37712022049999</v>
      </c>
      <c r="CJ32" s="17">
        <f>IF(CJ$3="","",IF(AND(DivAs=2,CJ$2&lt;ExDivPct),ExDivTree!CJ32+DivAmount*EXP(IntRate*(CJ$2-ExDivPct)),ExDivTree!CJ32))</f>
        <v>212.62468403630001</v>
      </c>
      <c r="CK32" s="17">
        <f>IF(CK$3="","",IF(AND(DivAs=2,CK$2&lt;ExDivPct),ExDivTree!CK32+DivAmount*EXP(IntRate*(CK$2-ExDivPct)),ExDivTree!CK32))</f>
        <v>219.06137760440001</v>
      </c>
      <c r="CL32" s="17">
        <f>IF(CL$3="","",IF(AND(DivAs=2,CL$2&lt;ExDivPct),ExDivTree!CL32+DivAmount*EXP(IntRate*(CL$2-ExDivPct)),ExDivTree!CL32))</f>
        <v>225.69292636660001</v>
      </c>
      <c r="CM32" s="17">
        <f>IF(CM$3="","",IF(AND(DivAs=2,CM$2&lt;ExDivPct),ExDivTree!CM32+DivAmount*EXP(IntRate*(CM$2-ExDivPct)),ExDivTree!CM32))</f>
        <v>232.52522908860001</v>
      </c>
      <c r="CN32" s="17">
        <f>IF(CN$3="","",IF(AND(DivAs=2,CN$2&lt;ExDivPct),ExDivTree!CN32+DivAmount*EXP(IntRate*(CN$2-ExDivPct)),ExDivTree!CN32))</f>
        <v>239.5643631067</v>
      </c>
      <c r="CO32" s="17">
        <f>IF(CO$3="","",IF(AND(DivAs=2,CO$2&lt;ExDivPct),ExDivTree!CO32+DivAmount*EXP(IntRate*(CO$2-ExDivPct)),ExDivTree!CO32))</f>
        <v>246.81658973379999</v>
      </c>
      <c r="CP32" s="17">
        <f>IF(CP$3="","",IF(AND(DivAs=2,CP$2&lt;ExDivPct),ExDivTree!CP32+DivAmount*EXP(IntRate*(CP$2-ExDivPct)),ExDivTree!CP32))</f>
        <v>254.2883598288</v>
      </c>
      <c r="CQ32" s="17">
        <f>IF(CQ$3="","",IF(AND(DivAs=2,CQ$2&lt;ExDivPct),ExDivTree!CQ32+DivAmount*EXP(IntRate*(CQ$2-ExDivPct)),ExDivTree!CQ32))</f>
        <v>261.98631953450001</v>
      </c>
      <c r="CR32" s="17">
        <f>IF(CR$3="","",IF(AND(DivAs=2,CR$2&lt;ExDivPct),ExDivTree!CR32+DivAmount*EXP(IntRate*(CR$2-ExDivPct)),ExDivTree!CR32))</f>
        <v>269.91731618950001</v>
      </c>
      <c r="CS32" s="17">
        <f>IF(CS$3="","",IF(AND(DivAs=2,CS$2&lt;ExDivPct),ExDivTree!CS32+DivAmount*EXP(IntRate*(CS$2-ExDivPct)),ExDivTree!CS32))</f>
        <v>278.08840441900003</v>
      </c>
      <c r="CT32" s="17">
        <f>IF(CT$3="","",IF(AND(DivAs=2,CT$2&lt;ExDivPct),ExDivTree!CT32+DivAmount*EXP(IntRate*(CT$2-ExDivPct)),ExDivTree!CT32))</f>
        <v>286.50685240960001</v>
      </c>
      <c r="CU32" s="17">
        <f>IF(CU$3="","",IF(AND(DivAs=2,CU$2&lt;ExDivPct),ExDivTree!CU32+DivAmount*EXP(IntRate*(CU$2-ExDivPct)),ExDivTree!CU32))</f>
        <v>295.18014837459998</v>
      </c>
      <c r="CV32" s="17">
        <f>IF(CV$3="","",IF(AND(DivAs=2,CV$2&lt;ExDivPct),ExDivTree!CV32+DivAmount*EXP(IntRate*(CV$2-ExDivPct)),ExDivTree!CV32))</f>
        <v>304.11600721470001</v>
      </c>
      <c r="CW32" s="17">
        <f>IF(CW$3="","",IF(AND(DivAs=2,CW$2&lt;ExDivPct),ExDivTree!CW32+DivAmount*EXP(IntRate*(CW$2-ExDivPct)),ExDivTree!CW32))</f>
        <v>313.3223773803</v>
      </c>
      <c r="CX32" s="17">
        <f>IF(CX$3="","",IF(AND(DivAs=2,CX$2&lt;ExDivPct),ExDivTree!CX32+DivAmount*EXP(IntRate*(CX$2-ExDivPct)),ExDivTree!CX32))</f>
        <v>322.80744794190002</v>
      </c>
      <c r="CY32" s="17">
        <f>IF(CY$3="","",IF(AND(DivAs=2,CY$2&lt;ExDivPct),ExDivTree!CY32+DivAmount*EXP(IntRate*(CY$2-ExDivPct)),ExDivTree!CY32))</f>
        <v>332.57965587400003</v>
      </c>
      <c r="CZ32" s="17">
        <f>IF(CZ$3="","",IF(AND(DivAs=2,CZ$2&lt;ExDivPct),ExDivTree!CZ32+DivAmount*EXP(IntRate*(CZ$2-ExDivPct)),ExDivTree!CZ32))</f>
        <v>342.64769355990001</v>
      </c>
      <c r="DA32" s="17">
        <f>IF(DA$3="","",IF(AND(DivAs=2,DA$2&lt;ExDivPct),ExDivTree!DA32+DivAmount*EXP(IntRate*(DA$2-ExDivPct)),ExDivTree!DA32))</f>
        <v>353.0205165237</v>
      </c>
      <c r="DB32" s="17">
        <f>IF(DB$3="","",IF(AND(DivAs=2,DB$2&lt;ExDivPct),ExDivTree!DB32+DivAmount*EXP(IntRate*(DB$2-ExDivPct)),ExDivTree!DB32))</f>
        <v>363.70735139620001</v>
      </c>
    </row>
    <row r="33" spans="1:106" x14ac:dyDescent="0.2">
      <c r="A33">
        <f>ExDivTree!A33</f>
        <v>1.7409661513983014E+25</v>
      </c>
      <c r="B33" s="71">
        <f>ExDivTree!B33</f>
        <v>6.8669006707560256E-6</v>
      </c>
      <c r="C33" s="71">
        <f>ExDivTree!C33</f>
        <v>7.6931393443732312E-6</v>
      </c>
      <c r="D33" s="177">
        <f>ExDivTree!D33</f>
        <v>29</v>
      </c>
      <c r="AH33" s="17">
        <f>IF(AH$3="","",IF(AND(DivAs=2,AH$2&lt;ExDivPct),ExDivTree!AH33+DivAmount*EXP(IntRate*(AH$2-ExDivPct)),ExDivTree!AH33))</f>
        <v>40.021787547099997</v>
      </c>
      <c r="AI33" s="17">
        <f>IF(AI$3="","",IF(AND(DivAs=2,AI$2&lt;ExDivPct),ExDivTree!AI33+DivAmount*EXP(IntRate*(AI$2-ExDivPct)),ExDivTree!AI33))</f>
        <v>41.233349523800001</v>
      </c>
      <c r="AJ33" s="17">
        <f>IF(AJ$3="","",IF(AND(DivAs=2,AJ$2&lt;ExDivPct),ExDivTree!AJ33+DivAmount*EXP(IntRate*(AJ$2-ExDivPct)),ExDivTree!AJ33))</f>
        <v>42.481588583499999</v>
      </c>
      <c r="AK33" s="17">
        <f>IF(AK$3="","",IF(AND(DivAs=2,AK$2&lt;ExDivPct),ExDivTree!AK33+DivAmount*EXP(IntRate*(AK$2-ExDivPct)),ExDivTree!AK33))</f>
        <v>43.767615035399999</v>
      </c>
      <c r="AL33" s="17">
        <f>IF(AL$3="","",IF(AND(DivAs=2,AL$2&lt;ExDivPct),ExDivTree!AL33+DivAmount*EXP(IntRate*(AL$2-ExDivPct)),ExDivTree!AL33))</f>
        <v>45.092572800600003</v>
      </c>
      <c r="AM33" s="17">
        <f>IF(AM$3="","",IF(AND(DivAs=2,AM$2&lt;ExDivPct),ExDivTree!AM33+DivAmount*EXP(IntRate*(AM$2-ExDivPct)),ExDivTree!AM33))</f>
        <v>46.457640429599998</v>
      </c>
      <c r="AN33" s="17">
        <f>IF(AN$3="","",IF(AND(DivAs=2,AN$2&lt;ExDivPct),ExDivTree!AN33+DivAmount*EXP(IntRate*(AN$2-ExDivPct)),ExDivTree!AN33))</f>
        <v>47.8640321508</v>
      </c>
      <c r="AO33" s="17">
        <f>IF(AO$3="","",IF(AND(DivAs=2,AO$2&lt;ExDivPct),ExDivTree!AO33+DivAmount*EXP(IntRate*(AO$2-ExDivPct)),ExDivTree!AO33))</f>
        <v>49.312998950100003</v>
      </c>
      <c r="AP33" s="17">
        <f>IF(AP$3="","",IF(AND(DivAs=2,AP$2&lt;ExDivPct),ExDivTree!AP33+DivAmount*EXP(IntRate*(AP$2-ExDivPct)),ExDivTree!AP33))</f>
        <v>50.805829684199999</v>
      </c>
      <c r="AQ33" s="17">
        <f>IF(AQ$3="","",IF(AND(DivAs=2,AQ$2&lt;ExDivPct),ExDivTree!AQ33+DivAmount*EXP(IntRate*(AQ$2-ExDivPct)),ExDivTree!AQ33))</f>
        <v>52.343852226700001</v>
      </c>
      <c r="AR33" s="17">
        <f>IF(AR$3="","",IF(AND(DivAs=2,AR$2&lt;ExDivPct),ExDivTree!AR33+DivAmount*EXP(IntRate*(AR$2-ExDivPct)),ExDivTree!AR33))</f>
        <v>53.928434649400003</v>
      </c>
      <c r="AS33" s="17">
        <f>IF(AS$3="","",IF(AND(DivAs=2,AS$2&lt;ExDivPct),ExDivTree!AS33+DivAmount*EXP(IntRate*(AS$2-ExDivPct)),ExDivTree!AS33))</f>
        <v>55.560986438999997</v>
      </c>
      <c r="AT33" s="17">
        <f>IF(AT$3="","",IF(AND(DivAs=2,AT$2&lt;ExDivPct),ExDivTree!AT33+DivAmount*EXP(IntRate*(AT$2-ExDivPct)),ExDivTree!AT33))</f>
        <v>57.242959751100003</v>
      </c>
      <c r="AU33" s="17">
        <f>IF(AU$3="","",IF(AND(DivAs=2,AU$2&lt;ExDivPct),ExDivTree!AU33+DivAmount*EXP(IntRate*(AU$2-ExDivPct)),ExDivTree!AU33))</f>
        <v>58.975850701699997</v>
      </c>
      <c r="AV33" s="17">
        <f>IF(AV$3="","",IF(AND(DivAs=2,AV$2&lt;ExDivPct),ExDivTree!AV33+DivAmount*EXP(IntRate*(AV$2-ExDivPct)),ExDivTree!AV33))</f>
        <v>60.761200698099998</v>
      </c>
      <c r="AW33" s="17">
        <f>IF(AW$3="","",IF(AND(DivAs=2,AW$2&lt;ExDivPct),ExDivTree!AW33+DivAmount*EXP(IntRate*(AW$2-ExDivPct)),ExDivTree!AW33))</f>
        <v>62.600597809900002</v>
      </c>
      <c r="AX33" s="17">
        <f>IF(AX$3="","",IF(AND(DivAs=2,AX$2&lt;ExDivPct),ExDivTree!AX33+DivAmount*EXP(IntRate*(AX$2-ExDivPct)),ExDivTree!AX33))</f>
        <v>64.495678181700001</v>
      </c>
      <c r="AY33" s="17">
        <f>IF(AY$3="","",IF(AND(DivAs=2,AY$2&lt;ExDivPct),ExDivTree!AY33+DivAmount*EXP(IntRate*(AY$2-ExDivPct)),ExDivTree!AY33))</f>
        <v>66.448127488300003</v>
      </c>
      <c r="AZ33" s="17">
        <f>IF(AZ$3="","",IF(AND(DivAs=2,AZ$2&lt;ExDivPct),ExDivTree!AZ33+DivAmount*EXP(IntRate*(AZ$2-ExDivPct)),ExDivTree!AZ33))</f>
        <v>68.459682434300007</v>
      </c>
      <c r="BA33" s="17">
        <f>IF(BA$3="","",IF(AND(DivAs=2,BA$2&lt;ExDivPct),ExDivTree!BA33+DivAmount*EXP(IntRate*(BA$2-ExDivPct)),ExDivTree!BA33))</f>
        <v>70.532132298700006</v>
      </c>
      <c r="BB33" s="17">
        <f>IF(BB$3="","",IF(AND(DivAs=2,BB$2&lt;ExDivPct),ExDivTree!BB33+DivAmount*EXP(IntRate*(BB$2-ExDivPct)),ExDivTree!BB33))</f>
        <v>72.667320526599994</v>
      </c>
      <c r="BC33" s="17">
        <f>IF(BC$3="","",IF(AND(DivAs=2,BC$2&lt;ExDivPct),ExDivTree!BC33+DivAmount*EXP(IntRate*(BC$2-ExDivPct)),ExDivTree!BC33))</f>
        <v>74.867146368799993</v>
      </c>
      <c r="BD33" s="17">
        <f>IF(BD$3="","",IF(AND(DivAs=2,BD$2&lt;ExDivPct),ExDivTree!BD33+DivAmount*EXP(IntRate*(BD$2-ExDivPct)),ExDivTree!BD33))</f>
        <v>77.133566571499998</v>
      </c>
      <c r="BE33" s="17">
        <f>IF(BE$3="","",IF(AND(DivAs=2,BE$2&lt;ExDivPct),ExDivTree!BE33+DivAmount*EXP(IntRate*(BE$2-ExDivPct)),ExDivTree!BE33))</f>
        <v>79.468597116400005</v>
      </c>
      <c r="BF33" s="17">
        <f>IF(BF$3="","",IF(AND(DivAs=2,BF$2&lt;ExDivPct),ExDivTree!BF33+DivAmount*EXP(IntRate*(BF$2-ExDivPct)),ExDivTree!BF33))</f>
        <v>81.874315014299995</v>
      </c>
      <c r="BG33" s="17">
        <f>IF(BG$3="","",IF(AND(DivAs=2,BG$2&lt;ExDivPct),ExDivTree!BG33+DivAmount*EXP(IntRate*(BG$2-ExDivPct)),ExDivTree!BG33))</f>
        <v>84.352860152299996</v>
      </c>
      <c r="BH33" s="17">
        <f>IF(BH$3="","",IF(AND(DivAs=2,BH$2&lt;ExDivPct),ExDivTree!BH33+DivAmount*EXP(IntRate*(BH$2-ExDivPct)),ExDivTree!BH33))</f>
        <v>86.906437197499997</v>
      </c>
      <c r="BI33" s="17">
        <f>IF(BI$3="","",IF(AND(DivAs=2,BI$2&lt;ExDivPct),ExDivTree!BI33+DivAmount*EXP(IntRate*(BI$2-ExDivPct)),ExDivTree!BI33))</f>
        <v>89.537317557700007</v>
      </c>
      <c r="BJ33" s="17">
        <f>IF(BJ$3="","",IF(AND(DivAs=2,BJ$2&lt;ExDivPct),ExDivTree!BJ33+DivAmount*EXP(IntRate*(BJ$2-ExDivPct)),ExDivTree!BJ33))</f>
        <v>92.247841402299997</v>
      </c>
      <c r="BK33" s="17">
        <f>IF(BK$3="","",IF(AND(DivAs=2,BK$2&lt;ExDivPct),ExDivTree!BK33+DivAmount*EXP(IntRate*(BK$2-ExDivPct)),ExDivTree!BK33))</f>
        <v>95.040419743399994</v>
      </c>
      <c r="BL33" s="17">
        <f>IF(BL$3="","",IF(AND(DivAs=2,BL$2&lt;ExDivPct),ExDivTree!BL33+DivAmount*EXP(IntRate*(BL$2-ExDivPct)),ExDivTree!BL33))</f>
        <v>97.917536580700002</v>
      </c>
      <c r="BM33" s="17">
        <f>IF(BM$3="","",IF(AND(DivAs=2,BM$2&lt;ExDivPct),ExDivTree!BM33+DivAmount*EXP(IntRate*(BM$2-ExDivPct)),ExDivTree!BM33))</f>
        <v>100.881751111</v>
      </c>
      <c r="BN33" s="17">
        <f>IF(BN$3="","",IF(AND(DivAs=2,BN$2&lt;ExDivPct),ExDivTree!BN33+DivAmount*EXP(IntRate*(BN$2-ExDivPct)),ExDivTree!BN33))</f>
        <v>103.9357000044</v>
      </c>
      <c r="BO33" s="17">
        <f>IF(BO$3="","",IF(AND(DivAs=2,BO$2&lt;ExDivPct),ExDivTree!BO33+DivAmount*EXP(IntRate*(BO$2-ExDivPct)),ExDivTree!BO33))</f>
        <v>107.08209974979999</v>
      </c>
      <c r="BP33" s="17">
        <f>IF(BP$3="","",IF(AND(DivAs=2,BP$2&lt;ExDivPct),ExDivTree!BP33+DivAmount*EXP(IntRate*(BP$2-ExDivPct)),ExDivTree!BP33))</f>
        <v>110.3237490712</v>
      </c>
      <c r="BQ33" s="17">
        <f>IF(BQ$3="","",IF(AND(DivAs=2,BQ$2&lt;ExDivPct),ExDivTree!BQ33+DivAmount*EXP(IntRate*(BQ$2-ExDivPct)),ExDivTree!BQ33))</f>
        <v>113.6635314171</v>
      </c>
      <c r="BR33" s="17">
        <f>IF(BR$3="","",IF(AND(DivAs=2,BR$2&lt;ExDivPct),ExDivTree!BR33+DivAmount*EXP(IntRate*(BR$2-ExDivPct)),ExDivTree!BR33))</f>
        <v>117.1044175255</v>
      </c>
      <c r="BS33" s="17">
        <f>IF(BS$3="","",IF(AND(DivAs=2,BS$2&lt;ExDivPct),ExDivTree!BS33+DivAmount*EXP(IntRate*(BS$2-ExDivPct)),ExDivTree!BS33))</f>
        <v>120.6494680661</v>
      </c>
      <c r="BT33" s="17">
        <f>IF(BT$3="","",IF(AND(DivAs=2,BT$2&lt;ExDivPct),ExDivTree!BT33+DivAmount*EXP(IntRate*(BT$2-ExDivPct)),ExDivTree!BT33))</f>
        <v>124.3018363629</v>
      </c>
      <c r="BU33" s="17">
        <f>IF(BU$3="","",IF(AND(DivAs=2,BU$2&lt;ExDivPct),ExDivTree!BU33+DivAmount*EXP(IntRate*(BU$2-ExDivPct)),ExDivTree!BU33))</f>
        <v>128.06477119920001</v>
      </c>
      <c r="BV33" s="17">
        <f>IF(BV$3="","",IF(AND(DivAs=2,BV$2&lt;ExDivPct),ExDivTree!BV33+DivAmount*EXP(IntRate*(BV$2-ExDivPct)),ExDivTree!BV33))</f>
        <v>131.9416197072</v>
      </c>
      <c r="BW33" s="17">
        <f>IF(BW$3="","",IF(AND(DivAs=2,BW$2&lt;ExDivPct),ExDivTree!BW33+DivAmount*EXP(IntRate*(BW$2-ExDivPct)),ExDivTree!BW33))</f>
        <v>135.93583034540001</v>
      </c>
      <c r="BX33" s="17">
        <f>IF(BX$3="","",IF(AND(DivAs=2,BX$2&lt;ExDivPct),ExDivTree!BX33+DivAmount*EXP(IntRate*(BX$2-ExDivPct)),ExDivTree!BX33))</f>
        <v>140.050955966</v>
      </c>
      <c r="BY33" s="17">
        <f>IF(BY$3="","",IF(AND(DivAs=2,BY$2&lt;ExDivPct),ExDivTree!BY33+DivAmount*EXP(IntRate*(BY$2-ExDivPct)),ExDivTree!BY33))</f>
        <v>144.29065697510001</v>
      </c>
      <c r="BZ33" s="17">
        <f>IF(BZ$3="","",IF(AND(DivAs=2,BZ$2&lt;ExDivPct),ExDivTree!BZ33+DivAmount*EXP(IntRate*(BZ$2-ExDivPct)),ExDivTree!BZ33))</f>
        <v>148.65870458859999</v>
      </c>
      <c r="CA33" s="17">
        <f>IF(CA$3="","",IF(AND(DivAs=2,CA$2&lt;ExDivPct),ExDivTree!CA33+DivAmount*EXP(IntRate*(CA$2-ExDivPct)),ExDivTree!CA33))</f>
        <v>153.1589841869</v>
      </c>
      <c r="CB33" s="17">
        <f>IF(CB$3="","",IF(AND(DivAs=2,CB$2&lt;ExDivPct),ExDivTree!CB33+DivAmount*EXP(IntRate*(CB$2-ExDivPct)),ExDivTree!CB33))</f>
        <v>157.79549877069999</v>
      </c>
      <c r="CC33" s="17">
        <f>IF(CC$3="","",IF(AND(DivAs=2,CC$2&lt;ExDivPct),ExDivTree!CC33+DivAmount*EXP(IntRate*(CC$2-ExDivPct)),ExDivTree!CC33))</f>
        <v>162.57237252179999</v>
      </c>
      <c r="CD33" s="17">
        <f>IF(CD$3="","",IF(AND(DivAs=2,CD$2&lt;ExDivPct),ExDivTree!CD33+DivAmount*EXP(IntRate*(CD$2-ExDivPct)),ExDivTree!CD33))</f>
        <v>167.4938544716</v>
      </c>
      <c r="CE33" s="17">
        <f>IF(CE$3="","",IF(AND(DivAs=2,CE$2&lt;ExDivPct),ExDivTree!CE33+DivAmount*EXP(IntRate*(CE$2-ExDivPct)),ExDivTree!CE33))</f>
        <v>172.56432228040001</v>
      </c>
      <c r="CF33" s="17">
        <f>IF(CF$3="","",IF(AND(DivAs=2,CF$2&lt;ExDivPct),ExDivTree!CF33+DivAmount*EXP(IntRate*(CF$2-ExDivPct)),ExDivTree!CF33))</f>
        <v>177.7882861317</v>
      </c>
      <c r="CG33" s="17">
        <f>IF(CG$3="","",IF(AND(DivAs=2,CG$2&lt;ExDivPct),ExDivTree!CG33+DivAmount*EXP(IntRate*(CG$2-ExDivPct)),ExDivTree!CG33))</f>
        <v>183.17039274370001</v>
      </c>
      <c r="CH33" s="17">
        <f>IF(CH$3="","",IF(AND(DivAs=2,CH$2&lt;ExDivPct),ExDivTree!CH33+DivAmount*EXP(IntRate*(CH$2-ExDivPct)),ExDivTree!CH33))</f>
        <v>188.71542950259999</v>
      </c>
      <c r="CI33" s="17">
        <f>IF(CI$3="","",IF(AND(DivAs=2,CI$2&lt;ExDivPct),ExDivTree!CI33+DivAmount*EXP(IntRate*(CI$2-ExDivPct)),ExDivTree!CI33))</f>
        <v>194.42832872119999</v>
      </c>
      <c r="CJ33" s="17">
        <f>IF(CJ$3="","",IF(AND(DivAs=2,CJ$2&lt;ExDivPct),ExDivTree!CJ33+DivAmount*EXP(IntRate*(CJ$2-ExDivPct)),ExDivTree!CJ33))</f>
        <v>200.31417202579999</v>
      </c>
      <c r="CK33" s="17">
        <f>IF(CK$3="","",IF(AND(DivAs=2,CK$2&lt;ExDivPct),ExDivTree!CK33+DivAmount*EXP(IntRate*(CK$2-ExDivPct)),ExDivTree!CK33))</f>
        <v>206.37819487679999</v>
      </c>
      <c r="CL33" s="17">
        <f>IF(CL$3="","",IF(AND(DivAs=2,CL$2&lt;ExDivPct),ExDivTree!CL33+DivAmount*EXP(IntRate*(CL$2-ExDivPct)),ExDivTree!CL33))</f>
        <v>212.6257912252</v>
      </c>
      <c r="CM33" s="17">
        <f>IF(CM$3="","",IF(AND(DivAs=2,CM$2&lt;ExDivPct),ExDivTree!CM33+DivAmount*EXP(IntRate*(CM$2-ExDivPct)),ExDivTree!CM33))</f>
        <v>219.0625183107</v>
      </c>
      <c r="CN33" s="17">
        <f>IF(CN$3="","",IF(AND(DivAs=2,CN$2&lt;ExDivPct),ExDivTree!CN33+DivAmount*EXP(IntRate*(CN$2-ExDivPct)),ExDivTree!CN33))</f>
        <v>225.69410160499999</v>
      </c>
      <c r="CO33" s="17">
        <f>IF(CO$3="","",IF(AND(DivAs=2,CO$2&lt;ExDivPct),ExDivTree!CO33+DivAmount*EXP(IntRate*(CO$2-ExDivPct)),ExDivTree!CO33))</f>
        <v>232.52643990449999</v>
      </c>
      <c r="CP33" s="17">
        <f>IF(CP$3="","",IF(AND(DivAs=2,CP$2&lt;ExDivPct),ExDivTree!CP33+DivAmount*EXP(IntRate*(CP$2-ExDivPct)),ExDivTree!CP33))</f>
        <v>239.56561057709999</v>
      </c>
      <c r="CQ33" s="17">
        <f>IF(CQ$3="","",IF(AND(DivAs=2,CQ$2&lt;ExDivPct),ExDivTree!CQ33+DivAmount*EXP(IntRate*(CQ$2-ExDivPct)),ExDivTree!CQ33))</f>
        <v>246.8178749683</v>
      </c>
      <c r="CR33" s="17">
        <f>IF(CR$3="","",IF(AND(DivAs=2,CR$2&lt;ExDivPct),ExDivTree!CR33+DivAmount*EXP(IntRate*(CR$2-ExDivPct)),ExDivTree!CR33))</f>
        <v>254.28968397060001</v>
      </c>
      <c r="CS33" s="17">
        <f>IF(CS$3="","",IF(AND(DivAs=2,CS$2&lt;ExDivPct),ExDivTree!CS33+DivAmount*EXP(IntRate*(CS$2-ExDivPct)),ExDivTree!CS33))</f>
        <v>261.98768376150002</v>
      </c>
      <c r="CT33" s="17">
        <f>IF(CT$3="","",IF(AND(DivAs=2,CT$2&lt;ExDivPct),ExDivTree!CT33+DivAmount*EXP(IntRate*(CT$2-ExDivPct)),ExDivTree!CT33))</f>
        <v>269.91872171519998</v>
      </c>
      <c r="CU33" s="17">
        <f>IF(CU$3="","",IF(AND(DivAs=2,CU$2&lt;ExDivPct),ExDivTree!CU33+DivAmount*EXP(IntRate*(CU$2-ExDivPct)),ExDivTree!CU33))</f>
        <v>278.08985249360001</v>
      </c>
      <c r="CV33" s="17">
        <f>IF(CV$3="","",IF(AND(DivAs=2,CV$2&lt;ExDivPct),ExDivTree!CV33+DivAmount*EXP(IntRate*(CV$2-ExDivPct)),ExDivTree!CV33))</f>
        <v>286.50834432110003</v>
      </c>
      <c r="CW33" s="17">
        <f>IF(CW$3="","",IF(AND(DivAs=2,CW$2&lt;ExDivPct),ExDivTree!CW33+DivAmount*EXP(IntRate*(CW$2-ExDivPct)),ExDivTree!CW33))</f>
        <v>295.18168545010002</v>
      </c>
      <c r="CX33" s="17">
        <f>IF(CX$3="","",IF(AND(DivAs=2,CX$2&lt;ExDivPct),ExDivTree!CX33+DivAmount*EXP(IntRate*(CX$2-ExDivPct)),ExDivTree!CX33))</f>
        <v>304.11759082139997</v>
      </c>
      <c r="CY33" s="17">
        <f>IF(CY$3="","",IF(AND(DivAs=2,CY$2&lt;ExDivPct),ExDivTree!CY33+DivAmount*EXP(IntRate*(CY$2-ExDivPct)),ExDivTree!CY33))</f>
        <v>313.32400892689998</v>
      </c>
      <c r="CZ33" s="17">
        <f>IF(CZ$3="","",IF(AND(DivAs=2,CZ$2&lt;ExDivPct),ExDivTree!CZ33+DivAmount*EXP(IntRate*(CZ$2-ExDivPct)),ExDivTree!CZ33))</f>
        <v>322.8091288796</v>
      </c>
      <c r="DA33" s="17">
        <f>IF(DA$3="","",IF(AND(DivAs=2,DA$2&lt;ExDivPct),ExDivTree!DA33+DivAmount*EXP(IntRate*(DA$2-ExDivPct)),ExDivTree!DA33))</f>
        <v>332.58138769800001</v>
      </c>
      <c r="DB33" s="17">
        <f>IF(DB$3="","",IF(AND(DivAs=2,DB$2&lt;ExDivPct),ExDivTree!DB33+DivAmount*EXP(IntRate*(DB$2-ExDivPct)),ExDivTree!DB33))</f>
        <v>342.64947781069998</v>
      </c>
    </row>
    <row r="34" spans="1:106" x14ac:dyDescent="0.2">
      <c r="A34">
        <f>ExDivTree!A34</f>
        <v>4.1783187633559242E+25</v>
      </c>
      <c r="B34" s="71">
        <f>ExDivTree!B34</f>
        <v>1.6480561609814465E-5</v>
      </c>
      <c r="C34" s="71">
        <f>ExDivTree!C34</f>
        <v>1.8365918756259048E-5</v>
      </c>
      <c r="D34" s="177">
        <f>ExDivTree!D34</f>
        <v>30</v>
      </c>
      <c r="AI34" s="17">
        <f>IF(AI$3="","",IF(AND(DivAs=2,AI$2&lt;ExDivPct),ExDivTree!AI34+DivAmount*EXP(IntRate*(AI$2-ExDivPct)),ExDivTree!AI34))</f>
        <v>38.846027248299997</v>
      </c>
      <c r="AJ34" s="17">
        <f>IF(AJ$3="","",IF(AND(DivAs=2,AJ$2&lt;ExDivPct),ExDivTree!AJ34+DivAmount*EXP(IntRate*(AJ$2-ExDivPct)),ExDivTree!AJ34))</f>
        <v>40.021995950499999</v>
      </c>
      <c r="AK34" s="17">
        <f>IF(AK$3="","",IF(AND(DivAs=2,AK$2&lt;ExDivPct),ExDivTree!AK34+DivAmount*EXP(IntRate*(AK$2-ExDivPct)),ExDivTree!AK34))</f>
        <v>41.233564236100001</v>
      </c>
      <c r="AL34" s="17">
        <f>IF(AL$3="","",IF(AND(DivAs=2,AL$2&lt;ExDivPct),ExDivTree!AL34+DivAmount*EXP(IntRate*(AL$2-ExDivPct)),ExDivTree!AL34))</f>
        <v>42.481809795700002</v>
      </c>
      <c r="AM34" s="17">
        <f>IF(AM$3="","",IF(AND(DivAs=2,AM$2&lt;ExDivPct),ExDivTree!AM34+DivAmount*EXP(IntRate*(AM$2-ExDivPct)),ExDivTree!AM34))</f>
        <v>43.7678429443</v>
      </c>
      <c r="AN34" s="17">
        <f>IF(AN$3="","",IF(AND(DivAs=2,AN$2&lt;ExDivPct),ExDivTree!AN34+DivAmount*EXP(IntRate*(AN$2-ExDivPct)),ExDivTree!AN34))</f>
        <v>45.092807608900003</v>
      </c>
      <c r="AO34" s="17">
        <f>IF(AO$3="","",IF(AND(DivAs=2,AO$2&lt;ExDivPct),ExDivTree!AO34+DivAmount*EXP(IntRate*(AO$2-ExDivPct)),ExDivTree!AO34))</f>
        <v>46.457882346200002</v>
      </c>
      <c r="AP34" s="17">
        <f>IF(AP$3="","",IF(AND(DivAs=2,AP$2&lt;ExDivPct),ExDivTree!AP34+DivAmount*EXP(IntRate*(AP$2-ExDivPct)),ExDivTree!AP34))</f>
        <v>47.864281390800002</v>
      </c>
      <c r="AQ34" s="17">
        <f>IF(AQ$3="","",IF(AND(DivAs=2,AQ$2&lt;ExDivPct),ExDivTree!AQ34+DivAmount*EXP(IntRate*(AQ$2-ExDivPct)),ExDivTree!AQ34))</f>
        <v>49.313255735299997</v>
      </c>
      <c r="AR34" s="17">
        <f>IF(AR$3="","",IF(AND(DivAs=2,AR$2&lt;ExDivPct),ExDivTree!AR34+DivAmount*EXP(IntRate*(AR$2-ExDivPct)),ExDivTree!AR34))</f>
        <v>50.806094242999997</v>
      </c>
      <c r="AS34" s="17">
        <f>IF(AS$3="","",IF(AND(DivAs=2,AS$2&lt;ExDivPct),ExDivTree!AS34+DivAmount*EXP(IntRate*(AS$2-ExDivPct)),ExDivTree!AS34))</f>
        <v>52.344124794400003</v>
      </c>
      <c r="AT34" s="17">
        <f>IF(AT$3="","",IF(AND(DivAs=2,AT$2&lt;ExDivPct),ExDivTree!AT34+DivAmount*EXP(IntRate*(AT$2-ExDivPct)),ExDivTree!AT34))</f>
        <v>53.9287154684</v>
      </c>
      <c r="AU34" s="17">
        <f>IF(AU$3="","",IF(AND(DivAs=2,AU$2&lt;ExDivPct),ExDivTree!AU34+DivAmount*EXP(IntRate*(AU$2-ExDivPct)),ExDivTree!AU34))</f>
        <v>55.561275759099999</v>
      </c>
      <c r="AV34" s="17">
        <f>IF(AV$3="","",IF(AND(DivAs=2,AV$2&lt;ExDivPct),ExDivTree!AV34+DivAmount*EXP(IntRate*(AV$2-ExDivPct)),ExDivTree!AV34))</f>
        <v>57.243257829699999</v>
      </c>
      <c r="AW34" s="17">
        <f>IF(AW$3="","",IF(AND(DivAs=2,AW$2&lt;ExDivPct),ExDivTree!AW34+DivAmount*EXP(IntRate*(AW$2-ExDivPct)),ExDivTree!AW34))</f>
        <v>58.976157803900001</v>
      </c>
      <c r="AX34" s="17">
        <f>IF(AX$3="","",IF(AND(DivAs=2,AX$2&lt;ExDivPct),ExDivTree!AX34+DivAmount*EXP(IntRate*(AX$2-ExDivPct)),ExDivTree!AX34))</f>
        <v>60.761517097099997</v>
      </c>
      <c r="AY34" s="17">
        <f>IF(AY$3="","",IF(AND(DivAs=2,AY$2&lt;ExDivPct),ExDivTree!AY34+DivAmount*EXP(IntRate*(AY$2-ExDivPct)),ExDivTree!AY34))</f>
        <v>62.600923787100001</v>
      </c>
      <c r="AZ34" s="17">
        <f>IF(AZ$3="","",IF(AND(DivAs=2,AZ$2&lt;ExDivPct),ExDivTree!AZ34+DivAmount*EXP(IntRate*(AZ$2-ExDivPct)),ExDivTree!AZ34))</f>
        <v>64.496014027100003</v>
      </c>
      <c r="BA34" s="17">
        <f>IF(BA$3="","",IF(AND(DivAs=2,BA$2&lt;ExDivPct),ExDivTree!BA34+DivAmount*EXP(IntRate*(BA$2-ExDivPct)),ExDivTree!BA34))</f>
        <v>66.448473500600002</v>
      </c>
      <c r="BB34" s="17">
        <f>IF(BB$3="","",IF(AND(DivAs=2,BB$2&lt;ExDivPct),ExDivTree!BB34+DivAmount*EXP(IntRate*(BB$2-ExDivPct)),ExDivTree!BB34))</f>
        <v>68.460038921299997</v>
      </c>
      <c r="BC34" s="17">
        <f>IF(BC$3="","",IF(AND(DivAs=2,BC$2&lt;ExDivPct),ExDivTree!BC34+DivAmount*EXP(IntRate*(BC$2-ExDivPct)),ExDivTree!BC34))</f>
        <v>70.532499577500005</v>
      </c>
      <c r="BD34" s="17">
        <f>IF(BD$3="","",IF(AND(DivAs=2,BD$2&lt;ExDivPct),ExDivTree!BD34+DivAmount*EXP(IntRate*(BD$2-ExDivPct)),ExDivTree!BD34))</f>
        <v>72.667698923800003</v>
      </c>
      <c r="BE34" s="17">
        <f>IF(BE$3="","",IF(AND(DivAs=2,BE$2&lt;ExDivPct),ExDivTree!BE34+DivAmount*EXP(IntRate*(BE$2-ExDivPct)),ExDivTree!BE34))</f>
        <v>74.867536221099996</v>
      </c>
      <c r="BF34" s="17">
        <f>IF(BF$3="","",IF(AND(DivAs=2,BF$2&lt;ExDivPct),ExDivTree!BF34+DivAmount*EXP(IntRate*(BF$2-ExDivPct)),ExDivTree!BF34))</f>
        <v>77.1339682256</v>
      </c>
      <c r="BG34" s="17">
        <f>IF(BG$3="","",IF(AND(DivAs=2,BG$2&lt;ExDivPct),ExDivTree!BG34+DivAmount*EXP(IntRate*(BG$2-ExDivPct)),ExDivTree!BG34))</f>
        <v>79.469010929600003</v>
      </c>
      <c r="BH34" s="17">
        <f>IF(BH$3="","",IF(AND(DivAs=2,BH$2&lt;ExDivPct),ExDivTree!BH34+DivAmount*EXP(IntRate*(BH$2-ExDivPct)),ExDivTree!BH34))</f>
        <v>81.874741354700006</v>
      </c>
      <c r="BI34" s="17">
        <f>IF(BI$3="","",IF(AND(DivAs=2,BI$2&lt;ExDivPct),ExDivTree!BI34+DivAmount*EXP(IntRate*(BI$2-ExDivPct)),ExDivTree!BI34))</f>
        <v>84.353299399099996</v>
      </c>
      <c r="BJ34" s="17">
        <f>IF(BJ$3="","",IF(AND(DivAs=2,BJ$2&lt;ExDivPct),ExDivTree!BJ34+DivAmount*EXP(IntRate*(BJ$2-ExDivPct)),ExDivTree!BJ34))</f>
        <v>86.906889741399993</v>
      </c>
      <c r="BK34" s="17">
        <f>IF(BK$3="","",IF(AND(DivAs=2,BK$2&lt;ExDivPct),ExDivTree!BK34+DivAmount*EXP(IntRate*(BK$2-ExDivPct)),ExDivTree!BK34))</f>
        <v>89.537783801299994</v>
      </c>
      <c r="BL34" s="17">
        <f>IF(BL$3="","",IF(AND(DivAs=2,BL$2&lt;ExDivPct),ExDivTree!BL34+DivAmount*EXP(IntRate*(BL$2-ExDivPct)),ExDivTree!BL34))</f>
        <v>92.248321760300001</v>
      </c>
      <c r="BM34" s="17">
        <f>IF(BM$3="","",IF(AND(DivAs=2,BM$2&lt;ExDivPct),ExDivTree!BM34+DivAmount*EXP(IntRate*(BM$2-ExDivPct)),ExDivTree!BM34))</f>
        <v>95.040914643099995</v>
      </c>
      <c r="BN34" s="17">
        <f>IF(BN$3="","",IF(AND(DivAs=2,BN$2&lt;ExDivPct),ExDivTree!BN34+DivAmount*EXP(IntRate*(BN$2-ExDivPct)),ExDivTree!BN34))</f>
        <v>97.918046462299998</v>
      </c>
      <c r="BO34" s="17">
        <f>IF(BO$3="","",IF(AND(DivAs=2,BO$2&lt;ExDivPct),ExDivTree!BO34+DivAmount*EXP(IntRate*(BO$2-ExDivPct)),ExDivTree!BO34))</f>
        <v>100.882276428</v>
      </c>
      <c r="BP34" s="17">
        <f>IF(BP$3="","",IF(AND(DivAs=2,BP$2&lt;ExDivPct),ExDivTree!BP34+DivAmount*EXP(IntRate*(BP$2-ExDivPct)),ExDivTree!BP34))</f>
        <v>103.936241224</v>
      </c>
      <c r="BQ34" s="17">
        <f>IF(BQ$3="","",IF(AND(DivAs=2,BQ$2&lt;ExDivPct),ExDivTree!BQ34+DivAmount*EXP(IntRate*(BQ$2-ExDivPct)),ExDivTree!BQ34))</f>
        <v>107.0826573535</v>
      </c>
      <c r="BR34" s="17">
        <f>IF(BR$3="","",IF(AND(DivAs=2,BR$2&lt;ExDivPct),ExDivTree!BR34+DivAmount*EXP(IntRate*(BR$2-ExDivPct)),ExDivTree!BR34))</f>
        <v>110.32432355500001</v>
      </c>
      <c r="BS34" s="17">
        <f>IF(BS$3="","",IF(AND(DivAs=2,BS$2&lt;ExDivPct),ExDivTree!BS34+DivAmount*EXP(IntRate*(BS$2-ExDivPct)),ExDivTree!BS34))</f>
        <v>113.664123292</v>
      </c>
      <c r="BT34" s="17">
        <f>IF(BT$3="","",IF(AND(DivAs=2,BT$2&lt;ExDivPct),ExDivTree!BT34+DivAmount*EXP(IntRate*(BT$2-ExDivPct)),ExDivTree!BT34))</f>
        <v>117.1050273179</v>
      </c>
      <c r="BU34" s="17">
        <f>IF(BU$3="","",IF(AND(DivAs=2,BU$2&lt;ExDivPct),ExDivTree!BU34+DivAmount*EXP(IntRate*(BU$2-ExDivPct)),ExDivTree!BU34))</f>
        <v>120.6500963184</v>
      </c>
      <c r="BV34" s="17">
        <f>IF(BV$3="","",IF(AND(DivAs=2,BV$2&lt;ExDivPct),ExDivTree!BV34+DivAmount*EXP(IntRate*(BV$2-ExDivPct)),ExDivTree!BV34))</f>
        <v>124.302483634</v>
      </c>
      <c r="BW34" s="17">
        <f>IF(BW$3="","",IF(AND(DivAs=2,BW$2&lt;ExDivPct),ExDivTree!BW34+DivAmount*EXP(IntRate*(BW$2-ExDivPct)),ExDivTree!BW34))</f>
        <v>128.06543806490001</v>
      </c>
      <c r="BX34" s="17">
        <f>IF(BX$3="","",IF(AND(DivAs=2,BX$2&lt;ExDivPct),ExDivTree!BX34+DivAmount*EXP(IntRate*(BX$2-ExDivPct)),ExDivTree!BX34))</f>
        <v>131.94230676070001</v>
      </c>
      <c r="BY34" s="17">
        <f>IF(BY$3="","",IF(AND(DivAs=2,BY$2&lt;ExDivPct),ExDivTree!BY34+DivAmount*EXP(IntRate*(BY$2-ExDivPct)),ExDivTree!BY34))</f>
        <v>135.93653819779999</v>
      </c>
      <c r="BZ34" s="17">
        <f>IF(BZ$3="","",IF(AND(DivAs=2,BZ$2&lt;ExDivPct),ExDivTree!BZ34+DivAmount*EXP(IntRate*(BZ$2-ExDivPct)),ExDivTree!BZ34))</f>
        <v>140.05168524690001</v>
      </c>
      <c r="CA34" s="17">
        <f>IF(CA$3="","",IF(AND(DivAs=2,CA$2&lt;ExDivPct),ExDivTree!CA34+DivAmount*EXP(IntRate*(CA$2-ExDivPct)),ExDivTree!CA34))</f>
        <v>144.2914083332</v>
      </c>
      <c r="CB34" s="17">
        <f>IF(CB$3="","",IF(AND(DivAs=2,CB$2&lt;ExDivPct),ExDivTree!CB34+DivAmount*EXP(IntRate*(CB$2-ExDivPct)),ExDivTree!CB34))</f>
        <v>148.65947869230001</v>
      </c>
      <c r="CC34" s="17">
        <f>IF(CC$3="","",IF(AND(DivAs=2,CC$2&lt;ExDivPct),ExDivTree!CC34+DivAmount*EXP(IntRate*(CC$2-ExDivPct)),ExDivTree!CC34))</f>
        <v>153.1597817247</v>
      </c>
      <c r="CD34" s="17">
        <f>IF(CD$3="","",IF(AND(DivAs=2,CD$2&lt;ExDivPct),ExDivTree!CD34+DivAmount*EXP(IntRate*(CD$2-ExDivPct)),ExDivTree!CD34))</f>
        <v>157.796320452</v>
      </c>
      <c r="CE34" s="17">
        <f>IF(CE$3="","",IF(AND(DivAs=2,CE$2&lt;ExDivPct),ExDivTree!CE34+DivAmount*EXP(IntRate*(CE$2-ExDivPct)),ExDivTree!CE34))</f>
        <v>162.5732190775</v>
      </c>
      <c r="CF34" s="17">
        <f>IF(CF$3="","",IF(AND(DivAs=2,CF$2&lt;ExDivPct),ExDivTree!CF34+DivAmount*EXP(IntRate*(CF$2-ExDivPct)),ExDivTree!CF34))</f>
        <v>167.4947266547</v>
      </c>
      <c r="CG34" s="17">
        <f>IF(CG$3="","",IF(AND(DivAs=2,CG$2&lt;ExDivPct),ExDivTree!CG34+DivAmount*EXP(IntRate*(CG$2-ExDivPct)),ExDivTree!CG34))</f>
        <v>172.5652208667</v>
      </c>
      <c r="CH34" s="17">
        <f>IF(CH$3="","",IF(AND(DivAs=2,CH$2&lt;ExDivPct),ExDivTree!CH34+DivAmount*EXP(IntRate*(CH$2-ExDivPct)),ExDivTree!CH34))</f>
        <v>177.78921192050001</v>
      </c>
      <c r="CI34" s="17">
        <f>IF(CI$3="","",IF(AND(DivAs=2,CI$2&lt;ExDivPct),ExDivTree!CI34+DivAmount*EXP(IntRate*(CI$2-ExDivPct)),ExDivTree!CI34))</f>
        <v>183.17134655850001</v>
      </c>
      <c r="CJ34" s="17">
        <f>IF(CJ$3="","",IF(AND(DivAs=2,CJ$2&lt;ExDivPct),ExDivTree!CJ34+DivAmount*EXP(IntRate*(CJ$2-ExDivPct)),ExDivTree!CJ34))</f>
        <v>188.7164121918</v>
      </c>
      <c r="CK34" s="17">
        <f>IF(CK$3="","",IF(AND(DivAs=2,CK$2&lt;ExDivPct),ExDivTree!CK34+DivAmount*EXP(IntRate*(CK$2-ExDivPct)),ExDivTree!CK34))</f>
        <v>194.4293411589</v>
      </c>
      <c r="CL34" s="17">
        <f>IF(CL$3="","",IF(AND(DivAs=2,CL$2&lt;ExDivPct),ExDivTree!CL34+DivAmount*EXP(IntRate*(CL$2-ExDivPct)),ExDivTree!CL34))</f>
        <v>200.31521511259999</v>
      </c>
      <c r="CM34" s="17">
        <f>IF(CM$3="","",IF(AND(DivAs=2,CM$2&lt;ExDivPct),ExDivTree!CM34+DivAmount*EXP(IntRate*(CM$2-ExDivPct)),ExDivTree!CM34))</f>
        <v>206.37926954049999</v>
      </c>
      <c r="CN34" s="17">
        <f>IF(CN$3="","",IF(AND(DivAs=2,CN$2&lt;ExDivPct),ExDivTree!CN34+DivAmount*EXP(IntRate*(CN$2-ExDivPct)),ExDivTree!CN34))</f>
        <v>212.62689842169999</v>
      </c>
      <c r="CO34" s="17">
        <f>IF(CO$3="","",IF(AND(DivAs=2,CO$2&lt;ExDivPct),ExDivTree!CO34+DivAmount*EXP(IntRate*(CO$2-ExDivPct)),ExDivTree!CO34))</f>
        <v>219.06365902490001</v>
      </c>
      <c r="CP34" s="17">
        <f>IF(CP$3="","",IF(AND(DivAs=2,CP$2&lt;ExDivPct),ExDivTree!CP34+DivAmount*EXP(IntRate*(CP$2-ExDivPct)),ExDivTree!CP34))</f>
        <v>225.6952768516</v>
      </c>
      <c r="CQ34" s="17">
        <f>IF(CQ$3="","",IF(AND(DivAs=2,CQ$2&lt;ExDivPct),ExDivTree!CQ34+DivAmount*EXP(IntRate*(CQ$2-ExDivPct)),ExDivTree!CQ34))</f>
        <v>232.52765072880001</v>
      </c>
      <c r="CR34" s="17">
        <f>IF(CR$3="","",IF(AND(DivAs=2,CR$2&lt;ExDivPct),ExDivTree!CR34+DivAmount*EXP(IntRate*(CR$2-ExDivPct)),ExDivTree!CR34))</f>
        <v>239.5668580562</v>
      </c>
      <c r="CS34" s="17">
        <f>IF(CS$3="","",IF(AND(DivAs=2,CS$2&lt;ExDivPct),ExDivTree!CS34+DivAmount*EXP(IntRate*(CS$2-ExDivPct)),ExDivTree!CS34))</f>
        <v>246.81916021180001</v>
      </c>
      <c r="CT34" s="17">
        <f>IF(CT$3="","",IF(AND(DivAs=2,CT$2&lt;ExDivPct),ExDivTree!CT34+DivAmount*EXP(IntRate*(CT$2-ExDivPct)),ExDivTree!CT34))</f>
        <v>254.2910081217</v>
      </c>
      <c r="CU34" s="17">
        <f>IF(CU$3="","",IF(AND(DivAs=2,CU$2&lt;ExDivPct),ExDivTree!CU34+DivAmount*EXP(IntRate*(CU$2-ExDivPct)),ExDivTree!CU34))</f>
        <v>261.98904799799999</v>
      </c>
      <c r="CV34" s="17">
        <f>IF(CV$3="","",IF(AND(DivAs=2,CV$2&lt;ExDivPct),ExDivTree!CV34+DivAmount*EXP(IntRate*(CV$2-ExDivPct)),ExDivTree!CV34))</f>
        <v>269.92012725059999</v>
      </c>
      <c r="CW34" s="17">
        <f>IF(CW$3="","",IF(AND(DivAs=2,CW$2&lt;ExDivPct),ExDivTree!CW34+DivAmount*EXP(IntRate*(CW$2-ExDivPct)),ExDivTree!CW34))</f>
        <v>278.0913005781</v>
      </c>
      <c r="CX34" s="17">
        <f>IF(CX$3="","",IF(AND(DivAs=2,CX$2&lt;ExDivPct),ExDivTree!CX34+DivAmount*EXP(IntRate*(CX$2-ExDivPct)),ExDivTree!CX34))</f>
        <v>286.50983624290001</v>
      </c>
      <c r="CY34" s="17">
        <f>IF(CY$3="","",IF(AND(DivAs=2,CY$2&lt;ExDivPct),ExDivTree!CY34+DivAmount*EXP(IntRate*(CY$2-ExDivPct)),ExDivTree!CY34))</f>
        <v>295.18322253619999</v>
      </c>
      <c r="CZ34" s="17">
        <f>IF(CZ$3="","",IF(AND(DivAs=2,CZ$2&lt;ExDivPct),ExDivTree!CZ34+DivAmount*EXP(IntRate*(CZ$2-ExDivPct)),ExDivTree!CZ34))</f>
        <v>304.11917443900001</v>
      </c>
      <c r="DA34" s="17">
        <f>IF(DA$3="","",IF(AND(DivAs=2,DA$2&lt;ExDivPct),ExDivTree!DA34+DivAmount*EXP(IntRate*(DA$2-ExDivPct)),ExDivTree!DA34))</f>
        <v>313.3256404846</v>
      </c>
      <c r="DB34" s="17">
        <f>IF(DB$3="","",IF(AND(DivAs=2,DB$2&lt;ExDivPct),ExDivTree!DB34+DivAmount*EXP(IntRate*(DB$2-ExDivPct)),ExDivTree!DB34))</f>
        <v>322.81080982869997</v>
      </c>
    </row>
    <row r="35" spans="1:106" x14ac:dyDescent="0.2">
      <c r="A35">
        <f>ExDivTree!A35</f>
        <v>9.5696978128474354E+25</v>
      </c>
      <c r="B35" s="71">
        <f>ExDivTree!B35</f>
        <v>3.7745802396671823E-5</v>
      </c>
      <c r="C35" s="71">
        <f>ExDivTree!C35</f>
        <v>4.1841489077291681E-5</v>
      </c>
      <c r="D35" s="177">
        <f>ExDivTree!D35</f>
        <v>31</v>
      </c>
      <c r="AJ35" s="17">
        <f>IF(AJ$3="","",IF(AND(DivAs=2,AJ$2&lt;ExDivPct),ExDivTree!AJ35+DivAmount*EXP(IntRate*(AJ$2-ExDivPct)),ExDivTree!AJ35))</f>
        <v>37.704808442199997</v>
      </c>
      <c r="AK35" s="17">
        <f>IF(AK$3="","",IF(AND(DivAs=2,AK$2&lt;ExDivPct),ExDivTree!AK35+DivAmount*EXP(IntRate*(AK$2-ExDivPct)),ExDivTree!AK35))</f>
        <v>38.846229529200002</v>
      </c>
      <c r="AL35" s="17">
        <f>IF(AL$3="","",IF(AND(DivAs=2,AL$2&lt;ExDivPct),ExDivTree!AL35+DivAmount*EXP(IntRate*(AL$2-ExDivPct)),ExDivTree!AL35))</f>
        <v>40.022204354899998</v>
      </c>
      <c r="AM35" s="17">
        <f>IF(AM$3="","",IF(AND(DivAs=2,AM$2&lt;ExDivPct),ExDivTree!AM35+DivAmount*EXP(IntRate*(AM$2-ExDivPct)),ExDivTree!AM35))</f>
        <v>41.233778949399998</v>
      </c>
      <c r="AN35" s="17">
        <f>IF(AN$3="","",IF(AND(DivAs=2,AN$2&lt;ExDivPct),ExDivTree!AN35+DivAmount*EXP(IntRate*(AN$2-ExDivPct)),ExDivTree!AN35))</f>
        <v>42.482031008900002</v>
      </c>
      <c r="AO35" s="17">
        <f>IF(AO$3="","",IF(AND(DivAs=2,AO$2&lt;ExDivPct),ExDivTree!AO35+DivAmount*EXP(IntRate*(AO$2-ExDivPct)),ExDivTree!AO35))</f>
        <v>43.768070854100003</v>
      </c>
      <c r="AP35" s="17">
        <f>IF(AP$3="","",IF(AND(DivAs=2,AP$2&lt;ExDivPct),ExDivTree!AP35+DivAmount*EXP(IntRate*(AP$2-ExDivPct)),ExDivTree!AP35))</f>
        <v>45.093042418099998</v>
      </c>
      <c r="AQ35" s="17">
        <f>IF(AQ$3="","",IF(AND(DivAs=2,AQ$2&lt;ExDivPct),ExDivTree!AQ35+DivAmount*EXP(IntRate*(AQ$2-ExDivPct)),ExDivTree!AQ35))</f>
        <v>46.4581242637</v>
      </c>
      <c r="AR35" s="17">
        <f>IF(AR$3="","",IF(AND(DivAs=2,AR$2&lt;ExDivPct),ExDivTree!AR35+DivAmount*EXP(IntRate*(AR$2-ExDivPct)),ExDivTree!AR35))</f>
        <v>47.864530631699999</v>
      </c>
      <c r="AS35" s="17">
        <f>IF(AS$3="","",IF(AND(DivAs=2,AS$2&lt;ExDivPct),ExDivTree!AS35+DivAmount*EXP(IntRate*(AS$2-ExDivPct)),ExDivTree!AS35))</f>
        <v>49.313512521299998</v>
      </c>
      <c r="AT35" s="17">
        <f>IF(AT$3="","",IF(AND(DivAs=2,AT$2&lt;ExDivPct),ExDivTree!AT35+DivAmount*EXP(IntRate*(AT$2-ExDivPct)),ExDivTree!AT35))</f>
        <v>50.8063588025</v>
      </c>
      <c r="AU35" s="17">
        <f>IF(AU$3="","",IF(AND(DivAs=2,AU$2&lt;ExDivPct),ExDivTree!AU35+DivAmount*EXP(IntRate*(AU$2-ExDivPct)),ExDivTree!AU35))</f>
        <v>52.344397362800002</v>
      </c>
      <c r="AV35" s="17">
        <f>IF(AV$3="","",IF(AND(DivAs=2,AV$2&lt;ExDivPct),ExDivTree!AV35+DivAmount*EXP(IntRate*(AV$2-ExDivPct)),ExDivTree!AV35))</f>
        <v>53.928996288199997</v>
      </c>
      <c r="AW35" s="17">
        <f>IF(AW$3="","",IF(AND(DivAs=2,AW$2&lt;ExDivPct),ExDivTree!AW35+DivAmount*EXP(IntRate*(AW$2-ExDivPct)),ExDivTree!AW35))</f>
        <v>55.561565080100003</v>
      </c>
      <c r="AX35" s="17">
        <f>IF(AX$3="","",IF(AND(DivAs=2,AX$2&lt;ExDivPct),ExDivTree!AX35+DivAmount*EXP(IntRate*(AX$2-ExDivPct)),ExDivTree!AX35))</f>
        <v>57.243555909199998</v>
      </c>
      <c r="AY35" s="17">
        <f>IF(AY$3="","",IF(AND(DivAs=2,AY$2&lt;ExDivPct),ExDivTree!AY35+DivAmount*EXP(IntRate*(AY$2-ExDivPct)),ExDivTree!AY35))</f>
        <v>58.976464907100002</v>
      </c>
      <c r="AZ35" s="17">
        <f>IF(AZ$3="","",IF(AND(DivAs=2,AZ$2&lt;ExDivPct),ExDivTree!AZ35+DivAmount*EXP(IntRate*(AZ$2-ExDivPct)),ExDivTree!AZ35))</f>
        <v>60.7618334971</v>
      </c>
      <c r="BA35" s="17">
        <f>IF(BA$3="","",IF(AND(DivAs=2,BA$2&lt;ExDivPct),ExDivTree!BA35+DivAmount*EXP(IntRate*(BA$2-ExDivPct)),ExDivTree!BA35))</f>
        <v>62.601249765399999</v>
      </c>
      <c r="BB35" s="17">
        <f>IF(BB$3="","",IF(AND(DivAs=2,BB$2&lt;ExDivPct),ExDivTree!BB35+DivAmount*EXP(IntRate*(BB$2-ExDivPct)),ExDivTree!BB35))</f>
        <v>64.496349873599996</v>
      </c>
      <c r="BC35" s="17">
        <f>IF(BC$3="","",IF(AND(DivAs=2,BC$2&lt;ExDivPct),ExDivTree!BC35+DivAmount*EXP(IntRate*(BC$2-ExDivPct)),ExDivTree!BC35))</f>
        <v>66.448819514099995</v>
      </c>
      <c r="BD35" s="17">
        <f>IF(BD$3="","",IF(AND(DivAs=2,BD$2&lt;ExDivPct),ExDivTree!BD35+DivAmount*EXP(IntRate*(BD$2-ExDivPct)),ExDivTree!BD35))</f>
        <v>68.460395409499995</v>
      </c>
      <c r="BE35" s="17">
        <f>IF(BE$3="","",IF(AND(DivAs=2,BE$2&lt;ExDivPct),ExDivTree!BE35+DivAmount*EXP(IntRate*(BE$2-ExDivPct)),ExDivTree!BE35))</f>
        <v>70.532866857499997</v>
      </c>
      <c r="BF35" s="17">
        <f>IF(BF$3="","",IF(AND(DivAs=2,BF$2&lt;ExDivPct),ExDivTree!BF35+DivAmount*EXP(IntRate*(BF$2-ExDivPct)),ExDivTree!BF35))</f>
        <v>72.668077322299993</v>
      </c>
      <c r="BG35" s="17">
        <f>IF(BG$3="","",IF(AND(DivAs=2,BG$2&lt;ExDivPct),ExDivTree!BG35+DivAmount*EXP(IntRate*(BG$2-ExDivPct)),ExDivTree!BG35))</f>
        <v>74.867926074699994</v>
      </c>
      <c r="BH35" s="17">
        <f>IF(BH$3="","",IF(AND(DivAs=2,BH$2&lt;ExDivPct),ExDivTree!BH35+DivAmount*EXP(IntRate*(BH$2-ExDivPct)),ExDivTree!BH35))</f>
        <v>77.1343698811</v>
      </c>
      <c r="BI35" s="17">
        <f>IF(BI$3="","",IF(AND(DivAs=2,BI$2&lt;ExDivPct),ExDivTree!BI35+DivAmount*EXP(IntRate*(BI$2-ExDivPct)),ExDivTree!BI35))</f>
        <v>79.469424744299999</v>
      </c>
      <c r="BJ35" s="17">
        <f>IF(BJ$3="","",IF(AND(DivAs=2,BJ$2&lt;ExDivPct),ExDivTree!BJ35+DivAmount*EXP(IntRate*(BJ$2-ExDivPct)),ExDivTree!BJ35))</f>
        <v>81.875167696600002</v>
      </c>
      <c r="BK35" s="17">
        <f>IF(BK$3="","",IF(AND(DivAs=2,BK$2&lt;ExDivPct),ExDivTree!BK35+DivAmount*EXP(IntRate*(BK$2-ExDivPct)),ExDivTree!BK35))</f>
        <v>84.353738647499995</v>
      </c>
      <c r="BL35" s="17">
        <f>IF(BL$3="","",IF(AND(DivAs=2,BL$2&lt;ExDivPct),ExDivTree!BL35+DivAmount*EXP(IntRate*(BL$2-ExDivPct)),ExDivTree!BL35))</f>
        <v>86.907342287000006</v>
      </c>
      <c r="BM35" s="17">
        <f>IF(BM$3="","",IF(AND(DivAs=2,BM$2&lt;ExDivPct),ExDivTree!BM35+DivAmount*EXP(IntRate*(BM$2-ExDivPct)),ExDivTree!BM35))</f>
        <v>89.538250046599998</v>
      </c>
      <c r="BN35" s="17">
        <f>IF(BN$3="","",IF(AND(DivAs=2,BN$2&lt;ExDivPct),ExDivTree!BN35+DivAmount*EXP(IntRate*(BN$2-ExDivPct)),ExDivTree!BN35))</f>
        <v>92.248802119999993</v>
      </c>
      <c r="BO35" s="17">
        <f>IF(BO$3="","",IF(AND(DivAs=2,BO$2&lt;ExDivPct),ExDivTree!BO35+DivAmount*EXP(IntRate*(BO$2-ExDivPct)),ExDivTree!BO35))</f>
        <v>95.041409544499999</v>
      </c>
      <c r="BP35" s="17">
        <f>IF(BP$3="","",IF(AND(DivAs=2,BP$2&lt;ExDivPct),ExDivTree!BP35+DivAmount*EXP(IntRate*(BP$2-ExDivPct)),ExDivTree!BP35))</f>
        <v>97.918556345599995</v>
      </c>
      <c r="BQ35" s="17">
        <f>IF(BQ$3="","",IF(AND(DivAs=2,BQ$2&lt;ExDivPct),ExDivTree!BQ35+DivAmount*EXP(IntRate*(BQ$2-ExDivPct)),ExDivTree!BQ35))</f>
        <v>100.8828017467</v>
      </c>
      <c r="BR35" s="17">
        <f>IF(BR$3="","",IF(AND(DivAs=2,BR$2&lt;ExDivPct),ExDivTree!BR35+DivAmount*EXP(IntRate*(BR$2-ExDivPct)),ExDivTree!BR35))</f>
        <v>103.9367824455</v>
      </c>
      <c r="BS35" s="17">
        <f>IF(BS$3="","",IF(AND(DivAs=2,BS$2&lt;ExDivPct),ExDivTree!BS35+DivAmount*EXP(IntRate*(BS$2-ExDivPct)),ExDivTree!BS35))</f>
        <v>107.0832149591</v>
      </c>
      <c r="BT35" s="17">
        <f>IF(BT$3="","",IF(AND(DivAs=2,BT$2&lt;ExDivPct),ExDivTree!BT35+DivAmount*EXP(IntRate*(BT$2-ExDivPct)),ExDivTree!BT35))</f>
        <v>110.32489804070001</v>
      </c>
      <c r="BU35" s="17">
        <f>IF(BU$3="","",IF(AND(DivAs=2,BU$2&lt;ExDivPct),ExDivTree!BU35+DivAmount*EXP(IntRate*(BU$2-ExDivPct)),ExDivTree!BU35))</f>
        <v>113.6647151689</v>
      </c>
      <c r="BV35" s="17">
        <f>IF(BV$3="","",IF(AND(DivAs=2,BV$2&lt;ExDivPct),ExDivTree!BV35+DivAmount*EXP(IntRate*(BV$2-ExDivPct)),ExDivTree!BV35))</f>
        <v>117.10563711250001</v>
      </c>
      <c r="BW35" s="17">
        <f>IF(BW$3="","",IF(AND(DivAs=2,BW$2&lt;ExDivPct),ExDivTree!BW35+DivAmount*EXP(IntRate*(BW$2-ExDivPct)),ExDivTree!BW35))</f>
        <v>120.65072457310001</v>
      </c>
      <c r="BX35" s="17">
        <f>IF(BX$3="","",IF(AND(DivAs=2,BX$2&lt;ExDivPct),ExDivTree!BX35+DivAmount*EXP(IntRate*(BX$2-ExDivPct)),ExDivTree!BX35))</f>
        <v>124.30313090760001</v>
      </c>
      <c r="BY35" s="17">
        <f>IF(BY$3="","",IF(AND(DivAs=2,BY$2&lt;ExDivPct),ExDivTree!BY35+DivAmount*EXP(IntRate*(BY$2-ExDivPct)),ExDivTree!BY35))</f>
        <v>128.06610493310001</v>
      </c>
      <c r="BZ35" s="17">
        <f>IF(BZ$3="","",IF(AND(DivAs=2,BZ$2&lt;ExDivPct),ExDivTree!BZ35+DivAmount*EXP(IntRate*(BZ$2-ExDivPct)),ExDivTree!BZ35))</f>
        <v>131.94299381670001</v>
      </c>
      <c r="CA35" s="17">
        <f>IF(CA$3="","",IF(AND(DivAs=2,CA$2&lt;ExDivPct),ExDivTree!CA35+DivAmount*EXP(IntRate*(CA$2-ExDivPct)),ExDivTree!CA35))</f>
        <v>135.93724605279999</v>
      </c>
      <c r="CB35" s="17">
        <f>IF(CB$3="","",IF(AND(DivAs=2,CB$2&lt;ExDivPct),ExDivTree!CB35+DivAmount*EXP(IntRate*(CB$2-ExDivPct)),ExDivTree!CB35))</f>
        <v>140.05241453049999</v>
      </c>
      <c r="CC35" s="17">
        <f>IF(CC$3="","",IF(AND(DivAs=2,CC$2&lt;ExDivPct),ExDivTree!CC35+DivAmount*EXP(IntRate*(CC$2-ExDivPct)),ExDivTree!CC35))</f>
        <v>144.29215969410001</v>
      </c>
      <c r="CD35" s="17">
        <f>IF(CD$3="","",IF(AND(DivAs=2,CD$2&lt;ExDivPct),ExDivTree!CD35+DivAmount*EXP(IntRate*(CD$2-ExDivPct)),ExDivTree!CD35))</f>
        <v>148.6602527988</v>
      </c>
      <c r="CE35" s="17">
        <f>IF(CE$3="","",IF(AND(DivAs=2,CE$2&lt;ExDivPct),ExDivTree!CE35+DivAmount*EXP(IntRate*(CE$2-ExDivPct)),ExDivTree!CE35))</f>
        <v>153.1605792654</v>
      </c>
      <c r="CF35" s="17">
        <f>IF(CF$3="","",IF(AND(DivAs=2,CF$2&lt;ExDivPct),ExDivTree!CF35+DivAmount*EXP(IntRate*(CF$2-ExDivPct)),ExDivTree!CF35))</f>
        <v>157.79714213630001</v>
      </c>
      <c r="CG35" s="17">
        <f>IF(CG$3="","",IF(AND(DivAs=2,CG$2&lt;ExDivPct),ExDivTree!CG35+DivAmount*EXP(IntRate*(CG$2-ExDivPct)),ExDivTree!CG35))</f>
        <v>162.57406563629999</v>
      </c>
      <c r="CH35" s="17">
        <f>IF(CH$3="","",IF(AND(DivAs=2,CH$2&lt;ExDivPct),ExDivTree!CH35+DivAmount*EXP(IntRate*(CH$2-ExDivPct)),ExDivTree!CH35))</f>
        <v>167.495598841</v>
      </c>
      <c r="CI35" s="17">
        <f>IF(CI$3="","",IF(AND(DivAs=2,CI$2&lt;ExDivPct),ExDivTree!CI35+DivAmount*EXP(IntRate*(CI$2-ExDivPct)),ExDivTree!CI35))</f>
        <v>172.5661194564</v>
      </c>
      <c r="CJ35" s="17">
        <f>IF(CJ$3="","",IF(AND(DivAs=2,CJ$2&lt;ExDivPct),ExDivTree!CJ35+DivAmount*EXP(IntRate*(CJ$2-ExDivPct)),ExDivTree!CJ35))</f>
        <v>177.7901377128</v>
      </c>
      <c r="CK35" s="17">
        <f>IF(CK$3="","",IF(AND(DivAs=2,CK$2&lt;ExDivPct),ExDivTree!CK35+DivAmount*EXP(IntRate*(CK$2-ExDivPct)),ExDivTree!CK35))</f>
        <v>183.17230037690001</v>
      </c>
      <c r="CL35" s="17">
        <f>IF(CL$3="","",IF(AND(DivAs=2,CL$2&lt;ExDivPct),ExDivTree!CL35+DivAmount*EXP(IntRate*(CL$2-ExDivPct)),ExDivTree!CL35))</f>
        <v>188.7173948848</v>
      </c>
      <c r="CM35" s="17">
        <f>IF(CM$3="","",IF(AND(DivAs=2,CM$2&lt;ExDivPct),ExDivTree!CM35+DivAmount*EXP(IntRate*(CM$2-ExDivPct)),ExDivTree!CM35))</f>
        <v>194.43035360050001</v>
      </c>
      <c r="CN35" s="17">
        <f>IF(CN$3="","",IF(AND(DivAs=2,CN$2&lt;ExDivPct),ExDivTree!CN35+DivAmount*EXP(IntRate*(CN$2-ExDivPct)),ExDivTree!CN35))</f>
        <v>200.3162582034</v>
      </c>
      <c r="CO35" s="17">
        <f>IF(CO$3="","",IF(AND(DivAs=2,CO$2&lt;ExDivPct),ExDivTree!CO35+DivAmount*EXP(IntRate*(CO$2-ExDivPct)),ExDivTree!CO35))</f>
        <v>206.38034420829999</v>
      </c>
      <c r="CP35" s="17">
        <f>IF(CP$3="","",IF(AND(DivAs=2,CP$2&lt;ExDivPct),ExDivTree!CP35+DivAmount*EXP(IntRate*(CP$2-ExDivPct)),ExDivTree!CP35))</f>
        <v>212.6280056224</v>
      </c>
      <c r="CQ35" s="17">
        <f>IF(CQ$3="","",IF(AND(DivAs=2,CQ$2&lt;ExDivPct),ExDivTree!CQ35+DivAmount*EXP(IntRate*(CQ$2-ExDivPct)),ExDivTree!CQ35))</f>
        <v>219.06479974339999</v>
      </c>
      <c r="CR35" s="17">
        <f>IF(CR$3="","",IF(AND(DivAs=2,CR$2&lt;ExDivPct),ExDivTree!CR35+DivAmount*EXP(IntRate*(CR$2-ExDivPct)),ExDivTree!CR35))</f>
        <v>225.69645210249999</v>
      </c>
      <c r="CS35" s="17">
        <f>IF(CS$3="","",IF(AND(DivAs=2,CS$2&lt;ExDivPct),ExDivTree!CS35+DivAmount*EXP(IntRate*(CS$2-ExDivPct)),ExDivTree!CS35))</f>
        <v>232.52886155749999</v>
      </c>
      <c r="CT35" s="17">
        <f>IF(CT$3="","",IF(AND(DivAs=2,CT$2&lt;ExDivPct),ExDivTree!CT35+DivAmount*EXP(IntRate*(CT$2-ExDivPct)),ExDivTree!CT35))</f>
        <v>239.56810553970001</v>
      </c>
      <c r="CU35" s="17">
        <f>IF(CU$3="","",IF(AND(DivAs=2,CU$2&lt;ExDivPct),ExDivTree!CU35+DivAmount*EXP(IntRate*(CU$2-ExDivPct)),ExDivTree!CU35))</f>
        <v>246.8204454598</v>
      </c>
      <c r="CV35" s="17">
        <f>IF(CV$3="","",IF(AND(DivAs=2,CV$2&lt;ExDivPct),ExDivTree!CV35+DivAmount*EXP(IntRate*(CV$2-ExDivPct)),ExDivTree!CV35))</f>
        <v>254.29233227750001</v>
      </c>
      <c r="CW35" s="17">
        <f>IF(CW$3="","",IF(AND(DivAs=2,CW$2&lt;ExDivPct),ExDivTree!CW35+DivAmount*EXP(IntRate*(CW$2-ExDivPct)),ExDivTree!CW35))</f>
        <v>261.99041223939997</v>
      </c>
      <c r="CX35" s="17">
        <f>IF(CX$3="","",IF(AND(DivAs=2,CX$2&lt;ExDivPct),ExDivTree!CX35+DivAmount*EXP(IntRate*(CX$2-ExDivPct)),ExDivTree!CX35))</f>
        <v>269.92153279109999</v>
      </c>
      <c r="CY35" s="17">
        <f>IF(CY$3="","",IF(AND(DivAs=2,CY$2&lt;ExDivPct),ExDivTree!CY35+DivAmount*EXP(IntRate*(CY$2-ExDivPct)),ExDivTree!CY35))</f>
        <v>278.09274866790003</v>
      </c>
      <c r="CZ35" s="17">
        <f>IF(CZ$3="","",IF(AND(DivAs=2,CZ$2&lt;ExDivPct),ExDivTree!CZ35+DivAmount*EXP(IntRate*(CZ$2-ExDivPct)),ExDivTree!CZ35))</f>
        <v>286.51132817000001</v>
      </c>
      <c r="DA35" s="17">
        <f>IF(DA$3="","",IF(AND(DivAs=2,DA$2&lt;ExDivPct),ExDivTree!DA35+DivAmount*EXP(IntRate*(DA$2-ExDivPct)),ExDivTree!DA35))</f>
        <v>295.18475962769998</v>
      </c>
      <c r="DB35" s="17">
        <f>IF(DB$3="","",IF(AND(DivAs=2,DB$2&lt;ExDivPct),ExDivTree!DB35+DivAmount*EXP(IntRate*(DB$2-ExDivPct)),ExDivTree!DB35))</f>
        <v>304.12075806220003</v>
      </c>
    </row>
    <row r="36" spans="1:106" x14ac:dyDescent="0.2">
      <c r="A36">
        <f>ExDivTree!A36</f>
        <v>2.093371396560375E+26</v>
      </c>
      <c r="B36" s="71">
        <f>ExDivTree!B36</f>
        <v>8.2568942742719555E-5</v>
      </c>
      <c r="C36" s="71">
        <f>ExDivTree!C36</f>
        <v>9.104435259700581E-5</v>
      </c>
      <c r="D36" s="177">
        <f>ExDivTree!D36</f>
        <v>32</v>
      </c>
      <c r="AK36" s="17">
        <f>IF(AK$3="","",IF(AND(DivAs=2,AK$2&lt;ExDivPct),ExDivTree!AK36+DivAmount*EXP(IntRate*(AK$2-ExDivPct)),ExDivTree!AK36))</f>
        <v>36.597116368599998</v>
      </c>
      <c r="AL36" s="17">
        <f>IF(AL$3="","",IF(AND(DivAs=2,AL$2&lt;ExDivPct),ExDivTree!AL36+DivAmount*EXP(IntRate*(AL$2-ExDivPct)),ExDivTree!AL36))</f>
        <v>37.705004780599999</v>
      </c>
      <c r="AM36" s="17">
        <f>IF(AM$3="","",IF(AND(DivAs=2,AM$2&lt;ExDivPct),ExDivTree!AM36+DivAmount*EXP(IntRate*(AM$2-ExDivPct)),ExDivTree!AM36))</f>
        <v>38.8464318113</v>
      </c>
      <c r="AN36" s="17">
        <f>IF(AN$3="","",IF(AND(DivAs=2,AN$2&lt;ExDivPct),ExDivTree!AN36+DivAmount*EXP(IntRate*(AN$2-ExDivPct)),ExDivTree!AN36))</f>
        <v>40.022412760599998</v>
      </c>
      <c r="AO36" s="17">
        <f>IF(AO$3="","",IF(AND(DivAs=2,AO$2&lt;ExDivPct),ExDivTree!AO36+DivAmount*EXP(IntRate*(AO$2-ExDivPct)),ExDivTree!AO36))</f>
        <v>41.233993664099998</v>
      </c>
      <c r="AP36" s="17">
        <f>IF(AP$3="","",IF(AND(DivAs=2,AP$2&lt;ExDivPct),ExDivTree!AP36+DivAmount*EXP(IntRate*(AP$2-ExDivPct)),ExDivTree!AP36))</f>
        <v>42.4822522236</v>
      </c>
      <c r="AQ36" s="17">
        <f>IF(AQ$3="","",IF(AND(DivAs=2,AQ$2&lt;ExDivPct),ExDivTree!AQ36+DivAmount*EXP(IntRate*(AQ$2-ExDivPct)),ExDivTree!AQ36))</f>
        <v>43.768298765600001</v>
      </c>
      <c r="AR36" s="17">
        <f>IF(AR$3="","",IF(AND(DivAs=2,AR$2&lt;ExDivPct),ExDivTree!AR36+DivAmount*EXP(IntRate*(AR$2-ExDivPct)),ExDivTree!AR36))</f>
        <v>45.093277229100003</v>
      </c>
      <c r="AS36" s="17">
        <f>IF(AS$3="","",IF(AND(DivAs=2,AS$2&lt;ExDivPct),ExDivTree!AS36+DivAmount*EXP(IntRate*(AS$2-ExDivPct)),ExDivTree!AS36))</f>
        <v>46.458366183000003</v>
      </c>
      <c r="AT36" s="17">
        <f>IF(AT$3="","",IF(AND(DivAs=2,AT$2&lt;ExDivPct),ExDivTree!AT36+DivAmount*EXP(IntRate*(AT$2-ExDivPct)),ExDivTree!AT36))</f>
        <v>47.864779874600003</v>
      </c>
      <c r="AU36" s="17">
        <f>IF(AU$3="","",IF(AND(DivAs=2,AU$2&lt;ExDivPct),ExDivTree!AU36+DivAmount*EXP(IntRate*(AU$2-ExDivPct)),ExDivTree!AU36))</f>
        <v>49.313769309400001</v>
      </c>
      <c r="AV36" s="17">
        <f>IF(AV$3="","",IF(AND(DivAs=2,AV$2&lt;ExDivPct),ExDivTree!AV36+DivAmount*EXP(IntRate*(AV$2-ExDivPct)),ExDivTree!AV36))</f>
        <v>50.806623364300002</v>
      </c>
      <c r="AW36" s="17">
        <f>IF(AW$3="","",IF(AND(DivAs=2,AW$2&lt;ExDivPct),ExDivTree!AW36+DivAmount*EXP(IntRate*(AW$2-ExDivPct)),ExDivTree!AW36))</f>
        <v>52.344669933600002</v>
      </c>
      <c r="AX36" s="17">
        <f>IF(AX$3="","",IF(AND(DivAs=2,AX$2&lt;ExDivPct),ExDivTree!AX36+DivAmount*EXP(IntRate*(AX$2-ExDivPct)),ExDivTree!AX36))</f>
        <v>53.929277110400001</v>
      </c>
      <c r="AY36" s="17">
        <f>IF(AY$3="","",IF(AND(DivAs=2,AY$2&lt;ExDivPct),ExDivTree!AY36+DivAmount*EXP(IntRate*(AY$2-ExDivPct)),ExDivTree!AY36))</f>
        <v>55.5618544035</v>
      </c>
      <c r="AZ36" s="17">
        <f>IF(AZ$3="","",IF(AND(DivAs=2,AZ$2&lt;ExDivPct),ExDivTree!AZ36+DivAmount*EXP(IntRate*(AZ$2-ExDivPct)),ExDivTree!AZ36))</f>
        <v>57.243853991100003</v>
      </c>
      <c r="BA36" s="17">
        <f>IF(BA$3="","",IF(AND(DivAs=2,BA$2&lt;ExDivPct),ExDivTree!BA36+DivAmount*EXP(IntRate*(BA$2-ExDivPct)),ExDivTree!BA36))</f>
        <v>58.976772012700003</v>
      </c>
      <c r="BB36" s="17">
        <f>IF(BB$3="","",IF(AND(DivAs=2,BB$2&lt;ExDivPct),ExDivTree!BB36+DivAmount*EXP(IntRate*(BB$2-ExDivPct)),ExDivTree!BB36))</f>
        <v>60.762149899599997</v>
      </c>
      <c r="BC36" s="17">
        <f>IF(BC$3="","",IF(AND(DivAs=2,BC$2&lt;ExDivPct),ExDivTree!BC36+DivAmount*EXP(IntRate*(BC$2-ExDivPct)),ExDivTree!BC36))</f>
        <v>62.601575746199998</v>
      </c>
      <c r="BD36" s="17">
        <f>IF(BD$3="","",IF(AND(DivAs=2,BD$2&lt;ExDivPct),ExDivTree!BD36+DivAmount*EXP(IntRate*(BD$2-ExDivPct)),ExDivTree!BD36))</f>
        <v>64.496685722699993</v>
      </c>
      <c r="BE36" s="17">
        <f>IF(BE$3="","",IF(AND(DivAs=2,BE$2&lt;ExDivPct),ExDivTree!BE36+DivAmount*EXP(IntRate*(BE$2-ExDivPct)),ExDivTree!BE36))</f>
        <v>66.449165530200005</v>
      </c>
      <c r="BF36" s="17">
        <f>IF(BF$3="","",IF(AND(DivAs=2,BF$2&lt;ExDivPct),ExDivTree!BF36+DivAmount*EXP(IntRate*(BF$2-ExDivPct)),ExDivTree!BF36))</f>
        <v>68.460751900399998</v>
      </c>
      <c r="BG36" s="17">
        <f>IF(BG$3="","",IF(AND(DivAs=2,BG$2&lt;ExDivPct),ExDivTree!BG36+DivAmount*EXP(IntRate*(BG$2-ExDivPct)),ExDivTree!BG36))</f>
        <v>70.533234140299996</v>
      </c>
      <c r="BH36" s="17">
        <f>IF(BH$3="","",IF(AND(DivAs=2,BH$2&lt;ExDivPct),ExDivTree!BH36+DivAmount*EXP(IntRate*(BH$2-ExDivPct)),ExDivTree!BH36))</f>
        <v>72.668455723700006</v>
      </c>
      <c r="BI36" s="17">
        <f>IF(BI$3="","",IF(AND(DivAs=2,BI$2&lt;ExDivPct),ExDivTree!BI36+DivAmount*EXP(IntRate*(BI$2-ExDivPct)),ExDivTree!BI36))</f>
        <v>74.868315931300003</v>
      </c>
      <c r="BJ36" s="17">
        <f>IF(BJ$3="","",IF(AND(DivAs=2,BJ$2&lt;ExDivPct),ExDivTree!BJ36+DivAmount*EXP(IntRate*(BJ$2-ExDivPct)),ExDivTree!BJ36))</f>
        <v>77.134771539599996</v>
      </c>
      <c r="BK36" s="17">
        <f>IF(BK$3="","",IF(AND(DivAs=2,BK$2&lt;ExDivPct),ExDivTree!BK36+DivAmount*EXP(IntRate*(BK$2-ExDivPct)),ExDivTree!BK36))</f>
        <v>79.469838562000007</v>
      </c>
      <c r="BL36" s="17">
        <f>IF(BL$3="","",IF(AND(DivAs=2,BL$2&lt;ExDivPct),ExDivTree!BL36+DivAmount*EXP(IntRate*(BL$2-ExDivPct)),ExDivTree!BL36))</f>
        <v>81.875594041599996</v>
      </c>
      <c r="BM36" s="17">
        <f>IF(BM$3="","",IF(AND(DivAs=2,BM$2&lt;ExDivPct),ExDivTree!BM36+DivAmount*EXP(IntRate*(BM$2-ExDivPct)),ExDivTree!BM36))</f>
        <v>84.354177899099994</v>
      </c>
      <c r="BN36" s="17">
        <f>IF(BN$3="","",IF(AND(DivAs=2,BN$2&lt;ExDivPct),ExDivTree!BN36+DivAmount*EXP(IntRate*(BN$2-ExDivPct)),ExDivTree!BN36))</f>
        <v>86.907794835800004</v>
      </c>
      <c r="BO36" s="17">
        <f>IF(BO$3="","",IF(AND(DivAs=2,BO$2&lt;ExDivPct),ExDivTree!BO36+DivAmount*EXP(IntRate*(BO$2-ExDivPct)),ExDivTree!BO36))</f>
        <v>89.538716295200004</v>
      </c>
      <c r="BP36" s="17">
        <f>IF(BP$3="","",IF(AND(DivAs=2,BP$2&lt;ExDivPct),ExDivTree!BP36+DivAmount*EXP(IntRate*(BP$2-ExDivPct)),ExDivTree!BP36))</f>
        <v>92.249282483100004</v>
      </c>
      <c r="BQ36" s="17">
        <f>IF(BQ$3="","",IF(AND(DivAs=2,BQ$2&lt;ExDivPct),ExDivTree!BQ36+DivAmount*EXP(IntRate*(BQ$2-ExDivPct)),ExDivTree!BQ36))</f>
        <v>95.041904449399993</v>
      </c>
      <c r="BR36" s="17">
        <f>IF(BR$3="","",IF(AND(DivAs=2,BR$2&lt;ExDivPct),ExDivTree!BR36+DivAmount*EXP(IntRate*(BR$2-ExDivPct)),ExDivTree!BR36))</f>
        <v>97.919066232600002</v>
      </c>
      <c r="BS36" s="17">
        <f>IF(BS$3="","",IF(AND(DivAs=2,BS$2&lt;ExDivPct),ExDivTree!BS36+DivAmount*EXP(IntRate*(BS$2-ExDivPct)),ExDivTree!BS36))</f>
        <v>100.88332706929999</v>
      </c>
      <c r="BT36" s="17">
        <f>IF(BT$3="","",IF(AND(DivAs=2,BT$2&lt;ExDivPct),ExDivTree!BT36+DivAmount*EXP(IntRate*(BT$2-ExDivPct)),ExDivTree!BT36))</f>
        <v>103.9373236709</v>
      </c>
      <c r="BU36" s="17">
        <f>IF(BU$3="","",IF(AND(DivAs=2,BU$2&lt;ExDivPct),ExDivTree!BU36+DivAmount*EXP(IntRate*(BU$2-ExDivPct)),ExDivTree!BU36))</f>
        <v>107.0837725688</v>
      </c>
      <c r="BV36" s="17">
        <f>IF(BV$3="","",IF(AND(DivAs=2,BV$2&lt;ExDivPct),ExDivTree!BV36+DivAmount*EXP(IntRate*(BV$2-ExDivPct)),ExDivTree!BV36))</f>
        <v>110.3254725307</v>
      </c>
      <c r="BW36" s="17">
        <f>IF(BW$3="","",IF(AND(DivAs=2,BW$2&lt;ExDivPct),ExDivTree!BW36+DivAmount*EXP(IntRate*(BW$2-ExDivPct)),ExDivTree!BW36))</f>
        <v>113.6653070502</v>
      </c>
      <c r="BX36" s="17">
        <f>IF(BX$3="","",IF(AND(DivAs=2,BX$2&lt;ExDivPct),ExDivTree!BX36+DivAmount*EXP(IntRate*(BX$2-ExDivPct)),ExDivTree!BX36))</f>
        <v>117.10624691149999</v>
      </c>
      <c r="BY36" s="17">
        <f>IF(BY$3="","",IF(AND(DivAs=2,BY$2&lt;ExDivPct),ExDivTree!BY36+DivAmount*EXP(IntRate*(BY$2-ExDivPct)),ExDivTree!BY36))</f>
        <v>120.65135283230001</v>
      </c>
      <c r="BZ36" s="17">
        <f>IF(BZ$3="","",IF(AND(DivAs=2,BZ$2&lt;ExDivPct),ExDivTree!BZ36+DivAmount*EXP(IntRate*(BZ$2-ExDivPct)),ExDivTree!BZ36))</f>
        <v>124.3037781858</v>
      </c>
      <c r="CA36" s="17">
        <f>IF(CA$3="","",IF(AND(DivAs=2,CA$2&lt;ExDivPct),ExDivTree!CA36+DivAmount*EXP(IntRate*(CA$2-ExDivPct)),ExDivTree!CA36))</f>
        <v>128.06677180599999</v>
      </c>
      <c r="CB36" s="17">
        <f>IF(CB$3="","",IF(AND(DivAs=2,CB$2&lt;ExDivPct),ExDivTree!CB36+DivAmount*EXP(IntRate*(CB$2-ExDivPct)),ExDivTree!CB36))</f>
        <v>131.94368087749999</v>
      </c>
      <c r="CC36" s="17">
        <f>IF(CC$3="","",IF(AND(DivAs=2,CC$2&lt;ExDivPct),ExDivTree!CC36+DivAmount*EXP(IntRate*(CC$2-ExDivPct)),ExDivTree!CC36))</f>
        <v>135.93795391259999</v>
      </c>
      <c r="CD36" s="17">
        <f>IF(CD$3="","",IF(AND(DivAs=2,CD$2&lt;ExDivPct),ExDivTree!CD36+DivAmount*EXP(IntRate*(CD$2-ExDivPct)),ExDivTree!CD36))</f>
        <v>140.05314381900001</v>
      </c>
      <c r="CE36" s="17">
        <f>IF(CE$3="","",IF(AND(DivAs=2,CE$2&lt;ExDivPct),ExDivTree!CE36+DivAmount*EXP(IntRate*(CE$2-ExDivPct)),ExDivTree!CE36))</f>
        <v>144.29291105999999</v>
      </c>
      <c r="CF36" s="17">
        <f>IF(CF$3="","",IF(AND(DivAs=2,CF$2&lt;ExDivPct),ExDivTree!CF36+DivAmount*EXP(IntRate*(CF$2-ExDivPct)),ExDivTree!CF36))</f>
        <v>148.6610269105</v>
      </c>
      <c r="CG36" s="17">
        <f>IF(CG$3="","",IF(AND(DivAs=2,CG$2&lt;ExDivPct),ExDivTree!CG36+DivAmount*EXP(IntRate*(CG$2-ExDivPct)),ExDivTree!CG36))</f>
        <v>153.1613768114</v>
      </c>
      <c r="CH36" s="17">
        <f>IF(CH$3="","",IF(AND(DivAs=2,CH$2&lt;ExDivPct),ExDivTree!CH36+DivAmount*EXP(IntRate*(CH$2-ExDivPct)),ExDivTree!CH36))</f>
        <v>157.79796382609999</v>
      </c>
      <c r="CI36" s="17">
        <f>IF(CI$3="","",IF(AND(DivAs=2,CI$2&lt;ExDivPct),ExDivTree!CI36+DivAmount*EXP(IntRate*(CI$2-ExDivPct)),ExDivTree!CI36))</f>
        <v>162.5749122007</v>
      </c>
      <c r="CJ36" s="17">
        <f>IF(CJ$3="","",IF(AND(DivAs=2,CJ$2&lt;ExDivPct),ExDivTree!CJ36+DivAmount*EXP(IntRate*(CJ$2-ExDivPct)),ExDivTree!CJ36))</f>
        <v>167.49647103300001</v>
      </c>
      <c r="CK36" s="17">
        <f>IF(CK$3="","",IF(AND(DivAs=2,CK$2&lt;ExDivPct),ExDivTree!CK36+DivAmount*EXP(IntRate*(CK$2-ExDivPct)),ExDivTree!CK36))</f>
        <v>172.56701805180001</v>
      </c>
      <c r="CL36" s="17">
        <f>IF(CL$3="","",IF(AND(DivAs=2,CL$2&lt;ExDivPct),ExDivTree!CL36+DivAmount*EXP(IntRate*(CL$2-ExDivPct)),ExDivTree!CL36))</f>
        <v>177.791063511</v>
      </c>
      <c r="CM36" s="17">
        <f>IF(CM$3="","",IF(AND(DivAs=2,CM$2&lt;ExDivPct),ExDivTree!CM36+DivAmount*EXP(IntRate*(CM$2-ExDivPct)),ExDivTree!CM36))</f>
        <v>183.1732542014</v>
      </c>
      <c r="CN36" s="17">
        <f>IF(CN$3="","",IF(AND(DivAs=2,CN$2&lt;ExDivPct),ExDivTree!CN36+DivAmount*EXP(IntRate*(CN$2-ExDivPct)),ExDivTree!CN36))</f>
        <v>188.718377584</v>
      </c>
      <c r="CO36" s="17">
        <f>IF(CO$3="","",IF(AND(DivAs=2,CO$2&lt;ExDivPct),ExDivTree!CO36+DivAmount*EXP(IntRate*(CO$2-ExDivPct)),ExDivTree!CO36))</f>
        <v>194.4313660485</v>
      </c>
      <c r="CP36" s="17">
        <f>IF(CP$3="","",IF(AND(DivAs=2,CP$2&lt;ExDivPct),ExDivTree!CP36+DivAmount*EXP(IntRate*(CP$2-ExDivPct)),ExDivTree!CP36))</f>
        <v>200.31730130080001</v>
      </c>
      <c r="CQ36" s="17">
        <f>IF(CQ$3="","",IF(AND(DivAs=2,CQ$2&lt;ExDivPct),ExDivTree!CQ36+DivAmount*EXP(IntRate*(CQ$2-ExDivPct)),ExDivTree!CQ36))</f>
        <v>206.38141888289999</v>
      </c>
      <c r="CR36" s="17">
        <f>IF(CR$3="","",IF(AND(DivAs=2,CR$2&lt;ExDivPct),ExDivTree!CR36+DivAmount*EXP(IntRate*(CR$2-ExDivPct)),ExDivTree!CR36))</f>
        <v>212.6291128302</v>
      </c>
      <c r="CS36" s="17">
        <f>IF(CS$3="","",IF(AND(DivAs=2,CS$2&lt;ExDivPct),ExDivTree!CS36+DivAmount*EXP(IntRate*(CS$2-ExDivPct)),ExDivTree!CS36))</f>
        <v>219.0659404692</v>
      </c>
      <c r="CT36" s="17">
        <f>IF(CT$3="","",IF(AND(DivAs=2,CT$2&lt;ExDivPct),ExDivTree!CT36+DivAmount*EXP(IntRate*(CT$2-ExDivPct)),ExDivTree!CT36))</f>
        <v>225.697627361</v>
      </c>
      <c r="CU36" s="17">
        <f>IF(CU$3="","",IF(AND(DivAs=2,CU$2&lt;ExDivPct),ExDivTree!CU36+DivAmount*EXP(IntRate*(CU$2-ExDivPct)),ExDivTree!CU36))</f>
        <v>232.53007239409999</v>
      </c>
      <c r="CV36" s="17">
        <f>IF(CV$3="","",IF(AND(DivAs=2,CV$2&lt;ExDivPct),ExDivTree!CV36+DivAmount*EXP(IntRate*(CV$2-ExDivPct)),ExDivTree!CV36))</f>
        <v>239.56935303149999</v>
      </c>
      <c r="CW36" s="17">
        <f>IF(CW$3="","",IF(AND(DivAs=2,CW$2&lt;ExDivPct),ExDivTree!CW36+DivAmount*EXP(IntRate*(CW$2-ExDivPct)),ExDivTree!CW36))</f>
        <v>246.8217307164</v>
      </c>
      <c r="CX36" s="17">
        <f>IF(CX$3="","",IF(AND(DivAs=2,CX$2&lt;ExDivPct),ExDivTree!CX36+DivAmount*EXP(IntRate*(CX$2-ExDivPct)),ExDivTree!CX36))</f>
        <v>254.2936564421</v>
      </c>
      <c r="CY36" s="17">
        <f>IF(CY$3="","",IF(AND(DivAs=2,CY$2&lt;ExDivPct),ExDivTree!CY36+DivAmount*EXP(IntRate*(CY$2-ExDivPct)),ExDivTree!CY36))</f>
        <v>261.99177648979997</v>
      </c>
      <c r="CZ36" s="17">
        <f>IF(CZ$3="","",IF(AND(DivAs=2,CZ$2&lt;ExDivPct),ExDivTree!CZ36+DivAmount*EXP(IntRate*(CZ$2-ExDivPct)),ExDivTree!CZ36))</f>
        <v>269.92293834079999</v>
      </c>
      <c r="DA36" s="17">
        <f>IF(DA$3="","",IF(AND(DivAs=2,DA$2&lt;ExDivPct),ExDivTree!DA36+DivAmount*EXP(IntRate*(DA$2-ExDivPct)),ExDivTree!DA36))</f>
        <v>278.0941967672</v>
      </c>
      <c r="DB36" s="17">
        <f>IF(DB$3="","",IF(AND(DivAs=2,DB$2&lt;ExDivPct),ExDivTree!DB36+DivAmount*EXP(IntRate*(DB$2-ExDivPct)),ExDivTree!DB36))</f>
        <v>286.51282010699998</v>
      </c>
    </row>
    <row r="37" spans="1:106" x14ac:dyDescent="0.2">
      <c r="A37">
        <f>ExDivTree!A37</f>
        <v>4.377049283717151E+26</v>
      </c>
      <c r="B37" s="71">
        <f>ExDivTree!B37</f>
        <v>1.7264415300750465E-4</v>
      </c>
      <c r="C37" s="71">
        <f>ExDivTree!C37</f>
        <v>1.893590129944577E-4</v>
      </c>
      <c r="D37" s="177">
        <f>ExDivTree!D37</f>
        <v>33</v>
      </c>
      <c r="AL37" s="17">
        <f>IF(AL$3="","",IF(AND(DivAs=2,AL$2&lt;ExDivPct),ExDivTree!AL37+DivAmount*EXP(IntRate*(AL$2-ExDivPct)),ExDivTree!AL37))</f>
        <v>35.5219660789</v>
      </c>
      <c r="AM37" s="17">
        <f>IF(AM$3="","",IF(AND(DivAs=2,AM$2&lt;ExDivPct),ExDivTree!AM37+DivAmount*EXP(IntRate*(AM$2-ExDivPct)),ExDivTree!AM37))</f>
        <v>36.597306938899997</v>
      </c>
      <c r="AN37" s="17">
        <f>IF(AN$3="","",IF(AND(DivAs=2,AN$2&lt;ExDivPct),ExDivTree!AN37+DivAmount*EXP(IntRate*(AN$2-ExDivPct)),ExDivTree!AN37))</f>
        <v>37.705201119900003</v>
      </c>
      <c r="AO37" s="17">
        <f>IF(AO$3="","",IF(AND(DivAs=2,AO$2&lt;ExDivPct),ExDivTree!AO37+DivAmount*EXP(IntRate*(AO$2-ExDivPct)),ExDivTree!AO37))</f>
        <v>38.846634094300001</v>
      </c>
      <c r="AP37" s="17">
        <f>IF(AP$3="","",IF(AND(DivAs=2,AP$2&lt;ExDivPct),ExDivTree!AP37+DivAmount*EXP(IntRate*(AP$2-ExDivPct)),ExDivTree!AP37))</f>
        <v>40.022621167200001</v>
      </c>
      <c r="AQ37" s="17">
        <f>IF(AQ$3="","",IF(AND(DivAs=2,AQ$2&lt;ExDivPct),ExDivTree!AQ37+DivAmount*EXP(IntRate*(AQ$2-ExDivPct)),ExDivTree!AQ37))</f>
        <v>41.2342083797</v>
      </c>
      <c r="AR37" s="17">
        <f>IF(AR$3="","",IF(AND(DivAs=2,AR$2&lt;ExDivPct),ExDivTree!AR37+DivAmount*EXP(IntRate*(AR$2-ExDivPct)),ExDivTree!AR37))</f>
        <v>42.4824734392</v>
      </c>
      <c r="AS37" s="17">
        <f>IF(AS$3="","",IF(AND(DivAs=2,AS$2&lt;ExDivPct),ExDivTree!AS37+DivAmount*EXP(IntRate*(AS$2-ExDivPct)),ExDivTree!AS37))</f>
        <v>43.768526677899999</v>
      </c>
      <c r="AT37" s="17">
        <f>IF(AT$3="","",IF(AND(DivAs=2,AT$2&lt;ExDivPct),ExDivTree!AT37+DivAmount*EXP(IntRate*(AT$2-ExDivPct)),ExDivTree!AT37))</f>
        <v>45.093512040900002</v>
      </c>
      <c r="AU37" s="17">
        <f>IF(AU$3="","",IF(AND(DivAs=2,AU$2&lt;ExDivPct),ExDivTree!AU37+DivAmount*EXP(IntRate*(AU$2-ExDivPct)),ExDivTree!AU37))</f>
        <v>46.4586081032</v>
      </c>
      <c r="AV37" s="17">
        <f>IF(AV$3="","",IF(AND(DivAs=2,AV$2&lt;ExDivPct),ExDivTree!AV37+DivAmount*EXP(IntRate*(AV$2-ExDivPct)),ExDivTree!AV37))</f>
        <v>47.865029118300001</v>
      </c>
      <c r="AW37" s="17">
        <f>IF(AW$3="","",IF(AND(DivAs=2,AW$2&lt;ExDivPct),ExDivTree!AW37+DivAmount*EXP(IntRate*(AW$2-ExDivPct)),ExDivTree!AW37))</f>
        <v>49.314026098399999</v>
      </c>
      <c r="AX37" s="17">
        <f>IF(AX$3="","",IF(AND(DivAs=2,AX$2&lt;ExDivPct),ExDivTree!AX37+DivAmount*EXP(IntRate*(AX$2-ExDivPct)),ExDivTree!AX37))</f>
        <v>50.806887926900004</v>
      </c>
      <c r="AY37" s="17">
        <f>IF(AY$3="","",IF(AND(DivAs=2,AY$2&lt;ExDivPct),ExDivTree!AY37+DivAmount*EXP(IntRate*(AY$2-ExDivPct)),ExDivTree!AY37))</f>
        <v>52.344942505200002</v>
      </c>
      <c r="AZ37" s="17">
        <f>IF(AZ$3="","",IF(AND(DivAs=2,AZ$2&lt;ExDivPct),ExDivTree!AZ37+DivAmount*EXP(IntRate*(AZ$2-ExDivPct)),ExDivTree!AZ37))</f>
        <v>53.929557933399998</v>
      </c>
      <c r="BA37" s="17">
        <f>IF(BA$3="","",IF(AND(DivAs=2,BA$2&lt;ExDivPct),ExDivTree!BA37+DivAmount*EXP(IntRate*(BA$2-ExDivPct)),ExDivTree!BA37))</f>
        <v>55.562143727699997</v>
      </c>
      <c r="BB37" s="17">
        <f>IF(BB$3="","",IF(AND(DivAs=2,BB$2&lt;ExDivPct),ExDivTree!BB37+DivAmount*EXP(IntRate*(BB$2-ExDivPct)),ExDivTree!BB37))</f>
        <v>57.244152073899997</v>
      </c>
      <c r="BC37" s="17">
        <f>IF(BC$3="","",IF(AND(DivAs=2,BC$2&lt;ExDivPct),ExDivTree!BC37+DivAmount*EXP(IntRate*(BC$2-ExDivPct)),ExDivTree!BC37))</f>
        <v>58.977079119199999</v>
      </c>
      <c r="BD37" s="17">
        <f>IF(BD$3="","",IF(AND(DivAs=2,BD$2&lt;ExDivPct),ExDivTree!BD37+DivAmount*EXP(IntRate*(BD$2-ExDivPct)),ExDivTree!BD37))</f>
        <v>60.762466302999997</v>
      </c>
      <c r="BE37" s="17">
        <f>IF(BE$3="","",IF(AND(DivAs=2,BE$2&lt;ExDivPct),ExDivTree!BE37+DivAmount*EXP(IntRate*(BE$2-ExDivPct)),ExDivTree!BE37))</f>
        <v>62.6019017279</v>
      </c>
      <c r="BF37" s="17">
        <f>IF(BF$3="","",IF(AND(DivAs=2,BF$2&lt;ExDivPct),ExDivTree!BF37+DivAmount*EXP(IntRate*(BF$2-ExDivPct)),ExDivTree!BF37))</f>
        <v>64.497021572700007</v>
      </c>
      <c r="BG37" s="17">
        <f>IF(BG$3="","",IF(AND(DivAs=2,BG$2&lt;ExDivPct),ExDivTree!BG37+DivAmount*EXP(IntRate*(BG$2-ExDivPct)),ExDivTree!BG37))</f>
        <v>66.449511547200004</v>
      </c>
      <c r="BH37" s="17">
        <f>IF(BH$3="","",IF(AND(DivAs=2,BH$2&lt;ExDivPct),ExDivTree!BH37+DivAmount*EXP(IntRate*(BH$2-ExDivPct)),ExDivTree!BH37))</f>
        <v>68.461108392200003</v>
      </c>
      <c r="BI37" s="17">
        <f>IF(BI$3="","",IF(AND(DivAs=2,BI$2&lt;ExDivPct),ExDivTree!BI37+DivAmount*EXP(IntRate*(BI$2-ExDivPct)),ExDivTree!BI37))</f>
        <v>70.533601423999997</v>
      </c>
      <c r="BJ37" s="17">
        <f>IF(BJ$3="","",IF(AND(DivAs=2,BJ$2&lt;ExDivPct),ExDivTree!BJ37+DivAmount*EXP(IntRate*(BJ$2-ExDivPct)),ExDivTree!BJ37))</f>
        <v>72.668834126099995</v>
      </c>
      <c r="BK37" s="17">
        <f>IF(BK$3="","",IF(AND(DivAs=2,BK$2&lt;ExDivPct),ExDivTree!BK37+DivAmount*EXP(IntRate*(BK$2-ExDivPct)),ExDivTree!BK37))</f>
        <v>74.868705788900002</v>
      </c>
      <c r="BL37" s="17">
        <f>IF(BL$3="","",IF(AND(DivAs=2,BL$2&lt;ExDivPct),ExDivTree!BL37+DivAmount*EXP(IntRate*(BL$2-ExDivPct)),ExDivTree!BL37))</f>
        <v>77.135173199199997</v>
      </c>
      <c r="BM37" s="17">
        <f>IF(BM$3="","",IF(AND(DivAs=2,BM$2&lt;ExDivPct),ExDivTree!BM37+DivAmount*EXP(IntRate*(BM$2-ExDivPct)),ExDivTree!BM37))</f>
        <v>79.470252380900007</v>
      </c>
      <c r="BN37" s="17">
        <f>IF(BN$3="","",IF(AND(DivAs=2,BN$2&lt;ExDivPct),ExDivTree!BN37+DivAmount*EXP(IntRate*(BN$2-ExDivPct)),ExDivTree!BN37))</f>
        <v>81.876020387899999</v>
      </c>
      <c r="BO37" s="17">
        <f>IF(BO$3="","",IF(AND(DivAs=2,BO$2&lt;ExDivPct),ExDivTree!BO37+DivAmount*EXP(IntRate*(BO$2-ExDivPct)),ExDivTree!BO37))</f>
        <v>84.354617152000003</v>
      </c>
      <c r="BP37" s="17">
        <f>IF(BP$3="","",IF(AND(DivAs=2,BP$2&lt;ExDivPct),ExDivTree!BP37+DivAmount*EXP(IntRate*(BP$2-ExDivPct)),ExDivTree!BP37))</f>
        <v>86.908247385999999</v>
      </c>
      <c r="BQ37" s="17">
        <f>IF(BQ$3="","",IF(AND(DivAs=2,BQ$2&lt;ExDivPct),ExDivTree!BQ37+DivAmount*EXP(IntRate*(BQ$2-ExDivPct)),ExDivTree!BQ37))</f>
        <v>89.539182545299994</v>
      </c>
      <c r="BR37" s="17">
        <f>IF(BR$3="","",IF(AND(DivAs=2,BR$2&lt;ExDivPct),ExDivTree!BR37+DivAmount*EXP(IntRate*(BR$2-ExDivPct)),ExDivTree!BR37))</f>
        <v>92.2497628478</v>
      </c>
      <c r="BS37" s="17">
        <f>IF(BS$3="","",IF(AND(DivAs=2,BS$2&lt;ExDivPct),ExDivTree!BS37+DivAmount*EXP(IntRate*(BS$2-ExDivPct)),ExDivTree!BS37))</f>
        <v>95.042399356000004</v>
      </c>
      <c r="BT37" s="17">
        <f>IF(BT$3="","",IF(AND(DivAs=2,BT$2&lt;ExDivPct),ExDivTree!BT37+DivAmount*EXP(IntRate*(BT$2-ExDivPct)),ExDivTree!BT37))</f>
        <v>97.919576121299997</v>
      </c>
      <c r="BU37" s="17">
        <f>IF(BU$3="","",IF(AND(DivAs=2,BU$2&lt;ExDivPct),ExDivTree!BU37+DivAmount*EXP(IntRate*(BU$2-ExDivPct)),ExDivTree!BU37))</f>
        <v>100.8838523937</v>
      </c>
      <c r="BV37" s="17">
        <f>IF(BV$3="","",IF(AND(DivAs=2,BV$2&lt;ExDivPct),ExDivTree!BV37+DivAmount*EXP(IntRate*(BV$2-ExDivPct)),ExDivTree!BV37))</f>
        <v>103.93786489830001</v>
      </c>
      <c r="BW37" s="17">
        <f>IF(BW$3="","",IF(AND(DivAs=2,BW$2&lt;ExDivPct),ExDivTree!BW37+DivAmount*EXP(IntRate*(BW$2-ExDivPct)),ExDivTree!BW37))</f>
        <v>107.08433018060001</v>
      </c>
      <c r="BX37" s="17">
        <f>IF(BX$3="","",IF(AND(DivAs=2,BX$2&lt;ExDivPct),ExDivTree!BX37+DivAmount*EXP(IntRate*(BX$2-ExDivPct)),ExDivTree!BX37))</f>
        <v>110.3260470228</v>
      </c>
      <c r="BY37" s="17">
        <f>IF(BY$3="","",IF(AND(DivAs=2,BY$2&lt;ExDivPct),ExDivTree!BY37+DivAmount*EXP(IntRate*(BY$2-ExDivPct)),ExDivTree!BY37))</f>
        <v>113.6658989336</v>
      </c>
      <c r="BZ37" s="17">
        <f>IF(BZ$3="","",IF(AND(DivAs=2,BZ$2&lt;ExDivPct),ExDivTree!BZ37+DivAmount*EXP(IntRate*(BZ$2-ExDivPct)),ExDivTree!BZ37))</f>
        <v>117.1068567128</v>
      </c>
      <c r="CA37" s="17">
        <f>IF(CA$3="","",IF(AND(DivAs=2,CA$2&lt;ExDivPct),ExDivTree!CA37+DivAmount*EXP(IntRate*(CA$2-ExDivPct)),ExDivTree!CA37))</f>
        <v>120.6519810938</v>
      </c>
      <c r="CB37" s="17">
        <f>IF(CB$3="","",IF(AND(DivAs=2,CB$2&lt;ExDivPct),ExDivTree!CB37+DivAmount*EXP(IntRate*(CB$2-ExDivPct)),ExDivTree!CB37))</f>
        <v>124.30442546640001</v>
      </c>
      <c r="CC37" s="17">
        <f>IF(CC$3="","",IF(AND(DivAs=2,CC$2&lt;ExDivPct),ExDivTree!CC37+DivAmount*EXP(IntRate*(CC$2-ExDivPct)),ExDivTree!CC37))</f>
        <v>128.06743868149999</v>
      </c>
      <c r="CD37" s="17">
        <f>IF(CD$3="","",IF(AND(DivAs=2,CD$2&lt;ExDivPct),ExDivTree!CD37+DivAmount*EXP(IntRate*(CD$2-ExDivPct)),ExDivTree!CD37))</f>
        <v>131.944367941</v>
      </c>
      <c r="CE37" s="17">
        <f>IF(CE$3="","",IF(AND(DivAs=2,CE$2&lt;ExDivPct),ExDivTree!CE37+DivAmount*EXP(IntRate*(CE$2-ExDivPct)),ExDivTree!CE37))</f>
        <v>135.93866177530001</v>
      </c>
      <c r="CF37" s="17">
        <f>IF(CF$3="","",IF(AND(DivAs=2,CF$2&lt;ExDivPct),ExDivTree!CF37+DivAmount*EXP(IntRate*(CF$2-ExDivPct)),ExDivTree!CF37))</f>
        <v>140.05387311059999</v>
      </c>
      <c r="CG37" s="17">
        <f>IF(CG$3="","",IF(AND(DivAs=2,CG$2&lt;ExDivPct),ExDivTree!CG37+DivAmount*EXP(IntRate*(CG$2-ExDivPct)),ExDivTree!CG37))</f>
        <v>144.29366242910001</v>
      </c>
      <c r="CH37" s="17">
        <f>IF(CH$3="","",IF(AND(DivAs=2,CH$2&lt;ExDivPct),ExDivTree!CH37+DivAmount*EXP(IntRate*(CH$2-ExDivPct)),ExDivTree!CH37))</f>
        <v>148.6618010254</v>
      </c>
      <c r="CI37" s="17">
        <f>IF(CI$3="","",IF(AND(DivAs=2,CI$2&lt;ExDivPct),ExDivTree!CI37+DivAmount*EXP(IntRate*(CI$2-ExDivPct)),ExDivTree!CI37))</f>
        <v>153.16217436080001</v>
      </c>
      <c r="CJ37" s="17">
        <f>IF(CJ$3="","",IF(AND(DivAs=2,CJ$2&lt;ExDivPct),ExDivTree!CJ37+DivAmount*EXP(IntRate*(CJ$2-ExDivPct)),ExDivTree!CJ37))</f>
        <v>157.7987855193</v>
      </c>
      <c r="CK37" s="17">
        <f>IF(CK$3="","",IF(AND(DivAs=2,CK$2&lt;ExDivPct),ExDivTree!CK37+DivAmount*EXP(IntRate*(CK$2-ExDivPct)),ExDivTree!CK37))</f>
        <v>162.57575876870001</v>
      </c>
      <c r="CL37" s="17">
        <f>IF(CL$3="","",IF(AND(DivAs=2,CL$2&lt;ExDivPct),ExDivTree!CL37+DivAmount*EXP(IntRate*(CL$2-ExDivPct)),ExDivTree!CL37))</f>
        <v>167.49734322879999</v>
      </c>
      <c r="CM37" s="17">
        <f>IF(CM$3="","",IF(AND(DivAs=2,CM$2&lt;ExDivPct),ExDivTree!CM37+DivAmount*EXP(IntRate*(CM$2-ExDivPct)),ExDivTree!CM37))</f>
        <v>172.56791665119999</v>
      </c>
      <c r="CN37" s="17">
        <f>IF(CN$3="","",IF(AND(DivAs=2,CN$2&lt;ExDivPct),ExDivTree!CN37+DivAmount*EXP(IntRate*(CN$2-ExDivPct)),ExDivTree!CN37))</f>
        <v>177.79198931330001</v>
      </c>
      <c r="CO37" s="17">
        <f>IF(CO$3="","",IF(AND(DivAs=2,CO$2&lt;ExDivPct),ExDivTree!CO37+DivAmount*EXP(IntRate*(CO$2-ExDivPct)),ExDivTree!CO37))</f>
        <v>183.1742080301</v>
      </c>
      <c r="CP37" s="17">
        <f>IF(CP$3="","",IF(AND(DivAs=2,CP$2&lt;ExDivPct),ExDivTree!CP37+DivAmount*EXP(IntRate*(CP$2-ExDivPct)),ExDivTree!CP37))</f>
        <v>188.7193602875</v>
      </c>
      <c r="CQ37" s="17">
        <f>IF(CQ$3="","",IF(AND(DivAs=2,CQ$2&lt;ExDivPct),ExDivTree!CQ37+DivAmount*EXP(IntRate*(CQ$2-ExDivPct)),ExDivTree!CQ37))</f>
        <v>194.43237850099999</v>
      </c>
      <c r="CR37" s="17">
        <f>IF(CR$3="","",IF(AND(DivAs=2,CR$2&lt;ExDivPct),ExDivTree!CR37+DivAmount*EXP(IntRate*(CR$2-ExDivPct)),ExDivTree!CR37))</f>
        <v>200.31834440279999</v>
      </c>
      <c r="CS37" s="17">
        <f>IF(CS$3="","",IF(AND(DivAs=2,CS$2&lt;ExDivPct),ExDivTree!CS37+DivAmount*EXP(IntRate*(CS$2-ExDivPct)),ExDivTree!CS37))</f>
        <v>206.3824935623</v>
      </c>
      <c r="CT37" s="17">
        <f>IF(CT$3="","",IF(AND(DivAs=2,CT$2&lt;ExDivPct),ExDivTree!CT37+DivAmount*EXP(IntRate*(CT$2-ExDivPct)),ExDivTree!CT37))</f>
        <v>212.63022004289999</v>
      </c>
      <c r="CU37" s="17">
        <f>IF(CU$3="","",IF(AND(DivAs=2,CU$2&lt;ExDivPct),ExDivTree!CU37+DivAmount*EXP(IntRate*(CU$2-ExDivPct)),ExDivTree!CU37))</f>
        <v>219.06708120010001</v>
      </c>
      <c r="CV37" s="17">
        <f>IF(CV$3="","",IF(AND(DivAs=2,CV$2&lt;ExDivPct),ExDivTree!CV37+DivAmount*EXP(IntRate*(CV$2-ExDivPct)),ExDivTree!CV37))</f>
        <v>225.69880262480001</v>
      </c>
      <c r="CW37" s="17">
        <f>IF(CW$3="","",IF(AND(DivAs=2,CW$2&lt;ExDivPct),ExDivTree!CW37+DivAmount*EXP(IntRate*(CW$2-ExDivPct)),ExDivTree!CW37))</f>
        <v>232.53128323620001</v>
      </c>
      <c r="CX37" s="17">
        <f>IF(CX$3="","",IF(AND(DivAs=2,CX$2&lt;ExDivPct),ExDivTree!CX37+DivAmount*EXP(IntRate*(CX$2-ExDivPct)),ExDivTree!CX37))</f>
        <v>239.5706005289</v>
      </c>
      <c r="CY37" s="17">
        <f>IF(CY$3="","",IF(AND(DivAs=2,CY$2&lt;ExDivPct),ExDivTree!CY37+DivAmount*EXP(IntRate*(CY$2-ExDivPct)),ExDivTree!CY37))</f>
        <v>246.8230159787</v>
      </c>
      <c r="CZ37" s="17">
        <f>IF(CZ$3="","",IF(AND(DivAs=2,CZ$2&lt;ExDivPct),ExDivTree!CZ37+DivAmount*EXP(IntRate*(CZ$2-ExDivPct)),ExDivTree!CZ37))</f>
        <v>254.29498061250001</v>
      </c>
      <c r="DA37" s="17">
        <f>IF(DA$3="","",IF(AND(DivAs=2,DA$2&lt;ExDivPct),ExDivTree!DA37+DivAmount*EXP(IntRate*(DA$2-ExDivPct)),ExDivTree!DA37))</f>
        <v>261.99314074630001</v>
      </c>
      <c r="DB37" s="17">
        <f>IF(DB$3="","",IF(AND(DivAs=2,DB$2&lt;ExDivPct),ExDivTree!DB37+DivAmount*EXP(IntRate*(DB$2-ExDivPct)),ExDivTree!DB37))</f>
        <v>269.92434389689998</v>
      </c>
    </row>
    <row r="38" spans="1:106" x14ac:dyDescent="0.2">
      <c r="A38">
        <f>ExDivTree!A38</f>
        <v>8.7540985674343115E+26</v>
      </c>
      <c r="B38" s="71">
        <f>ExDivTree!B38</f>
        <v>3.4528830601500968E-4</v>
      </c>
      <c r="C38" s="71">
        <f>ExDivTree!C38</f>
        <v>3.7671576504127308E-4</v>
      </c>
      <c r="D38" s="177">
        <f>ExDivTree!D38</f>
        <v>34</v>
      </c>
      <c r="AM38" s="17">
        <f>IF(AM$3="","",IF(AND(DivAs=2,AM$2&lt;ExDivPct),ExDivTree!AM38+DivAmount*EXP(IntRate*(AM$2-ExDivPct)),ExDivTree!AM38))</f>
        <v>34.478401560400002</v>
      </c>
      <c r="AN38" s="17">
        <f>IF(AN$3="","",IF(AND(DivAs=2,AN$2&lt;ExDivPct),ExDivTree!AN38+DivAmount*EXP(IntRate*(AN$2-ExDivPct)),ExDivTree!AN38))</f>
        <v>35.522151050600002</v>
      </c>
      <c r="AO38" s="17">
        <f>IF(AO$3="","",IF(AND(DivAs=2,AO$2&lt;ExDivPct),ExDivTree!AO38+DivAmount*EXP(IntRate*(AO$2-ExDivPct)),ExDivTree!AO38))</f>
        <v>36.5974975102</v>
      </c>
      <c r="AP38" s="17">
        <f>IF(AP$3="","",IF(AND(DivAs=2,AP$2&lt;ExDivPct),ExDivTree!AP38+DivAmount*EXP(IntRate*(AP$2-ExDivPct)),ExDivTree!AP38))</f>
        <v>37.705397460299999</v>
      </c>
      <c r="AQ38" s="17">
        <f>IF(AQ$3="","",IF(AND(DivAs=2,AQ$2&lt;ExDivPct),ExDivTree!AQ38+DivAmount*EXP(IntRate*(AQ$2-ExDivPct)),ExDivTree!AQ38))</f>
        <v>38.846836378399999</v>
      </c>
      <c r="AR38" s="17">
        <f>IF(AR$3="","",IF(AND(DivAs=2,AR$2&lt;ExDivPct),ExDivTree!AR38+DivAmount*EXP(IntRate*(AR$2-ExDivPct)),ExDivTree!AR38))</f>
        <v>40.022829575000003</v>
      </c>
      <c r="AS38" s="17">
        <f>IF(AS$3="","",IF(AND(DivAs=2,AS$2&lt;ExDivPct),ExDivTree!AS38+DivAmount*EXP(IntRate*(AS$2-ExDivPct)),ExDivTree!AS38))</f>
        <v>41.234423096599997</v>
      </c>
      <c r="AT38" s="17">
        <f>IF(AT$3="","",IF(AND(DivAs=2,AT$2&lt;ExDivPct),ExDivTree!AT38+DivAmount*EXP(IntRate*(AT$2-ExDivPct)),ExDivTree!AT38))</f>
        <v>42.482694656100001</v>
      </c>
      <c r="AU38" s="17">
        <f>IF(AU$3="","",IF(AND(DivAs=2,AU$2&lt;ExDivPct),ExDivTree!AU38+DivAmount*EXP(IntRate*(AU$2-ExDivPct)),ExDivTree!AU38))</f>
        <v>43.7687545916</v>
      </c>
      <c r="AV38" s="17">
        <f>IF(AV$3="","",IF(AND(DivAs=2,AV$2&lt;ExDivPct),ExDivTree!AV38+DivAmount*EXP(IntRate*(AV$2-ExDivPct)),ExDivTree!AV38))</f>
        <v>45.093746854099997</v>
      </c>
      <c r="AW38" s="17">
        <f>IF(AW$3="","",IF(AND(DivAs=2,AW$2&lt;ExDivPct),ExDivTree!AW38+DivAmount*EXP(IntRate*(AW$2-ExDivPct)),ExDivTree!AW38))</f>
        <v>46.458850024699998</v>
      </c>
      <c r="AX38" s="17">
        <f>IF(AX$3="","",IF(AND(DivAs=2,AX$2&lt;ExDivPct),ExDivTree!AX38+DivAmount*EXP(IntRate*(AX$2-ExDivPct)),ExDivTree!AX38))</f>
        <v>47.865278363400002</v>
      </c>
      <c r="AY38" s="17">
        <f>IF(AY$3="","",IF(AND(DivAs=2,AY$2&lt;ExDivPct),ExDivTree!AY38+DivAmount*EXP(IntRate*(AY$2-ExDivPct)),ExDivTree!AY38))</f>
        <v>49.314282888800001</v>
      </c>
      <c r="AZ38" s="17">
        <f>IF(AZ$3="","",IF(AND(DivAs=2,AZ$2&lt;ExDivPct),ExDivTree!AZ38+DivAmount*EXP(IntRate*(AZ$2-ExDivPct)),ExDivTree!AZ38))</f>
        <v>50.807152490999997</v>
      </c>
      <c r="BA38" s="17">
        <f>IF(BA$3="","",IF(AND(DivAs=2,BA$2&lt;ExDivPct),ExDivTree!BA38+DivAmount*EXP(IntRate*(BA$2-ExDivPct)),ExDivTree!BA38))</f>
        <v>52.345215078300001</v>
      </c>
      <c r="BB38" s="17">
        <f>IF(BB$3="","",IF(AND(DivAs=2,BB$2&lt;ExDivPct),ExDivTree!BB38+DivAmount*EXP(IntRate*(BB$2-ExDivPct)),ExDivTree!BB38))</f>
        <v>53.929838758000002</v>
      </c>
      <c r="BC38" s="17">
        <f>IF(BC$3="","",IF(AND(DivAs=2,BC$2&lt;ExDivPct),ExDivTree!BC38+DivAmount*EXP(IntRate*(BC$2-ExDivPct)),ExDivTree!BC38))</f>
        <v>55.562433053600003</v>
      </c>
      <c r="BD38" s="17">
        <f>IF(BD$3="","",IF(AND(DivAs=2,BD$2&lt;ExDivPct),ExDivTree!BD38+DivAmount*EXP(IntRate*(BD$2-ExDivPct)),ExDivTree!BD38))</f>
        <v>57.244450158500001</v>
      </c>
      <c r="BE38" s="17">
        <f>IF(BE$3="","",IF(AND(DivAs=2,BE$2&lt;ExDivPct),ExDivTree!BE38+DivAmount*EXP(IntRate*(BE$2-ExDivPct)),ExDivTree!BE38))</f>
        <v>58.9773862276</v>
      </c>
      <c r="BF38" s="17">
        <f>IF(BF$3="","",IF(AND(DivAs=2,BF$2&lt;ExDivPct),ExDivTree!BF38+DivAmount*EXP(IntRate*(BF$2-ExDivPct)),ExDivTree!BF38))</f>
        <v>60.762782708300001</v>
      </c>
      <c r="BG38" s="17">
        <f>IF(BG$3="","",IF(AND(DivAs=2,BG$2&lt;ExDivPct),ExDivTree!BG38+DivAmount*EXP(IntRate*(BG$2-ExDivPct)),ExDivTree!BG38))</f>
        <v>62.602227711600001</v>
      </c>
      <c r="BH38" s="17">
        <f>IF(BH$3="","",IF(AND(DivAs=2,BH$2&lt;ExDivPct),ExDivTree!BH38+DivAmount*EXP(IntRate*(BH$2-ExDivPct)),ExDivTree!BH38))</f>
        <v>64.497357424699999</v>
      </c>
      <c r="BI38" s="17">
        <f>IF(BI$3="","",IF(AND(DivAs=2,BI$2&lt;ExDivPct),ExDivTree!BI38+DivAmount*EXP(IntRate*(BI$2-ExDivPct)),ExDivTree!BI38))</f>
        <v>66.449857566299997</v>
      </c>
      <c r="BJ38" s="17">
        <f>IF(BJ$3="","",IF(AND(DivAs=2,BJ$2&lt;ExDivPct),ExDivTree!BJ38+DivAmount*EXP(IntRate*(BJ$2-ExDivPct)),ExDivTree!BJ38))</f>
        <v>68.461464886200005</v>
      </c>
      <c r="BK38" s="17">
        <f>IF(BK$3="","",IF(AND(DivAs=2,BK$2&lt;ExDivPct),ExDivTree!BK38+DivAmount*EXP(IntRate*(BK$2-ExDivPct)),ExDivTree!BK38))</f>
        <v>70.533968709999996</v>
      </c>
      <c r="BL38" s="17">
        <f>IF(BL$3="","",IF(AND(DivAs=2,BL$2&lt;ExDivPct),ExDivTree!BL38+DivAmount*EXP(IntRate*(BL$2-ExDivPct)),ExDivTree!BL38))</f>
        <v>72.669212530699994</v>
      </c>
      <c r="BM38" s="17">
        <f>IF(BM$3="","",IF(AND(DivAs=2,BM$2&lt;ExDivPct),ExDivTree!BM38+DivAmount*EXP(IntRate*(BM$2-ExDivPct)),ExDivTree!BM38))</f>
        <v>74.869095648799998</v>
      </c>
      <c r="BN38" s="17">
        <f>IF(BN$3="","",IF(AND(DivAs=2,BN$2&lt;ExDivPct),ExDivTree!BN38+DivAmount*EXP(IntRate*(BN$2-ExDivPct)),ExDivTree!BN38))</f>
        <v>77.135574861199999</v>
      </c>
      <c r="BO38" s="17">
        <f>IF(BO$3="","",IF(AND(DivAs=2,BO$2&lt;ExDivPct),ExDivTree!BO38+DivAmount*EXP(IntRate*(BO$2-ExDivPct)),ExDivTree!BO38))</f>
        <v>79.470666202199993</v>
      </c>
      <c r="BP38" s="17">
        <f>IF(BP$3="","",IF(AND(DivAs=2,BP$2&lt;ExDivPct),ExDivTree!BP38+DivAmount*EXP(IntRate*(BP$2-ExDivPct)),ExDivTree!BP38))</f>
        <v>81.876446736600002</v>
      </c>
      <c r="BQ38" s="17">
        <f>IF(BQ$3="","",IF(AND(DivAs=2,BQ$2&lt;ExDivPct),ExDivTree!BQ38+DivAmount*EXP(IntRate*(BQ$2-ExDivPct)),ExDivTree!BQ38))</f>
        <v>84.355056407299998</v>
      </c>
      <c r="BR38" s="17">
        <f>IF(BR$3="","",IF(AND(DivAs=2,BR$2&lt;ExDivPct),ExDivTree!BR38+DivAmount*EXP(IntRate*(BR$2-ExDivPct)),ExDivTree!BR38))</f>
        <v>86.908699938699996</v>
      </c>
      <c r="BS38" s="17">
        <f>IF(BS$3="","",IF(AND(DivAs=2,BS$2&lt;ExDivPct),ExDivTree!BS38+DivAmount*EXP(IntRate*(BS$2-ExDivPct)),ExDivTree!BS38))</f>
        <v>89.5396487979</v>
      </c>
      <c r="BT38" s="17">
        <f>IF(BT$3="","",IF(AND(DivAs=2,BT$2&lt;ExDivPct),ExDivTree!BT38+DivAmount*EXP(IntRate*(BT$2-ExDivPct)),ExDivTree!BT38))</f>
        <v>92.250243215099999</v>
      </c>
      <c r="BU38" s="17">
        <f>IF(BU$3="","",IF(AND(DivAs=2,BU$2&lt;ExDivPct),ExDivTree!BU38+DivAmount*EXP(IntRate*(BU$2-ExDivPct)),ExDivTree!BU38))</f>
        <v>95.042894265200005</v>
      </c>
      <c r="BV38" s="17">
        <f>IF(BV$3="","",IF(AND(DivAs=2,BV$2&lt;ExDivPct),ExDivTree!BV38+DivAmount*EXP(IntRate*(BV$2-ExDivPct)),ExDivTree!BV38))</f>
        <v>97.920086012599995</v>
      </c>
      <c r="BW38" s="17">
        <f>IF(BW$3="","",IF(AND(DivAs=2,BW$2&lt;ExDivPct),ExDivTree!BW38+DivAmount*EXP(IntRate*(BW$2-ExDivPct)),ExDivTree!BW38))</f>
        <v>100.8843777207</v>
      </c>
      <c r="BX38" s="17">
        <f>IF(BX$3="","",IF(AND(DivAs=2,BX$2&lt;ExDivPct),ExDivTree!BX38+DivAmount*EXP(IntRate*(BX$2-ExDivPct)),ExDivTree!BX38))</f>
        <v>103.9384061283</v>
      </c>
      <c r="BY38" s="17">
        <f>IF(BY$3="","",IF(AND(DivAs=2,BY$2&lt;ExDivPct),ExDivTree!BY38+DivAmount*EXP(IntRate*(BY$2-ExDivPct)),ExDivTree!BY38))</f>
        <v>107.084887795</v>
      </c>
      <c r="BZ38" s="17">
        <f>IF(BZ$3="","",IF(AND(DivAs=2,BZ$2&lt;ExDivPct),ExDivTree!BZ38+DivAmount*EXP(IntRate*(BZ$2-ExDivPct)),ExDivTree!BZ38))</f>
        <v>110.3266215176</v>
      </c>
      <c r="CA38" s="17">
        <f>IF(CA$3="","",IF(AND(DivAs=2,CA$2&lt;ExDivPct),ExDivTree!CA38+DivAmount*EXP(IntRate*(CA$2-ExDivPct)),ExDivTree!CA38))</f>
        <v>113.6664908198</v>
      </c>
      <c r="CB38" s="17">
        <f>IF(CB$3="","",IF(AND(DivAs=2,CB$2&lt;ExDivPct),ExDivTree!CB38+DivAmount*EXP(IntRate*(CB$2-ExDivPct)),ExDivTree!CB38))</f>
        <v>117.1074665169</v>
      </c>
      <c r="CC38" s="17">
        <f>IF(CC$3="","",IF(AND(DivAs=2,CC$2&lt;ExDivPct),ExDivTree!CC38+DivAmount*EXP(IntRate*(CC$2-ExDivPct)),ExDivTree!CC38))</f>
        <v>120.6526093582</v>
      </c>
      <c r="CD38" s="17">
        <f>IF(CD$3="","",IF(AND(DivAs=2,CD$2&lt;ExDivPct),ExDivTree!CD38+DivAmount*EXP(IntRate*(CD$2-ExDivPct)),ExDivTree!CD38))</f>
        <v>124.30507274999999</v>
      </c>
      <c r="CE38" s="17">
        <f>IF(CE$3="","",IF(AND(DivAs=2,CE$2&lt;ExDivPct),ExDivTree!CE38+DivAmount*EXP(IntRate*(CE$2-ExDivPct)),ExDivTree!CE38))</f>
        <v>128.06810555999999</v>
      </c>
      <c r="CF38" s="17">
        <f>IF(CF$3="","",IF(AND(DivAs=2,CF$2&lt;ExDivPct),ExDivTree!CF38+DivAmount*EXP(IntRate*(CF$2-ExDivPct)),ExDivTree!CF38))</f>
        <v>131.94505500770001</v>
      </c>
      <c r="CG38" s="17">
        <f>IF(CG$3="","",IF(AND(DivAs=2,CG$2&lt;ExDivPct),ExDivTree!CG38+DivAmount*EXP(IntRate*(CG$2-ExDivPct)),ExDivTree!CG38))</f>
        <v>135.9393696413</v>
      </c>
      <c r="CH38" s="17">
        <f>IF(CH$3="","",IF(AND(DivAs=2,CH$2&lt;ExDivPct),ExDivTree!CH38+DivAmount*EXP(IntRate*(CH$2-ExDivPct)),ExDivTree!CH38))</f>
        <v>140.05460240549999</v>
      </c>
      <c r="CI38" s="17">
        <f>IF(CI$3="","",IF(AND(DivAs=2,CI$2&lt;ExDivPct),ExDivTree!CI38+DivAmount*EXP(IntRate*(CI$2-ExDivPct)),ExDivTree!CI38))</f>
        <v>144.29441380169999</v>
      </c>
      <c r="CJ38" s="17">
        <f>IF(CJ$3="","",IF(AND(DivAs=2,CJ$2&lt;ExDivPct),ExDivTree!CJ38+DivAmount*EXP(IntRate*(CJ$2-ExDivPct)),ExDivTree!CJ38))</f>
        <v>148.66257514399999</v>
      </c>
      <c r="CK38" s="17">
        <f>IF(CK$3="","",IF(AND(DivAs=2,CK$2&lt;ExDivPct),ExDivTree!CK38+DivAmount*EXP(IntRate*(CK$2-ExDivPct)),ExDivTree!CK38))</f>
        <v>153.16297191390001</v>
      </c>
      <c r="CL38" s="17">
        <f>IF(CL$3="","",IF(AND(DivAs=2,CL$2&lt;ExDivPct),ExDivTree!CL38+DivAmount*EXP(IntRate*(CL$2-ExDivPct)),ExDivTree!CL38))</f>
        <v>157.79960721640001</v>
      </c>
      <c r="CM38" s="17">
        <f>IF(CM$3="","",IF(AND(DivAs=2,CM$2&lt;ExDivPct),ExDivTree!CM38+DivAmount*EXP(IntRate*(CM$2-ExDivPct)),ExDivTree!CM38))</f>
        <v>162.57660534070001</v>
      </c>
      <c r="CN38" s="17">
        <f>IF(CN$3="","",IF(AND(DivAs=2,CN$2&lt;ExDivPct),ExDivTree!CN38+DivAmount*EXP(IntRate*(CN$2-ExDivPct)),ExDivTree!CN38))</f>
        <v>167.49821542870001</v>
      </c>
      <c r="CO38" s="17">
        <f>IF(CO$3="","",IF(AND(DivAs=2,CO$2&lt;ExDivPct),ExDivTree!CO38+DivAmount*EXP(IntRate*(CO$2-ExDivPct)),ExDivTree!CO38))</f>
        <v>172.56881525489999</v>
      </c>
      <c r="CP38" s="17">
        <f>IF(CP$3="","",IF(AND(DivAs=2,CP$2&lt;ExDivPct),ExDivTree!CP38+DivAmount*EXP(IntRate*(CP$2-ExDivPct)),ExDivTree!CP38))</f>
        <v>177.79291512</v>
      </c>
      <c r="CQ38" s="17">
        <f>IF(CQ$3="","",IF(AND(DivAs=2,CQ$2&lt;ExDivPct),ExDivTree!CQ38+DivAmount*EXP(IntRate*(CQ$2-ExDivPct)),ExDivTree!CQ38))</f>
        <v>183.17516186329999</v>
      </c>
      <c r="CR38" s="17">
        <f>IF(CR$3="","",IF(AND(DivAs=2,CR$2&lt;ExDivPct),ExDivTree!CR38+DivAmount*EXP(IntRate*(CR$2-ExDivPct)),ExDivTree!CR38))</f>
        <v>188.72034299570001</v>
      </c>
      <c r="CS38" s="17">
        <f>IF(CS$3="","",IF(AND(DivAs=2,CS$2&lt;ExDivPct),ExDivTree!CS38+DivAmount*EXP(IntRate*(CS$2-ExDivPct)),ExDivTree!CS38))</f>
        <v>194.43339095830001</v>
      </c>
      <c r="CT38" s="17">
        <f>IF(CT$3="","",IF(AND(DivAs=2,CT$2&lt;ExDivPct),ExDivTree!CT38+DivAmount*EXP(IntRate*(CT$2-ExDivPct)),ExDivTree!CT38))</f>
        <v>200.31938750980001</v>
      </c>
      <c r="CU38" s="17">
        <f>IF(CU$3="","",IF(AND(DivAs=2,CU$2&lt;ExDivPct),ExDivTree!CU38+DivAmount*EXP(IntRate*(CU$2-ExDivPct)),ExDivTree!CU38))</f>
        <v>206.3835682468</v>
      </c>
      <c r="CV38" s="17">
        <f>IF(CV$3="","",IF(AND(DivAs=2,CV$2&lt;ExDivPct),ExDivTree!CV38+DivAmount*EXP(IntRate*(CV$2-ExDivPct)),ExDivTree!CV38))</f>
        <v>212.63132726079999</v>
      </c>
      <c r="CW38" s="17">
        <f>IF(CW$3="","",IF(AND(DivAs=2,CW$2&lt;ExDivPct),ExDivTree!CW38+DivAmount*EXP(IntRate*(CW$2-ExDivPct)),ExDivTree!CW38))</f>
        <v>219.06822193630001</v>
      </c>
      <c r="CX38" s="17">
        <f>IF(CX$3="","",IF(AND(DivAs=2,CX$2&lt;ExDivPct),ExDivTree!CX38+DivAmount*EXP(IntRate*(CX$2-ExDivPct)),ExDivTree!CX38))</f>
        <v>225.699977894</v>
      </c>
      <c r="CY38" s="17">
        <f>IF(CY$3="","",IF(AND(DivAs=2,CY$2&lt;ExDivPct),ExDivTree!CY38+DivAmount*EXP(IntRate*(CY$2-ExDivPct)),ExDivTree!CY38))</f>
        <v>232.5324940838</v>
      </c>
      <c r="CZ38" s="17">
        <f>IF(CZ$3="","",IF(AND(DivAs=2,CZ$2&lt;ExDivPct),ExDivTree!CZ38+DivAmount*EXP(IntRate*(CZ$2-ExDivPct)),ExDivTree!CZ38))</f>
        <v>239.5718480319</v>
      </c>
      <c r="DA38" s="17">
        <f>IF(DA$3="","",IF(AND(DivAs=2,DA$2&lt;ExDivPct),ExDivTree!DA38+DivAmount*EXP(IntRate*(DA$2-ExDivPct)),ExDivTree!DA38))</f>
        <v>246.82430124690001</v>
      </c>
      <c r="DB38" s="17">
        <f>IF(DB$3="","",IF(AND(DivAs=2,DB$2&lt;ExDivPct),ExDivTree!DB38+DivAmount*EXP(IntRate*(DB$2-ExDivPct)),ExDivTree!DB38))</f>
        <v>254.29630478909999</v>
      </c>
    </row>
    <row r="39" spans="1:106" x14ac:dyDescent="0.2">
      <c r="A39">
        <f>ExDivTree!A39</f>
        <v>1.6757845829088522E+27</v>
      </c>
      <c r="B39" s="71">
        <f>ExDivTree!B39</f>
        <v>6.6098047151444644E-4</v>
      </c>
      <c r="C39" s="71">
        <f>ExDivTree!C39</f>
        <v>7.1732897216105992E-4</v>
      </c>
      <c r="D39" s="177">
        <f>ExDivTree!D39</f>
        <v>35</v>
      </c>
      <c r="AN39" s="17">
        <f>IF(AN$3="","",IF(AND(DivAs=2,AN$2&lt;ExDivPct),ExDivTree!AN39+DivAmount*EXP(IntRate*(AN$2-ExDivPct)),ExDivTree!AN39))</f>
        <v>33.465494886199998</v>
      </c>
      <c r="AO39" s="17">
        <f>IF(AO$3="","",IF(AND(DivAs=2,AO$2&lt;ExDivPct),ExDivTree!AO39+DivAmount*EXP(IntRate*(AO$2-ExDivPct)),ExDivTree!AO39))</f>
        <v>34.478581097999999</v>
      </c>
      <c r="AP39" s="17">
        <f>IF(AP$3="","",IF(AND(DivAs=2,AP$2&lt;ExDivPct),ExDivTree!AP39+DivAmount*EXP(IntRate*(AP$2-ExDivPct)),ExDivTree!AP39))</f>
        <v>35.522336023199998</v>
      </c>
      <c r="AQ39" s="17">
        <f>IF(AQ$3="","",IF(AND(DivAs=2,AQ$2&lt;ExDivPct),ExDivTree!AQ39+DivAmount*EXP(IntRate*(AQ$2-ExDivPct)),ExDivTree!AQ39))</f>
        <v>36.597688082300003</v>
      </c>
      <c r="AR39" s="17">
        <f>IF(AR$3="","",IF(AND(DivAs=2,AR$2&lt;ExDivPct),ExDivTree!AR39+DivAmount*EXP(IntRate*(AR$2-ExDivPct)),ExDivTree!AR39))</f>
        <v>37.705593801500001</v>
      </c>
      <c r="AS39" s="17">
        <f>IF(AS$3="","",IF(AND(DivAs=2,AS$2&lt;ExDivPct),ExDivTree!AS39+DivAmount*EXP(IntRate*(AS$2-ExDivPct)),ExDivTree!AS39))</f>
        <v>38.847038663399999</v>
      </c>
      <c r="AT39" s="17">
        <f>IF(AT$3="","",IF(AND(DivAs=2,AT$2&lt;ExDivPct),ExDivTree!AT39+DivAmount*EXP(IntRate*(AT$2-ExDivPct)),ExDivTree!AT39))</f>
        <v>40.0230379837</v>
      </c>
      <c r="AU39" s="17">
        <f>IF(AU$3="","",IF(AND(DivAs=2,AU$2&lt;ExDivPct),ExDivTree!AU39+DivAmount*EXP(IntRate*(AU$2-ExDivPct)),ExDivTree!AU39))</f>
        <v>41.234637814300001</v>
      </c>
      <c r="AV39" s="17">
        <f>IF(AV$3="","",IF(AND(DivAs=2,AV$2&lt;ExDivPct),ExDivTree!AV39+DivAmount*EXP(IntRate*(AV$2-ExDivPct)),ExDivTree!AV39))</f>
        <v>42.482915873800003</v>
      </c>
      <c r="AW39" s="17">
        <f>IF(AW$3="","",IF(AND(DivAs=2,AW$2&lt;ExDivPct),ExDivTree!AW39+DivAmount*EXP(IntRate*(AW$2-ExDivPct)),ExDivTree!AW39))</f>
        <v>43.768982506199997</v>
      </c>
      <c r="AX39" s="17">
        <f>IF(AX$3="","",IF(AND(DivAs=2,AX$2&lt;ExDivPct),ExDivTree!AX39+DivAmount*EXP(IntRate*(AX$2-ExDivPct)),ExDivTree!AX39))</f>
        <v>45.093981668200001</v>
      </c>
      <c r="AY39" s="17">
        <f>IF(AY$3="","",IF(AND(DivAs=2,AY$2&lt;ExDivPct),ExDivTree!AY39+DivAmount*EXP(IntRate*(AY$2-ExDivPct)),ExDivTree!AY39))</f>
        <v>46.459091947300003</v>
      </c>
      <c r="AZ39" s="17">
        <f>IF(AZ$3="","",IF(AND(DivAs=2,AZ$2&lt;ExDivPct),ExDivTree!AZ39+DivAmount*EXP(IntRate*(AZ$2-ExDivPct)),ExDivTree!AZ39))</f>
        <v>47.865527609600001</v>
      </c>
      <c r="BA39" s="17">
        <f>IF(BA$3="","",IF(AND(DivAs=2,BA$2&lt;ExDivPct),ExDivTree!BA39+DivAmount*EXP(IntRate*(BA$2-ExDivPct)),ExDivTree!BA39))</f>
        <v>49.314539680300001</v>
      </c>
      <c r="BB39" s="17">
        <f>IF(BB$3="","",IF(AND(DivAs=2,BB$2&lt;ExDivPct),ExDivTree!BB39+DivAmount*EXP(IntRate*(BB$2-ExDivPct)),ExDivTree!BB39))</f>
        <v>50.807417056299997</v>
      </c>
      <c r="BC39" s="17">
        <f>IF(BC$3="","",IF(AND(DivAs=2,BC$2&lt;ExDivPct),ExDivTree!BC39+DivAmount*EXP(IntRate*(BC$2-ExDivPct)),ExDivTree!BC39))</f>
        <v>52.345487652700001</v>
      </c>
      <c r="BD39" s="17">
        <f>IF(BD$3="","",IF(AND(DivAs=2,BD$2&lt;ExDivPct),ExDivTree!BD39+DivAmount*EXP(IntRate*(BD$2-ExDivPct)),ExDivTree!BD39))</f>
        <v>53.930119583900002</v>
      </c>
      <c r="BE39" s="17">
        <f>IF(BE$3="","",IF(AND(DivAs=2,BE$2&lt;ExDivPct),ExDivTree!BE39+DivAmount*EXP(IntRate*(BE$2-ExDivPct)),ExDivTree!BE39))</f>
        <v>55.562722380799997</v>
      </c>
      <c r="BF39" s="17">
        <f>IF(BF$3="","",IF(AND(DivAs=2,BF$2&lt;ExDivPct),ExDivTree!BF39+DivAmount*EXP(IntRate*(BF$2-ExDivPct)),ExDivTree!BF39))</f>
        <v>57.244748244299998</v>
      </c>
      <c r="BG39" s="17">
        <f>IF(BG$3="","",IF(AND(DivAs=2,BG$2&lt;ExDivPct),ExDivTree!BG39+DivAmount*EXP(IntRate*(BG$2-ExDivPct)),ExDivTree!BG39))</f>
        <v>58.977693337200002</v>
      </c>
      <c r="BH39" s="17">
        <f>IF(BH$3="","",IF(AND(DivAs=2,BH$2&lt;ExDivPct),ExDivTree!BH39+DivAmount*EXP(IntRate*(BH$2-ExDivPct)),ExDivTree!BH39))</f>
        <v>60.763099114900001</v>
      </c>
      <c r="BI39" s="17">
        <f>IF(BI$3="","",IF(AND(DivAs=2,BI$2&lt;ExDivPct),ExDivTree!BI39+DivAmount*EXP(IntRate*(BI$2-ExDivPct)),ExDivTree!BI39))</f>
        <v>62.602553696699999</v>
      </c>
      <c r="BJ39" s="17">
        <f>IF(BJ$3="","",IF(AND(DivAs=2,BJ$2&lt;ExDivPct),ExDivTree!BJ39+DivAmount*EXP(IntRate*(BJ$2-ExDivPct)),ExDivTree!BJ39))</f>
        <v>64.497693278200003</v>
      </c>
      <c r="BK39" s="17">
        <f>IF(BK$3="","",IF(AND(DivAs=2,BK$2&lt;ExDivPct),ExDivTree!BK39+DivAmount*EXP(IntRate*(BK$2-ExDivPct)),ExDivTree!BK39))</f>
        <v>66.450203587000004</v>
      </c>
      <c r="BL39" s="17">
        <f>IF(BL$3="","",IF(AND(DivAs=2,BL$2&lt;ExDivPct),ExDivTree!BL39+DivAmount*EXP(IntRate*(BL$2-ExDivPct)),ExDivTree!BL39))</f>
        <v>68.461821381799993</v>
      </c>
      <c r="BM39" s="17">
        <f>IF(BM$3="","",IF(AND(DivAs=2,BM$2&lt;ExDivPct),ExDivTree!BM39+DivAmount*EXP(IntRate*(BM$2-ExDivPct)),ExDivTree!BM39))</f>
        <v>70.534335997599996</v>
      </c>
      <c r="BN39" s="17">
        <f>IF(BN$3="","",IF(AND(DivAs=2,BN$2&lt;ExDivPct),ExDivTree!BN39+DivAmount*EXP(IntRate*(BN$2-ExDivPct)),ExDivTree!BN39))</f>
        <v>72.669590937099997</v>
      </c>
      <c r="BO39" s="17">
        <f>IF(BO$3="","",IF(AND(DivAs=2,BO$2&lt;ExDivPct),ExDivTree!BO39+DivAmount*EXP(IntRate*(BO$2-ExDivPct)),ExDivTree!BO39))</f>
        <v>74.869485510499999</v>
      </c>
      <c r="BP39" s="17">
        <f>IF(BP$3="","",IF(AND(DivAs=2,BP$2&lt;ExDivPct),ExDivTree!BP39+DivAmount*EXP(IntRate*(BP$2-ExDivPct)),ExDivTree!BP39))</f>
        <v>77.135976525000004</v>
      </c>
      <c r="BQ39" s="17">
        <f>IF(BQ$3="","",IF(AND(DivAs=2,BQ$2&lt;ExDivPct),ExDivTree!BQ39+DivAmount*EXP(IntRate*(BQ$2-ExDivPct)),ExDivTree!BQ39))</f>
        <v>79.471080025399999</v>
      </c>
      <c r="BR39" s="17">
        <f>IF(BR$3="","",IF(AND(DivAs=2,BR$2&lt;ExDivPct),ExDivTree!BR39+DivAmount*EXP(IntRate*(BR$2-ExDivPct)),ExDivTree!BR39))</f>
        <v>81.876873087299998</v>
      </c>
      <c r="BS39" s="17">
        <f>IF(BS$3="","",IF(AND(DivAs=2,BS$2&lt;ExDivPct),ExDivTree!BS39+DivAmount*EXP(IntRate*(BS$2-ExDivPct)),ExDivTree!BS39))</f>
        <v>84.355495664700001</v>
      </c>
      <c r="BT39" s="17">
        <f>IF(BT$3="","",IF(AND(DivAs=2,BT$2&lt;ExDivPct),ExDivTree!BT39+DivAmount*EXP(IntRate*(BT$2-ExDivPct)),ExDivTree!BT39))</f>
        <v>86.909152493600004</v>
      </c>
      <c r="BU39" s="17">
        <f>IF(BU$3="","",IF(AND(DivAs=2,BU$2&lt;ExDivPct),ExDivTree!BU39+DivAmount*EXP(IntRate*(BU$2-ExDivPct)),ExDivTree!BU39))</f>
        <v>89.540115052800004</v>
      </c>
      <c r="BV39" s="17">
        <f>IF(BV$3="","",IF(AND(DivAs=2,BV$2&lt;ExDivPct),ExDivTree!BV39+DivAmount*EXP(IntRate*(BV$2-ExDivPct)),ExDivTree!BV39))</f>
        <v>92.250723584699998</v>
      </c>
      <c r="BW39" s="17">
        <f>IF(BW$3="","",IF(AND(DivAs=2,BW$2&lt;ExDivPct),ExDivTree!BW39+DivAmount*EXP(IntRate*(BW$2-ExDivPct)),ExDivTree!BW39))</f>
        <v>95.043389176800005</v>
      </c>
      <c r="BX39" s="17">
        <f>IF(BX$3="","",IF(AND(DivAs=2,BX$2&lt;ExDivPct),ExDivTree!BX39+DivAmount*EXP(IntRate*(BX$2-ExDivPct)),ExDivTree!BX39))</f>
        <v>97.920595906499997</v>
      </c>
      <c r="BY39" s="17">
        <f>IF(BY$3="","",IF(AND(DivAs=2,BY$2&lt;ExDivPct),ExDivTree!BY39+DivAmount*EXP(IntRate*(BY$2-ExDivPct)),ExDivTree!BY39))</f>
        <v>100.8849030504</v>
      </c>
      <c r="BZ39" s="17">
        <f>IF(BZ$3="","",IF(AND(DivAs=2,BZ$2&lt;ExDivPct),ExDivTree!BZ39+DivAmount*EXP(IntRate*(BZ$2-ExDivPct)),ExDivTree!BZ39))</f>
        <v>103.938947361</v>
      </c>
      <c r="CA39" s="17">
        <f>IF(CA$3="","",IF(AND(DivAs=2,CA$2&lt;ExDivPct),ExDivTree!CA39+DivAmount*EXP(IntRate*(CA$2-ExDivPct)),ExDivTree!CA39))</f>
        <v>107.0854454122</v>
      </c>
      <c r="CB39" s="17">
        <f>IF(CB$3="","",IF(AND(DivAs=2,CB$2&lt;ExDivPct),ExDivTree!CB39+DivAmount*EXP(IntRate*(CB$2-ExDivPct)),ExDivTree!CB39))</f>
        <v>110.3271960153</v>
      </c>
      <c r="CC39" s="17">
        <f>IF(CC$3="","",IF(AND(DivAs=2,CC$2&lt;ExDivPct),ExDivTree!CC39+DivAmount*EXP(IntRate*(CC$2-ExDivPct)),ExDivTree!CC39))</f>
        <v>113.667082709</v>
      </c>
      <c r="CD39" s="17">
        <f>IF(CD$3="","",IF(AND(DivAs=2,CD$2&lt;ExDivPct),ExDivTree!CD39+DivAmount*EXP(IntRate*(CD$2-ExDivPct)),ExDivTree!CD39))</f>
        <v>117.1080763241</v>
      </c>
      <c r="CE39" s="17">
        <f>IF(CE$3="","",IF(AND(DivAs=2,CE$2&lt;ExDivPct),ExDivTree!CE39+DivAmount*EXP(IntRate*(CE$2-ExDivPct)),ExDivTree!CE39))</f>
        <v>120.6532376259</v>
      </c>
      <c r="CF39" s="17">
        <f>IF(CF$3="","",IF(AND(DivAs=2,CF$2&lt;ExDivPct),ExDivTree!CF39+DivAmount*EXP(IntRate*(CF$2-ExDivPct)),ExDivTree!CF39))</f>
        <v>124.3057200369</v>
      </c>
      <c r="CG39" s="17">
        <f>IF(CG$3="","",IF(AND(DivAs=2,CG$2&lt;ExDivPct),ExDivTree!CG39+DivAmount*EXP(IntRate*(CG$2-ExDivPct)),ExDivTree!CG39))</f>
        <v>128.06877244200001</v>
      </c>
      <c r="CH39" s="17">
        <f>IF(CH$3="","",IF(AND(DivAs=2,CH$2&lt;ExDivPct),ExDivTree!CH39+DivAmount*EXP(IntRate*(CH$2-ExDivPct)),ExDivTree!CH39))</f>
        <v>131.94574207790001</v>
      </c>
      <c r="CI39" s="17">
        <f>IF(CI$3="","",IF(AND(DivAs=2,CI$2&lt;ExDivPct),ExDivTree!CI39+DivAmount*EXP(IntRate*(CI$2-ExDivPct)),ExDivTree!CI39))</f>
        <v>135.94007751090001</v>
      </c>
      <c r="CJ39" s="17">
        <f>IF(CJ$3="","",IF(AND(DivAs=2,CJ$2&lt;ExDivPct),ExDivTree!CJ39+DivAmount*EXP(IntRate*(CJ$2-ExDivPct)),ExDivTree!CJ39))</f>
        <v>140.05533170410001</v>
      </c>
      <c r="CK39" s="17">
        <f>IF(CK$3="","",IF(AND(DivAs=2,CK$2&lt;ExDivPct),ExDivTree!CK39+DivAmount*EXP(IntRate*(CK$2-ExDivPct)),ExDivTree!CK39))</f>
        <v>144.29516517799999</v>
      </c>
      <c r="CL39" s="17">
        <f>IF(CL$3="","",IF(AND(DivAs=2,CL$2&lt;ExDivPct),ExDivTree!CL39+DivAmount*EXP(IntRate*(CL$2-ExDivPct)),ExDivTree!CL39))</f>
        <v>148.66334926639999</v>
      </c>
      <c r="CM39" s="17">
        <f>IF(CM$3="","",IF(AND(DivAs=2,CM$2&lt;ExDivPct),ExDivTree!CM39+DivAmount*EXP(IntRate*(CM$2-ExDivPct)),ExDivTree!CM39))</f>
        <v>153.16376947099999</v>
      </c>
      <c r="CN39" s="17">
        <f>IF(CN$3="","",IF(AND(DivAs=2,CN$2&lt;ExDivPct),ExDivTree!CN39+DivAmount*EXP(IntRate*(CN$2-ExDivPct)),ExDivTree!CN39))</f>
        <v>157.80042891759999</v>
      </c>
      <c r="CO39" s="17">
        <f>IF(CO$3="","",IF(AND(DivAs=2,CO$2&lt;ExDivPct),ExDivTree!CO39+DivAmount*EXP(IntRate*(CO$2-ExDivPct)),ExDivTree!CO39))</f>
        <v>162.5774519169</v>
      </c>
      <c r="CP39" s="17">
        <f>IF(CP$3="","",IF(AND(DivAs=2,CP$2&lt;ExDivPct),ExDivTree!CP39+DivAmount*EXP(IntRate*(CP$2-ExDivPct)),ExDivTree!CP39))</f>
        <v>167.49908763299999</v>
      </c>
      <c r="CQ39" s="17">
        <f>IF(CQ$3="","",IF(AND(DivAs=2,CQ$2&lt;ExDivPct),ExDivTree!CQ39+DivAmount*EXP(IntRate*(CQ$2-ExDivPct)),ExDivTree!CQ39))</f>
        <v>172.569713863</v>
      </c>
      <c r="CR39" s="17">
        <f>IF(CR$3="","",IF(AND(DivAs=2,CR$2&lt;ExDivPct),ExDivTree!CR39+DivAmount*EXP(IntRate*(CR$2-ExDivPct)),ExDivTree!CR39))</f>
        <v>177.7938409313</v>
      </c>
      <c r="CS39" s="17">
        <f>IF(CS$3="","",IF(AND(DivAs=2,CS$2&lt;ExDivPct),ExDivTree!CS39+DivAmount*EXP(IntRate*(CS$2-ExDivPct)),ExDivTree!CS39))</f>
        <v>183.17611570130001</v>
      </c>
      <c r="CT39" s="17">
        <f>IF(CT$3="","",IF(AND(DivAs=2,CT$2&lt;ExDivPct),ExDivTree!CT39+DivAmount*EXP(IntRate*(CT$2-ExDivPct)),ExDivTree!CT39))</f>
        <v>188.72132570880001</v>
      </c>
      <c r="CU39" s="17">
        <f>IF(CU$3="","",IF(AND(DivAs=2,CU$2&lt;ExDivPct),ExDivTree!CU39+DivAmount*EXP(IntRate*(CU$2-ExDivPct)),ExDivTree!CU39))</f>
        <v>194.43440342060001</v>
      </c>
      <c r="CV39" s="17">
        <f>IF(CV$3="","",IF(AND(DivAs=2,CV$2&lt;ExDivPct),ExDivTree!CV39+DivAmount*EXP(IntRate*(CV$2-ExDivPct)),ExDivTree!CV39))</f>
        <v>200.32043062189999</v>
      </c>
      <c r="CW39" s="17">
        <f>IF(CW$3="","",IF(AND(DivAs=2,CW$2&lt;ExDivPct),ExDivTree!CW39+DivAmount*EXP(IntRate*(CW$2-ExDivPct)),ExDivTree!CW39))</f>
        <v>206.38464293659999</v>
      </c>
      <c r="CX39" s="17">
        <f>IF(CX$3="","",IF(AND(DivAs=2,CX$2&lt;ExDivPct),ExDivTree!CX39+DivAmount*EXP(IntRate*(CX$2-ExDivPct)),ExDivTree!CX39))</f>
        <v>212.63243448419999</v>
      </c>
      <c r="CY39" s="17">
        <f>IF(CY$3="","",IF(AND(DivAs=2,CY$2&lt;ExDivPct),ExDivTree!CY39+DivAmount*EXP(IntRate*(CY$2-ExDivPct)),ExDivTree!CY39))</f>
        <v>219.06936267820001</v>
      </c>
      <c r="CZ39" s="17">
        <f>IF(CZ$3="","",IF(AND(DivAs=2,CZ$2&lt;ExDivPct),ExDivTree!CZ39+DivAmount*EXP(IntRate*(CZ$2-ExDivPct)),ExDivTree!CZ39))</f>
        <v>225.7011531691</v>
      </c>
      <c r="DA39" s="17">
        <f>IF(DA$3="","",IF(AND(DivAs=2,DA$2&lt;ExDivPct),ExDivTree!DA39+DivAmount*EXP(IntRate*(DA$2-ExDivPct)),ExDivTree!DA39))</f>
        <v>232.5337049375</v>
      </c>
      <c r="DB39" s="17">
        <f>IF(DB$3="","",IF(AND(DivAs=2,DB$2&lt;ExDivPct),ExDivTree!DB39+DivAmount*EXP(IntRate*(DB$2-ExDivPct)),ExDivTree!DB39))</f>
        <v>239.57309554130001</v>
      </c>
    </row>
    <row r="40" spans="1:106" x14ac:dyDescent="0.2">
      <c r="A40">
        <f>ExDivTree!A40</f>
        <v>3.0722717353328938E+27</v>
      </c>
      <c r="B40" s="71">
        <f>ExDivTree!B40</f>
        <v>1.2117975311098177E-3</v>
      </c>
      <c r="C40" s="71">
        <f>ExDivTree!C40</f>
        <v>1.3081502392671774E-3</v>
      </c>
      <c r="D40" s="177">
        <f>ExDivTree!D40</f>
        <v>36</v>
      </c>
      <c r="AO40" s="17">
        <f>IF(AO$3="","",IF(AND(DivAs=2,AO$2&lt;ExDivPct),ExDivTree!AO40+DivAmount*EXP(IntRate*(AO$2-ExDivPct)),ExDivTree!AO40))</f>
        <v>32.482345389999999</v>
      </c>
      <c r="AP40" s="17">
        <f>IF(AP$3="","",IF(AND(DivAs=2,AP$2&lt;ExDivPct),ExDivTree!AP40+DivAmount*EXP(IntRate*(AP$2-ExDivPct)),ExDivTree!AP40))</f>
        <v>33.4656691494</v>
      </c>
      <c r="AQ40" s="17">
        <f>IF(AQ$3="","",IF(AND(DivAs=2,AQ$2&lt;ExDivPct),ExDivTree!AQ40+DivAmount*EXP(IntRate*(AQ$2-ExDivPct)),ExDivTree!AQ40))</f>
        <v>34.478760636600001</v>
      </c>
      <c r="AR40" s="17">
        <f>IF(AR$3="","",IF(AND(DivAs=2,AR$2&lt;ExDivPct),ExDivTree!AR40+DivAmount*EXP(IntRate*(AR$2-ExDivPct)),ExDivTree!AR40))</f>
        <v>35.522520996899999</v>
      </c>
      <c r="AS40" s="17">
        <f>IF(AS$3="","",IF(AND(DivAs=2,AS$2&lt;ExDivPct),ExDivTree!AS40+DivAmount*EXP(IntRate*(AS$2-ExDivPct)),ExDivTree!AS40))</f>
        <v>36.597878655700001</v>
      </c>
      <c r="AT40" s="17">
        <f>IF(AT$3="","",IF(AND(DivAs=2,AT$2&lt;ExDivPct),ExDivTree!AT40+DivAmount*EXP(IntRate*(AT$2-ExDivPct)),ExDivTree!AT40))</f>
        <v>37.705790143999998</v>
      </c>
      <c r="AU40" s="17">
        <f>IF(AU$3="","",IF(AND(DivAs=2,AU$2&lt;ExDivPct),ExDivTree!AU40+DivAmount*EXP(IntRate*(AU$2-ExDivPct)),ExDivTree!AU40))</f>
        <v>38.847240949700002</v>
      </c>
      <c r="AV40" s="17">
        <f>IF(AV$3="","",IF(AND(DivAs=2,AV$2&lt;ExDivPct),ExDivTree!AV40+DivAmount*EXP(IntRate*(AV$2-ExDivPct)),ExDivTree!AV40))</f>
        <v>40.023246393699999</v>
      </c>
      <c r="AW40" s="17">
        <f>IF(AW$3="","",IF(AND(DivAs=2,AW$2&lt;ExDivPct),ExDivTree!AW40+DivAmount*EXP(IntRate*(AW$2-ExDivPct)),ExDivTree!AW40))</f>
        <v>41.234852533400002</v>
      </c>
      <c r="AX40" s="17">
        <f>IF(AX$3="","",IF(AND(DivAs=2,AX$2&lt;ExDivPct),ExDivTree!AX40+DivAmount*EXP(IntRate*(AX$2-ExDivPct)),ExDivTree!AX40))</f>
        <v>42.483137093000003</v>
      </c>
      <c r="AY40" s="17">
        <f>IF(AY$3="","",IF(AND(DivAs=2,AY$2&lt;ExDivPct),ExDivTree!AY40+DivAmount*EXP(IntRate*(AY$2-ExDivPct)),ExDivTree!AY40))</f>
        <v>43.769210422199997</v>
      </c>
      <c r="AZ40" s="17">
        <f>IF(AZ$3="","",IF(AND(DivAs=2,AZ$2&lt;ExDivPct),ExDivTree!AZ40+DivAmount*EXP(IntRate*(AZ$2-ExDivPct)),ExDivTree!AZ40))</f>
        <v>45.094216483799997</v>
      </c>
      <c r="BA40" s="17">
        <f>IF(BA$3="","",IF(AND(DivAs=2,BA$2&lt;ExDivPct),ExDivTree!BA40+DivAmount*EXP(IntRate*(BA$2-ExDivPct)),ExDivTree!BA40))</f>
        <v>46.459333871299997</v>
      </c>
      <c r="BB40" s="17">
        <f>IF(BB$3="","",IF(AND(DivAs=2,BB$2&lt;ExDivPct),ExDivTree!BB40+DivAmount*EXP(IntRate*(BB$2-ExDivPct)),ExDivTree!BB40))</f>
        <v>47.865776857299998</v>
      </c>
      <c r="BC40" s="17">
        <f>IF(BC$3="","",IF(AND(DivAs=2,BC$2&lt;ExDivPct),ExDivTree!BC40+DivAmount*EXP(IntRate*(BC$2-ExDivPct)),ExDivTree!BC40))</f>
        <v>49.314796473400001</v>
      </c>
      <c r="BD40" s="17">
        <f>IF(BD$3="","",IF(AND(DivAs=2,BD$2&lt;ExDivPct),ExDivTree!BD40+DivAmount*EXP(IntRate*(BD$2-ExDivPct)),ExDivTree!BD40))</f>
        <v>50.807681623199997</v>
      </c>
      <c r="BE40" s="17">
        <f>IF(BE$3="","",IF(AND(DivAs=2,BE$2&lt;ExDivPct),ExDivTree!BE40+DivAmount*EXP(IntRate*(BE$2-ExDivPct)),ExDivTree!BE40))</f>
        <v>52.345760228700001</v>
      </c>
      <c r="BF40" s="17">
        <f>IF(BF$3="","",IF(AND(DivAs=2,BF$2&lt;ExDivPct),ExDivTree!BF40+DivAmount*EXP(IntRate*(BF$2-ExDivPct)),ExDivTree!BF40))</f>
        <v>53.930400411500003</v>
      </c>
      <c r="BG40" s="17">
        <f>IF(BG$3="","",IF(AND(DivAs=2,BG$2&lt;ExDivPct),ExDivTree!BG40+DivAmount*EXP(IntRate*(BG$2-ExDivPct)),ExDivTree!BG40))</f>
        <v>55.563011709800001</v>
      </c>
      <c r="BH40" s="17">
        <f>IF(BH$3="","",IF(AND(DivAs=2,BH$2&lt;ExDivPct),ExDivTree!BH40+DivAmount*EXP(IntRate*(BH$2-ExDivPct)),ExDivTree!BH40))</f>
        <v>57.245046332100003</v>
      </c>
      <c r="BI40" s="17">
        <f>IF(BI$3="","",IF(AND(DivAs=2,BI$2&lt;ExDivPct),ExDivTree!BI40+DivAmount*EXP(IntRate*(BI$2-ExDivPct)),ExDivTree!BI40))</f>
        <v>58.978000448899998</v>
      </c>
      <c r="BJ40" s="17">
        <f>IF(BJ$3="","",IF(AND(DivAs=2,BJ$2&lt;ExDivPct),ExDivTree!BJ40+DivAmount*EXP(IntRate*(BJ$2-ExDivPct)),ExDivTree!BJ40))</f>
        <v>60.763415523699997</v>
      </c>
      <c r="BK40" s="17">
        <f>IF(BK$3="","",IF(AND(DivAs=2,BK$2&lt;ExDivPct),ExDivTree!BK40+DivAmount*EXP(IntRate*(BK$2-ExDivPct)),ExDivTree!BK40))</f>
        <v>62.602879684000001</v>
      </c>
      <c r="BL40" s="17">
        <f>IF(BL$3="","",IF(AND(DivAs=2,BL$2&lt;ExDivPct),ExDivTree!BL40+DivAmount*EXP(IntRate*(BL$2-ExDivPct)),ExDivTree!BL40))</f>
        <v>64.498029134000006</v>
      </c>
      <c r="BM40" s="17">
        <f>IF(BM$3="","",IF(AND(DivAs=2,BM$2&lt;ExDivPct),ExDivTree!BM40+DivAmount*EXP(IntRate*(BM$2-ExDivPct)),ExDivTree!BM40))</f>
        <v>66.450549609999996</v>
      </c>
      <c r="BN40" s="17">
        <f>IF(BN$3="","",IF(AND(DivAs=2,BN$2&lt;ExDivPct),ExDivTree!BN40+DivAmount*EXP(IntRate*(BN$2-ExDivPct)),ExDivTree!BN40))</f>
        <v>68.462177879799995</v>
      </c>
      <c r="BO40" s="17">
        <f>IF(BO$3="","",IF(AND(DivAs=2,BO$2&lt;ExDivPct),ExDivTree!BO40+DivAmount*EXP(IntRate*(BO$2-ExDivPct)),ExDivTree!BO40))</f>
        <v>70.534703287699998</v>
      </c>
      <c r="BP40" s="17">
        <f>IF(BP$3="","",IF(AND(DivAs=2,BP$2&lt;ExDivPct),ExDivTree!BP40+DivAmount*EXP(IntRate*(BP$2-ExDivPct)),ExDivTree!BP40))</f>
        <v>72.669969346000002</v>
      </c>
      <c r="BQ40" s="17">
        <f>IF(BQ$3="","",IF(AND(DivAs=2,BQ$2&lt;ExDivPct),ExDivTree!BQ40+DivAmount*EXP(IntRate*(BQ$2-ExDivPct)),ExDivTree!BQ40))</f>
        <v>74.869875374800003</v>
      </c>
      <c r="BR40" s="17">
        <f>IF(BR$3="","",IF(AND(DivAs=2,BR$2&lt;ExDivPct),ExDivTree!BR40+DivAmount*EXP(IntRate*(BR$2-ExDivPct)),ExDivTree!BR40))</f>
        <v>77.1363781915</v>
      </c>
      <c r="BS40" s="17">
        <f>IF(BS$3="","",IF(AND(DivAs=2,BS$2&lt;ExDivPct),ExDivTree!BS40+DivAmount*EXP(IntRate*(BS$2-ExDivPct)),ExDivTree!BS40))</f>
        <v>79.471493851399998</v>
      </c>
      <c r="BT40" s="17">
        <f>IF(BT$3="","",IF(AND(DivAs=2,BT$2&lt;ExDivPct),ExDivTree!BT40+DivAmount*EXP(IntRate*(BT$2-ExDivPct)),ExDivTree!BT40))</f>
        <v>81.877299440900003</v>
      </c>
      <c r="BU40" s="17">
        <f>IF(BU$3="","",IF(AND(DivAs=2,BU$2&lt;ExDivPct),ExDivTree!BU40+DivAmount*EXP(IntRate*(BU$2-ExDivPct)),ExDivTree!BU40))</f>
        <v>84.355934925200003</v>
      </c>
      <c r="BV40" s="17">
        <f>IF(BV$3="","",IF(AND(DivAs=2,BV$2&lt;ExDivPct),ExDivTree!BV40+DivAmount*EXP(IntRate*(BV$2-ExDivPct)),ExDivTree!BV40))</f>
        <v>86.909605051599996</v>
      </c>
      <c r="BW40" s="17">
        <f>IF(BW$3="","",IF(AND(DivAs=2,BW$2&lt;ExDivPct),ExDivTree!BW40+DivAmount*EXP(IntRate*(BW$2-ExDivPct)),ExDivTree!BW40))</f>
        <v>89.540581310899995</v>
      </c>
      <c r="BX40" s="17">
        <f>IF(BX$3="","",IF(AND(DivAs=2,BX$2&lt;ExDivPct),ExDivTree!BX40+DivAmount*EXP(IntRate*(BX$2-ExDivPct)),ExDivTree!BX40))</f>
        <v>92.251203957599998</v>
      </c>
      <c r="BY40" s="17">
        <f>IF(BY$3="","",IF(AND(DivAs=2,BY$2&lt;ExDivPct),ExDivTree!BY40+DivAmount*EXP(IntRate*(BY$2-ExDivPct)),ExDivTree!BY40))</f>
        <v>95.043884091899997</v>
      </c>
      <c r="BZ40" s="17">
        <f>IF(BZ$3="","",IF(AND(DivAs=2,BZ$2&lt;ExDivPct),ExDivTree!BZ40+DivAmount*EXP(IntRate*(BZ$2-ExDivPct)),ExDivTree!BZ40))</f>
        <v>97.921105803900005</v>
      </c>
      <c r="CA40" s="17">
        <f>IF(CA$3="","",IF(AND(DivAs=2,CA$2&lt;ExDivPct),ExDivTree!CA40+DivAmount*EXP(IntRate*(CA$2-ExDivPct)),ExDivTree!CA40))</f>
        <v>100.8854283837</v>
      </c>
      <c r="CB40" s="17">
        <f>IF(CB$3="","",IF(AND(DivAs=2,CB$2&lt;ExDivPct),ExDivTree!CB40+DivAmount*EXP(IntRate*(CB$2-ExDivPct)),ExDivTree!CB40))</f>
        <v>103.9394885975</v>
      </c>
      <c r="CC40" s="17">
        <f>IF(CC$3="","",IF(AND(DivAs=2,CC$2&lt;ExDivPct),ExDivTree!CC40+DivAmount*EXP(IntRate*(CC$2-ExDivPct)),ExDivTree!CC40))</f>
        <v>107.0860030333</v>
      </c>
      <c r="CD40" s="17">
        <f>IF(CD$3="","",IF(AND(DivAs=2,CD$2&lt;ExDivPct),ExDivTree!CD40+DivAmount*EXP(IntRate*(CD$2-ExDivPct)),ExDivTree!CD40))</f>
        <v>110.32777051710001</v>
      </c>
      <c r="CE40" s="17">
        <f>IF(CE$3="","",IF(AND(DivAs=2,CE$2&lt;ExDivPct),ExDivTree!CE40+DivAmount*EXP(IntRate*(CE$2-ExDivPct)),ExDivTree!CE40))</f>
        <v>113.6676746025</v>
      </c>
      <c r="CF40" s="17">
        <f>IF(CF$3="","",IF(AND(DivAs=2,CF$2&lt;ExDivPct),ExDivTree!CF40+DivAmount*EXP(IntRate*(CF$2-ExDivPct)),ExDivTree!CF40))</f>
        <v>117.1086861357</v>
      </c>
      <c r="CG40" s="17">
        <f>IF(CG$3="","",IF(AND(DivAs=2,CG$2&lt;ExDivPct),ExDivTree!CG40+DivAmount*EXP(IntRate*(CG$2-ExDivPct)),ExDivTree!CG40))</f>
        <v>120.65386589800001</v>
      </c>
      <c r="CH40" s="17">
        <f>IF(CH$3="","",IF(AND(DivAs=2,CH$2&lt;ExDivPct),ExDivTree!CH40+DivAmount*EXP(IntRate*(CH$2-ExDivPct)),ExDivTree!CH40))</f>
        <v>124.3063673284</v>
      </c>
      <c r="CI40" s="17">
        <f>IF(CI$3="","",IF(AND(DivAs=2,CI$2&lt;ExDivPct),ExDivTree!CI40+DivAmount*EXP(IntRate*(CI$2-ExDivPct)),ExDivTree!CI40))</f>
        <v>128.0694393286</v>
      </c>
      <c r="CJ40" s="17">
        <f>IF(CJ$3="","",IF(AND(DivAs=2,CJ$2&lt;ExDivPct),ExDivTree!CJ40+DivAmount*EXP(IntRate*(CJ$2-ExDivPct)),ExDivTree!CJ40))</f>
        <v>131.94642915290001</v>
      </c>
      <c r="CK40" s="17">
        <f>IF(CK$3="","",IF(AND(DivAs=2,CK$2&lt;ExDivPct),ExDivTree!CK40+DivAmount*EXP(IntRate*(CK$2-ExDivPct)),ExDivTree!CK40))</f>
        <v>135.94078538540001</v>
      </c>
      <c r="CL40" s="17">
        <f>IF(CL$3="","",IF(AND(DivAs=2,CL$2&lt;ExDivPct),ExDivTree!CL40+DivAmount*EXP(IntRate*(CL$2-ExDivPct)),ExDivTree!CL40))</f>
        <v>140.0560610078</v>
      </c>
      <c r="CM40" s="17">
        <f>IF(CM$3="","",IF(AND(DivAs=2,CM$2&lt;ExDivPct),ExDivTree!CM40+DivAmount*EXP(IntRate*(CM$2-ExDivPct)),ExDivTree!CM40))</f>
        <v>144.29591655959999</v>
      </c>
      <c r="CN40" s="17">
        <f>IF(CN$3="","",IF(AND(DivAs=2,CN$2&lt;ExDivPct),ExDivTree!CN40+DivAmount*EXP(IntRate*(CN$2-ExDivPct)),ExDivTree!CN40))</f>
        <v>148.6641233942</v>
      </c>
      <c r="CO40" s="17">
        <f>IF(CO$3="","",IF(AND(DivAs=2,CO$2&lt;ExDivPct),ExDivTree!CO40+DivAmount*EXP(IntRate*(CO$2-ExDivPct)),ExDivTree!CO40))</f>
        <v>153.16456703360001</v>
      </c>
      <c r="CP40" s="17">
        <f>IF(CP$3="","",IF(AND(DivAs=2,CP$2&lt;ExDivPct),ExDivTree!CP40+DivAmount*EXP(IntRate*(CP$2-ExDivPct)),ExDivTree!CP40))</f>
        <v>157.8012506245</v>
      </c>
      <c r="CQ40" s="17">
        <f>IF(CQ$3="","",IF(AND(DivAs=2,CQ$2&lt;ExDivPct),ExDivTree!CQ40+DivAmount*EXP(IntRate*(CQ$2-ExDivPct)),ExDivTree!CQ40))</f>
        <v>162.57829849890001</v>
      </c>
      <c r="CR40" s="17">
        <f>IF(CR$3="","",IF(AND(DivAs=2,CR$2&lt;ExDivPct),ExDivTree!CR40+DivAmount*EXP(IntRate*(CR$2-ExDivPct)),ExDivTree!CR40))</f>
        <v>167.4999598432</v>
      </c>
      <c r="CS40" s="17">
        <f>IF(CS$3="","",IF(AND(DivAs=2,CS$2&lt;ExDivPct),ExDivTree!CS40+DivAmount*EXP(IntRate*(CS$2-ExDivPct)),ExDivTree!CS40))</f>
        <v>172.57061247729999</v>
      </c>
      <c r="CT40" s="17">
        <f>IF(CT$3="","",IF(AND(DivAs=2,CT$2&lt;ExDivPct),ExDivTree!CT40+DivAmount*EXP(IntRate*(CT$2-ExDivPct)),ExDivTree!CT40))</f>
        <v>177.79476674899999</v>
      </c>
      <c r="CU40" s="17">
        <f>IF(CU$3="","",IF(AND(DivAs=2,CU$2&lt;ExDivPct),ExDivTree!CU40+DivAmount*EXP(IntRate*(CU$2-ExDivPct)),ExDivTree!CU40))</f>
        <v>183.1770695459</v>
      </c>
      <c r="CV40" s="17">
        <f>IF(CV$3="","",IF(AND(DivAs=2,CV$2&lt;ExDivPct),ExDivTree!CV40+DivAmount*EXP(IntRate*(CV$2-ExDivPct)),ExDivTree!CV40))</f>
        <v>188.72230842869999</v>
      </c>
      <c r="CW40" s="17">
        <f>IF(CW$3="","",IF(AND(DivAs=2,CW$2&lt;ExDivPct),ExDivTree!CW40+DivAmount*EXP(IntRate*(CW$2-ExDivPct)),ExDivTree!CW40))</f>
        <v>194.43541589</v>
      </c>
      <c r="CX40" s="17">
        <f>IF(CX$3="","",IF(AND(DivAs=2,CX$2&lt;ExDivPct),ExDivTree!CX40+DivAmount*EXP(IntRate*(CX$2-ExDivPct)),ExDivTree!CX40))</f>
        <v>200.32147374140001</v>
      </c>
      <c r="CY40" s="17">
        <f>IF(CY$3="","",IF(AND(DivAs=2,CY$2&lt;ExDivPct),ExDivTree!CY40+DivAmount*EXP(IntRate*(CY$2-ExDivPct)),ExDivTree!CY40))</f>
        <v>206.385717634</v>
      </c>
      <c r="CZ40" s="17">
        <f>IF(CZ$3="","",IF(AND(DivAs=2,CZ$2&lt;ExDivPct),ExDivTree!CZ40+DivAmount*EXP(IntRate*(CZ$2-ExDivPct)),ExDivTree!CZ40))</f>
        <v>212.6335417155</v>
      </c>
      <c r="DA40" s="17">
        <f>IF(DA$3="","",IF(AND(DivAs=2,DA$2&lt;ExDivPct),ExDivTree!DA40+DivAmount*EXP(IntRate*(DA$2-ExDivPct)),ExDivTree!DA40))</f>
        <v>219.0705034282</v>
      </c>
      <c r="DB40" s="17">
        <f>IF(DB$3="","",IF(AND(DivAs=2,DB$2&lt;ExDivPct),ExDivTree!DB40+DivAmount*EXP(IntRate*(DB$2-ExDivPct)),ExDivTree!DB40))</f>
        <v>225.70232845250001</v>
      </c>
    </row>
    <row r="41" spans="1:106" x14ac:dyDescent="0.2">
      <c r="A41">
        <f>ExDivTree!A41</f>
        <v>5.3972341296388722E+27</v>
      </c>
      <c r="B41" s="71">
        <f>ExDivTree!B41</f>
        <v>2.1288335005983303E-3</v>
      </c>
      <c r="C41" s="71">
        <f>ExDivTree!C41</f>
        <v>2.2859518366009266E-3</v>
      </c>
      <c r="D41" s="177">
        <f>ExDivTree!D41</f>
        <v>37</v>
      </c>
      <c r="AP41" s="17">
        <f>IF(AP$3="","",IF(AND(DivAs=2,AP$2&lt;ExDivPct),ExDivTree!AP41+DivAmount*EXP(IntRate*(AP$2-ExDivPct)),ExDivTree!AP41))</f>
        <v>31.528078865200001</v>
      </c>
      <c r="AQ41" s="17">
        <f>IF(AQ$3="","",IF(AND(DivAs=2,AQ$2&lt;ExDivPct),ExDivTree!AQ41+DivAmount*EXP(IntRate*(AQ$2-ExDivPct)),ExDivTree!AQ41))</f>
        <v>32.482514533699998</v>
      </c>
      <c r="AR41" s="17">
        <f>IF(AR$3="","",IF(AND(DivAs=2,AR$2&lt;ExDivPct),ExDivTree!AR41+DivAmount*EXP(IntRate*(AR$2-ExDivPct)),ExDivTree!AR41))</f>
        <v>33.465843413499996</v>
      </c>
      <c r="AS41" s="17">
        <f>IF(AS$3="","",IF(AND(DivAs=2,AS$2&lt;ExDivPct),ExDivTree!AS41+DivAmount*EXP(IntRate*(AS$2-ExDivPct)),ExDivTree!AS41))</f>
        <v>34.478940176099997</v>
      </c>
      <c r="AT41" s="17">
        <f>IF(AT$3="","",IF(AND(DivAs=2,AT$2&lt;ExDivPct),ExDivTree!AT41+DivAmount*EXP(IntRate*(AT$2-ExDivPct)),ExDivTree!AT41))</f>
        <v>35.522705971599997</v>
      </c>
      <c r="AU41" s="17">
        <f>IF(AU$3="","",IF(AND(DivAs=2,AU$2&lt;ExDivPct),ExDivTree!AU41+DivAmount*EXP(IntRate*(AU$2-ExDivPct)),ExDivTree!AU41))</f>
        <v>36.59806923</v>
      </c>
      <c r="AV41" s="17">
        <f>IF(AV$3="","",IF(AND(DivAs=2,AV$2&lt;ExDivPct),ExDivTree!AV41+DivAmount*EXP(IntRate*(AV$2-ExDivPct)),ExDivTree!AV41))</f>
        <v>37.705986487499999</v>
      </c>
      <c r="AW41" s="17">
        <f>IF(AW$3="","",IF(AND(DivAs=2,AW$2&lt;ExDivPct),ExDivTree!AW41+DivAmount*EXP(IntRate*(AW$2-ExDivPct)),ExDivTree!AW41))</f>
        <v>38.847443237</v>
      </c>
      <c r="AX41" s="17">
        <f>IF(AX$3="","",IF(AND(DivAs=2,AX$2&lt;ExDivPct),ExDivTree!AX41+DivAmount*EXP(IntRate*(AX$2-ExDivPct)),ExDivTree!AX41))</f>
        <v>40.023454804799997</v>
      </c>
      <c r="AY41" s="17">
        <f>IF(AY$3="","",IF(AND(DivAs=2,AY$2&lt;ExDivPct),ExDivTree!AY41+DivAmount*EXP(IntRate*(AY$2-ExDivPct)),ExDivTree!AY41))</f>
        <v>41.235067253700002</v>
      </c>
      <c r="AZ41" s="17">
        <f>IF(AZ$3="","",IF(AND(DivAs=2,AZ$2&lt;ExDivPct),ExDivTree!AZ41+DivAmount*EXP(IntRate*(AZ$2-ExDivPct)),ExDivTree!AZ41))</f>
        <v>42.483358313499998</v>
      </c>
      <c r="BA41" s="17">
        <f>IF(BA$3="","",IF(AND(DivAs=2,BA$2&lt;ExDivPct),ExDivTree!BA41+DivAmount*EXP(IntRate*(BA$2-ExDivPct)),ExDivTree!BA41))</f>
        <v>43.769438339700002</v>
      </c>
      <c r="BB41" s="17">
        <f>IF(BB$3="","",IF(AND(DivAs=2,BB$2&lt;ExDivPct),ExDivTree!BB41+DivAmount*EXP(IntRate*(BB$2-ExDivPct)),ExDivTree!BB41))</f>
        <v>45.094451300999999</v>
      </c>
      <c r="BC41" s="17">
        <f>IF(BC$3="","",IF(AND(DivAs=2,BC$2&lt;ExDivPct),ExDivTree!BC41+DivAmount*EXP(IntRate*(BC$2-ExDivPct)),ExDivTree!BC41))</f>
        <v>46.459575797100001</v>
      </c>
      <c r="BD41" s="17">
        <f>IF(BD$3="","",IF(AND(DivAs=2,BD$2&lt;ExDivPct),ExDivTree!BD41+DivAmount*EXP(IntRate*(BD$2-ExDivPct)),ExDivTree!BD41))</f>
        <v>47.8660261068</v>
      </c>
      <c r="BE41" s="17">
        <f>IF(BE$3="","",IF(AND(DivAs=2,BE$2&lt;ExDivPct),ExDivTree!BE41+DivAmount*EXP(IntRate*(BE$2-ExDivPct)),ExDivTree!BE41))</f>
        <v>49.315053268299998</v>
      </c>
      <c r="BF41" s="17">
        <f>IF(BF$3="","",IF(AND(DivAs=2,BF$2&lt;ExDivPct),ExDivTree!BF41+DivAmount*EXP(IntRate*(BF$2-ExDivPct)),ExDivTree!BF41))</f>
        <v>50.807946191900001</v>
      </c>
      <c r="BG41" s="17">
        <f>IF(BG$3="","",IF(AND(DivAs=2,BG$2&lt;ExDivPct),ExDivTree!BG41+DivAmount*EXP(IntRate*(BG$2-ExDivPct)),ExDivTree!BG41))</f>
        <v>52.3460328066</v>
      </c>
      <c r="BH41" s="17">
        <f>IF(BH$3="","",IF(AND(DivAs=2,BH$2&lt;ExDivPct),ExDivTree!BH41+DivAmount*EXP(IntRate*(BH$2-ExDivPct)),ExDivTree!BH41))</f>
        <v>53.930681241000002</v>
      </c>
      <c r="BI41" s="17">
        <f>IF(BI$3="","",IF(AND(DivAs=2,BI$2&lt;ExDivPct),ExDivTree!BI41+DivAmount*EXP(IntRate*(BI$2-ExDivPct)),ExDivTree!BI41))</f>
        <v>55.563301040699997</v>
      </c>
      <c r="BJ41" s="17">
        <f>IF(BJ$3="","",IF(AND(DivAs=2,BJ$2&lt;ExDivPct),ExDivTree!BJ41+DivAmount*EXP(IntRate*(BJ$2-ExDivPct)),ExDivTree!BJ41))</f>
        <v>57.245344421699997</v>
      </c>
      <c r="BK41" s="17">
        <f>IF(BK$3="","",IF(AND(DivAs=2,BK$2&lt;ExDivPct),ExDivTree!BK41+DivAmount*EXP(IntRate*(BK$2-ExDivPct)),ExDivTree!BK41))</f>
        <v>58.978307562399998</v>
      </c>
      <c r="BL41" s="17">
        <f>IF(BL$3="","",IF(AND(DivAs=2,BL$2&lt;ExDivPct),ExDivTree!BL41+DivAmount*EXP(IntRate*(BL$2-ExDivPct)),ExDivTree!BL41))</f>
        <v>60.763731934299997</v>
      </c>
      <c r="BM41" s="17">
        <f>IF(BM$3="","",IF(AND(DivAs=2,BM$2&lt;ExDivPct),ExDivTree!BM41+DivAmount*EXP(IntRate*(BM$2-ExDivPct)),ExDivTree!BM41))</f>
        <v>62.6032056731</v>
      </c>
      <c r="BN41" s="17">
        <f>IF(BN$3="","",IF(AND(DivAs=2,BN$2&lt;ExDivPct),ExDivTree!BN41+DivAmount*EXP(IntRate*(BN$2-ExDivPct)),ExDivTree!BN41))</f>
        <v>64.498364991599999</v>
      </c>
      <c r="BO41" s="17">
        <f>IF(BO$3="","",IF(AND(DivAs=2,BO$2&lt;ExDivPct),ExDivTree!BO41+DivAmount*EXP(IntRate*(BO$2-ExDivPct)),ExDivTree!BO41))</f>
        <v>66.450895634899993</v>
      </c>
      <c r="BP41" s="17">
        <f>IF(BP$3="","",IF(AND(DivAs=2,BP$2&lt;ExDivPct),ExDivTree!BP41+DivAmount*EXP(IntRate*(BP$2-ExDivPct)),ExDivTree!BP41))</f>
        <v>68.462534379800005</v>
      </c>
      <c r="BQ41" s="17">
        <f>IF(BQ$3="","",IF(AND(DivAs=2,BQ$2&lt;ExDivPct),ExDivTree!BQ41+DivAmount*EXP(IntRate*(BQ$2-ExDivPct)),ExDivTree!BQ41))</f>
        <v>70.535070579899994</v>
      </c>
      <c r="BR41" s="17">
        <f>IF(BR$3="","",IF(AND(DivAs=2,BR$2&lt;ExDivPct),ExDivTree!BR41+DivAmount*EXP(IntRate*(BR$2-ExDivPct)),ExDivTree!BR41))</f>
        <v>72.670347757100004</v>
      </c>
      <c r="BS41" s="17">
        <f>IF(BS$3="","",IF(AND(DivAs=2,BS$2&lt;ExDivPct),ExDivTree!BS41+DivAmount*EXP(IntRate*(BS$2-ExDivPct)),ExDivTree!BS41))</f>
        <v>74.870265241400006</v>
      </c>
      <c r="BT41" s="17">
        <f>IF(BT$3="","",IF(AND(DivAs=2,BT$2&lt;ExDivPct),ExDivTree!BT41+DivAmount*EXP(IntRate*(BT$2-ExDivPct)),ExDivTree!BT41))</f>
        <v>77.136779860399997</v>
      </c>
      <c r="BU41" s="17">
        <f>IF(BU$3="","",IF(AND(DivAs=2,BU$2&lt;ExDivPct),ExDivTree!BU41+DivAmount*EXP(IntRate*(BU$2-ExDivPct)),ExDivTree!BU41))</f>
        <v>79.471907679799997</v>
      </c>
      <c r="BV41" s="17">
        <f>IF(BV$3="","",IF(AND(DivAs=2,BV$2&lt;ExDivPct),ExDivTree!BV41+DivAmount*EXP(IntRate*(BV$2-ExDivPct)),ExDivTree!BV41))</f>
        <v>81.877725796899995</v>
      </c>
      <c r="BW41" s="17">
        <f>IF(BW$3="","",IF(AND(DivAs=2,BW$2&lt;ExDivPct),ExDivTree!BW41+DivAmount*EXP(IntRate*(BW$2-ExDivPct)),ExDivTree!BW41))</f>
        <v>84.356374188100006</v>
      </c>
      <c r="BX41" s="17">
        <f>IF(BX$3="","",IF(AND(DivAs=2,BX$2&lt;ExDivPct),ExDivTree!BX41+DivAmount*EXP(IntRate*(BX$2-ExDivPct)),ExDivTree!BX41))</f>
        <v>86.910057612100005</v>
      </c>
      <c r="BY41" s="17">
        <f>IF(BY$3="","",IF(AND(DivAs=2,BY$2&lt;ExDivPct),ExDivTree!BY41+DivAmount*EXP(IntRate*(BY$2-ExDivPct)),ExDivTree!BY41))</f>
        <v>89.541047571600004</v>
      </c>
      <c r="BZ41" s="17">
        <f>IF(BZ$3="","",IF(AND(DivAs=2,BZ$2&lt;ExDivPct),ExDivTree!BZ41+DivAmount*EXP(IntRate*(BZ$2-ExDivPct)),ExDivTree!BZ41))</f>
        <v>92.251684333200004</v>
      </c>
      <c r="CA41" s="17">
        <f>IF(CA$3="","",IF(AND(DivAs=2,CA$2&lt;ExDivPct),ExDivTree!CA41+DivAmount*EXP(IntRate*(CA$2-ExDivPct)),ExDivTree!CA41))</f>
        <v>95.044379009699995</v>
      </c>
      <c r="CB41" s="17">
        <f>IF(CB$3="","",IF(AND(DivAs=2,CB$2&lt;ExDivPct),ExDivTree!CB41+DivAmount*EXP(IntRate*(CB$2-ExDivPct)),ExDivTree!CB41))</f>
        <v>97.921615704100006</v>
      </c>
      <c r="CC41" s="17">
        <f>IF(CC$3="","",IF(AND(DivAs=2,CC$2&lt;ExDivPct),ExDivTree!CC41+DivAmount*EXP(IntRate*(CC$2-ExDivPct)),ExDivTree!CC41))</f>
        <v>100.8859537199</v>
      </c>
      <c r="CD41" s="17">
        <f>IF(CD$3="","",IF(AND(DivAs=2,CD$2&lt;ExDivPct),ExDivTree!CD41+DivAmount*EXP(IntRate*(CD$2-ExDivPct)),ExDivTree!CD41))</f>
        <v>103.940029837</v>
      </c>
      <c r="CE41" s="17">
        <f>IF(CE$3="","",IF(AND(DivAs=2,CE$2&lt;ExDivPct),ExDivTree!CE41+DivAmount*EXP(IntRate*(CE$2-ExDivPct)),ExDivTree!CE41))</f>
        <v>107.0865606575</v>
      </c>
      <c r="CF41" s="17">
        <f>IF(CF$3="","",IF(AND(DivAs=2,CF$2&lt;ExDivPct),ExDivTree!CF41+DivAmount*EXP(IntRate*(CF$2-ExDivPct)),ExDivTree!CF41))</f>
        <v>110.32834502199999</v>
      </c>
      <c r="CG41" s="17">
        <f>IF(CG$3="","",IF(AND(DivAs=2,CG$2&lt;ExDivPct),ExDivTree!CG41+DivAmount*EXP(IntRate*(CG$2-ExDivPct)),ExDivTree!CG41))</f>
        <v>113.6682664991</v>
      </c>
      <c r="CH41" s="17">
        <f>IF(CH$3="","",IF(AND(DivAs=2,CH$2&lt;ExDivPct),ExDivTree!CH41+DivAmount*EXP(IntRate*(CH$2-ExDivPct)),ExDivTree!CH41))</f>
        <v>117.1092959505</v>
      </c>
      <c r="CI41" s="17">
        <f>IF(CI$3="","",IF(AND(DivAs=2,CI$2&lt;ExDivPct),ExDivTree!CI41+DivAmount*EXP(IntRate*(CI$2-ExDivPct)),ExDivTree!CI41))</f>
        <v>120.6544941735</v>
      </c>
      <c r="CJ41" s="17">
        <f>IF(CJ$3="","",IF(AND(DivAs=2,CJ$2&lt;ExDivPct),ExDivTree!CJ41+DivAmount*EXP(IntRate*(CJ$2-ExDivPct)),ExDivTree!CJ41))</f>
        <v>124.30701462339999</v>
      </c>
      <c r="CK41" s="17">
        <f>IF(CK$3="","",IF(AND(DivAs=2,CK$2&lt;ExDivPct),ExDivTree!CK41+DivAmount*EXP(IntRate*(CK$2-ExDivPct)),ExDivTree!CK41))</f>
        <v>128.07010621890001</v>
      </c>
      <c r="CL41" s="17">
        <f>IF(CL$3="","",IF(AND(DivAs=2,CL$2&lt;ExDivPct),ExDivTree!CL41+DivAmount*EXP(IntRate*(CL$2-ExDivPct)),ExDivTree!CL41))</f>
        <v>131.94711623160001</v>
      </c>
      <c r="CM41" s="17">
        <f>IF(CM$3="","",IF(AND(DivAs=2,CM$2&lt;ExDivPct),ExDivTree!CM41+DivAmount*EXP(IntRate*(CM$2-ExDivPct)),ExDivTree!CM41))</f>
        <v>135.94149326370001</v>
      </c>
      <c r="CN41" s="17">
        <f>IF(CN$3="","",IF(AND(DivAs=2,CN$2&lt;ExDivPct),ExDivTree!CN41+DivAmount*EXP(IntRate*(CN$2-ExDivPct)),ExDivTree!CN41))</f>
        <v>140.05679031540001</v>
      </c>
      <c r="CO41" s="17">
        <f>IF(CO$3="","",IF(AND(DivAs=2,CO$2&lt;ExDivPct),ExDivTree!CO41+DivAmount*EXP(IntRate*(CO$2-ExDivPct)),ExDivTree!CO41))</f>
        <v>144.2966679452</v>
      </c>
      <c r="CP41" s="17">
        <f>IF(CP$3="","",IF(AND(DivAs=2,CP$2&lt;ExDivPct),ExDivTree!CP41+DivAmount*EXP(IntRate*(CP$2-ExDivPct)),ExDivTree!CP41))</f>
        <v>148.66489752620001</v>
      </c>
      <c r="CQ41" s="17">
        <f>IF(CQ$3="","",IF(AND(DivAs=2,CQ$2&lt;ExDivPct),ExDivTree!CQ41+DivAmount*EXP(IntRate*(CQ$2-ExDivPct)),ExDivTree!CQ41))</f>
        <v>153.16536460059999</v>
      </c>
      <c r="CR41" s="17">
        <f>IF(CR$3="","",IF(AND(DivAs=2,CR$2&lt;ExDivPct),ExDivTree!CR41+DivAmount*EXP(IntRate*(CR$2-ExDivPct)),ExDivTree!CR41))</f>
        <v>157.80207233589999</v>
      </c>
      <c r="CS41" s="17">
        <f>IF(CS$3="","",IF(AND(DivAs=2,CS$2&lt;ExDivPct),ExDivTree!CS41+DivAmount*EXP(IntRate*(CS$2-ExDivPct)),ExDivTree!CS41))</f>
        <v>162.5791450856</v>
      </c>
      <c r="CT41" s="17">
        <f>IF(CT$3="","",IF(AND(DivAs=2,CT$2&lt;ExDivPct),ExDivTree!CT41+DivAmount*EXP(IntRate*(CT$2-ExDivPct)),ExDivTree!CT41))</f>
        <v>167.50083205819999</v>
      </c>
      <c r="CU41" s="17">
        <f>IF(CU$3="","",IF(AND(DivAs=2,CU$2&lt;ExDivPct),ExDivTree!CU41+DivAmount*EXP(IntRate*(CU$2-ExDivPct)),ExDivTree!CU41))</f>
        <v>172.5715110964</v>
      </c>
      <c r="CV41" s="17">
        <f>IF(CV$3="","",IF(AND(DivAs=2,CV$2&lt;ExDivPct),ExDivTree!CV41+DivAmount*EXP(IntRate*(CV$2-ExDivPct)),ExDivTree!CV41))</f>
        <v>177.7956925716</v>
      </c>
      <c r="CW41" s="17">
        <f>IF(CW$3="","",IF(AND(DivAs=2,CW$2&lt;ExDivPct),ExDivTree!CW41+DivAmount*EXP(IntRate*(CW$2-ExDivPct)),ExDivTree!CW41))</f>
        <v>183.17802339549999</v>
      </c>
      <c r="CX41" s="17">
        <f>IF(CX$3="","",IF(AND(DivAs=2,CX$2&lt;ExDivPct),ExDivTree!CX41+DivAmount*EXP(IntRate*(CX$2-ExDivPct)),ExDivTree!CX41))</f>
        <v>188.72329115380001</v>
      </c>
      <c r="CY41" s="17">
        <f>IF(CY$3="","",IF(AND(DivAs=2,CY$2&lt;ExDivPct),ExDivTree!CY41+DivAmount*EXP(IntRate*(CY$2-ExDivPct)),ExDivTree!CY41))</f>
        <v>194.43642836469999</v>
      </c>
      <c r="CZ41" s="17">
        <f>IF(CZ$3="","",IF(AND(DivAs=2,CZ$2&lt;ExDivPct),ExDivTree!CZ41+DivAmount*EXP(IntRate*(CZ$2-ExDivPct)),ExDivTree!CZ41))</f>
        <v>200.32251686629999</v>
      </c>
      <c r="DA41" s="17">
        <f>IF(DA$3="","",IF(AND(DivAs=2,DA$2&lt;ExDivPct),ExDivTree!DA41+DivAmount*EXP(IntRate*(DA$2-ExDivPct)),ExDivTree!DA41))</f>
        <v>206.38679233689999</v>
      </c>
      <c r="DB41" s="17">
        <f>IF(DB$3="","",IF(AND(DivAs=2,DB$2&lt;ExDivPct),ExDivTree!DB41+DivAmount*EXP(IntRate*(DB$2-ExDivPct)),ExDivTree!DB41))</f>
        <v>212.6346489524</v>
      </c>
    </row>
    <row r="42" spans="1:106" x14ac:dyDescent="0.2">
      <c r="A42">
        <f>ExDivTree!A42</f>
        <v>9.0900785341286344E+27</v>
      </c>
      <c r="B42" s="71">
        <f>ExDivTree!B42</f>
        <v>3.5854037904814013E-3</v>
      </c>
      <c r="C42" s="71">
        <f>ExDivTree!C42</f>
        <v>3.8296692842798184E-3</v>
      </c>
      <c r="D42" s="177">
        <f>ExDivTree!D42</f>
        <v>38</v>
      </c>
      <c r="AQ42" s="17">
        <f>IF(AQ$3="","",IF(AND(DivAs=2,AQ$2&lt;ExDivPct),ExDivTree!AQ42+DivAmount*EXP(IntRate*(AQ$2-ExDivPct)),ExDivTree!AQ42))</f>
        <v>30.601846787700001</v>
      </c>
      <c r="AR42" s="17">
        <f>IF(AR$3="","",IF(AND(DivAs=2,AR$2&lt;ExDivPct),ExDivTree!AR42+DivAmount*EXP(IntRate*(AR$2-ExDivPct)),ExDivTree!AR42))</f>
        <v>31.5282430398</v>
      </c>
      <c r="AS42" s="17">
        <f>IF(AS$3="","",IF(AND(DivAs=2,AS$2&lt;ExDivPct),ExDivTree!AS42+DivAmount*EXP(IntRate*(AS$2-ExDivPct)),ExDivTree!AS42))</f>
        <v>32.482683678299999</v>
      </c>
      <c r="AT42" s="17">
        <f>IF(AT$3="","",IF(AND(DivAs=2,AT$2&lt;ExDivPct),ExDivTree!AT42+DivAmount*EXP(IntRate*(AT$2-ExDivPct)),ExDivTree!AT42))</f>
        <v>33.466017678599997</v>
      </c>
      <c r="AU42" s="17">
        <f>IF(AU$3="","",IF(AND(DivAs=2,AU$2&lt;ExDivPct),ExDivTree!AU42+DivAmount*EXP(IntRate*(AU$2-ExDivPct)),ExDivTree!AU42))</f>
        <v>34.479119716699998</v>
      </c>
      <c r="AV42" s="17">
        <f>IF(AV$3="","",IF(AND(DivAs=2,AV$2&lt;ExDivPct),ExDivTree!AV42+DivAmount*EXP(IntRate*(AV$2-ExDivPct)),ExDivTree!AV42))</f>
        <v>35.522890947299999</v>
      </c>
      <c r="AW42" s="17">
        <f>IF(AW$3="","",IF(AND(DivAs=2,AW$2&lt;ExDivPct),ExDivTree!AW42+DivAmount*EXP(IntRate*(AW$2-ExDivPct)),ExDivTree!AW42))</f>
        <v>36.598259805399998</v>
      </c>
      <c r="AX42" s="17">
        <f>IF(AX$3="","",IF(AND(DivAs=2,AX$2&lt;ExDivPct),ExDivTree!AX42+DivAmount*EXP(IntRate*(AX$2-ExDivPct)),ExDivTree!AX42))</f>
        <v>37.706182832099998</v>
      </c>
      <c r="AY42" s="17">
        <f>IF(AY$3="","",IF(AND(DivAs=2,AY$2&lt;ExDivPct),ExDivTree!AY42+DivAmount*EXP(IntRate*(AY$2-ExDivPct)),ExDivTree!AY42))</f>
        <v>38.847645525399997</v>
      </c>
      <c r="AZ42" s="17">
        <f>IF(AZ$3="","",IF(AND(DivAs=2,AZ$2&lt;ExDivPct),ExDivTree!AZ42+DivAmount*EXP(IntRate*(AZ$2-ExDivPct)),ExDivTree!AZ42))</f>
        <v>40.023663216999999</v>
      </c>
      <c r="BA42" s="17">
        <f>IF(BA$3="","",IF(AND(DivAs=2,BA$2&lt;ExDivPct),ExDivTree!BA42+DivAmount*EXP(IntRate*(BA$2-ExDivPct)),ExDivTree!BA42))</f>
        <v>41.235281974999999</v>
      </c>
      <c r="BB42" s="17">
        <f>IF(BB$3="","",IF(AND(DivAs=2,BB$2&lt;ExDivPct),ExDivTree!BB42+DivAmount*EXP(IntRate*(BB$2-ExDivPct)),ExDivTree!BB42))</f>
        <v>42.483579534900002</v>
      </c>
      <c r="BC42" s="17">
        <f>IF(BC$3="","",IF(AND(DivAs=2,BC$2&lt;ExDivPct),ExDivTree!BC42+DivAmount*EXP(IntRate*(BC$2-ExDivPct)),ExDivTree!BC42))</f>
        <v>43.769666258000001</v>
      </c>
      <c r="BD42" s="17">
        <f>IF(BD$3="","",IF(AND(DivAs=2,BD$2&lt;ExDivPct),ExDivTree!BD42+DivAmount*EXP(IntRate*(BD$2-ExDivPct)),ExDivTree!BD42))</f>
        <v>45.094686119000002</v>
      </c>
      <c r="BE42" s="17">
        <f>IF(BE$3="","",IF(AND(DivAs=2,BE$2&lt;ExDivPct),ExDivTree!BE42+DivAmount*EXP(IntRate*(BE$2-ExDivPct)),ExDivTree!BE42))</f>
        <v>46.459817723599997</v>
      </c>
      <c r="BF42" s="17">
        <f>IF(BF$3="","",IF(AND(DivAs=2,BF$2&lt;ExDivPct),ExDivTree!BF42+DivAmount*EXP(IntRate*(BF$2-ExDivPct)),ExDivTree!BF42))</f>
        <v>47.866275356999999</v>
      </c>
      <c r="BG42" s="17">
        <f>IF(BG$3="","",IF(AND(DivAs=2,BG$2&lt;ExDivPct),ExDivTree!BG42+DivAmount*EXP(IntRate*(BG$2-ExDivPct)),ExDivTree!BG42))</f>
        <v>49.3153100639</v>
      </c>
      <c r="BH42" s="17">
        <f>IF(BH$3="","",IF(AND(DivAs=2,BH$2&lt;ExDivPct),ExDivTree!BH42+DivAmount*EXP(IntRate*(BH$2-ExDivPct)),ExDivTree!BH42))</f>
        <v>50.808210761399998</v>
      </c>
      <c r="BI42" s="17">
        <f>IF(BI$3="","",IF(AND(DivAs=2,BI$2&lt;ExDivPct),ExDivTree!BI42+DivAmount*EXP(IntRate*(BI$2-ExDivPct)),ExDivTree!BI42))</f>
        <v>52.346305385199997</v>
      </c>
      <c r="BJ42" s="17">
        <f>IF(BJ$3="","",IF(AND(DivAs=2,BJ$2&lt;ExDivPct),ExDivTree!BJ42+DivAmount*EXP(IntRate*(BJ$2-ExDivPct)),ExDivTree!BJ42))</f>
        <v>53.930962071300002</v>
      </c>
      <c r="BK42" s="17">
        <f>IF(BK$3="","",IF(AND(DivAs=2,BK$2&lt;ExDivPct),ExDivTree!BK42+DivAmount*EXP(IntRate*(BK$2-ExDivPct)),ExDivTree!BK42))</f>
        <v>55.563590372500002</v>
      </c>
      <c r="BL42" s="17">
        <f>IF(BL$3="","",IF(AND(DivAs=2,BL$2&lt;ExDivPct),ExDivTree!BL42+DivAmount*EXP(IntRate*(BL$2-ExDivPct)),ExDivTree!BL42))</f>
        <v>57.245642512400003</v>
      </c>
      <c r="BM42" s="17">
        <f>IF(BM$3="","",IF(AND(DivAs=2,BM$2&lt;ExDivPct),ExDivTree!BM42+DivAmount*EXP(IntRate*(BM$2-ExDivPct)),ExDivTree!BM42))</f>
        <v>58.978614677099998</v>
      </c>
      <c r="BN42" s="17">
        <f>IF(BN$3="","",IF(AND(DivAs=2,BN$2&lt;ExDivPct),ExDivTree!BN42+DivAmount*EXP(IntRate*(BN$2-ExDivPct)),ExDivTree!BN42))</f>
        <v>60.764048346099997</v>
      </c>
      <c r="BO42" s="17">
        <f>IF(BO$3="","",IF(AND(DivAs=2,BO$2&lt;ExDivPct),ExDivTree!BO42+DivAmount*EXP(IntRate*(BO$2-ExDivPct)),ExDivTree!BO42))</f>
        <v>62.6035316635</v>
      </c>
      <c r="BP42" s="17">
        <f>IF(BP$3="","",IF(AND(DivAs=2,BP$2&lt;ExDivPct),ExDivTree!BP42+DivAmount*EXP(IntRate*(BP$2-ExDivPct)),ExDivTree!BP42))</f>
        <v>64.498700850600002</v>
      </c>
      <c r="BQ42" s="17">
        <f>IF(BQ$3="","",IF(AND(DivAs=2,BQ$2&lt;ExDivPct),ExDivTree!BQ42+DivAmount*EXP(IntRate*(BQ$2-ExDivPct)),ExDivTree!BQ42))</f>
        <v>66.451241661200001</v>
      </c>
      <c r="BR42" s="17">
        <f>IF(BR$3="","",IF(AND(DivAs=2,BR$2&lt;ExDivPct),ExDivTree!BR42+DivAmount*EXP(IntRate*(BR$2-ExDivPct)),ExDivTree!BR42))</f>
        <v>68.462890881199996</v>
      </c>
      <c r="BS42" s="17">
        <f>IF(BS$3="","",IF(AND(DivAs=2,BS$2&lt;ExDivPct),ExDivTree!BS42+DivAmount*EXP(IntRate*(BS$2-ExDivPct)),ExDivTree!BS42))</f>
        <v>70.535437873500001</v>
      </c>
      <c r="BT42" s="17">
        <f>IF(BT$3="","",IF(AND(DivAs=2,BT$2&lt;ExDivPct),ExDivTree!BT42+DivAmount*EXP(IntRate*(BT$2-ExDivPct)),ExDivTree!BT42))</f>
        <v>72.670726169600002</v>
      </c>
      <c r="BU42" s="17">
        <f>IF(BU$3="","",IF(AND(DivAs=2,BU$2&lt;ExDivPct),ExDivTree!BU42+DivAmount*EXP(IntRate*(BU$2-ExDivPct)),ExDivTree!BU42))</f>
        <v>74.870655109400005</v>
      </c>
      <c r="BV42" s="17">
        <f>IF(BV$3="","",IF(AND(DivAs=2,BV$2&lt;ExDivPct),ExDivTree!BV42+DivAmount*EXP(IntRate*(BV$2-ExDivPct)),ExDivTree!BV42))</f>
        <v>77.137181530700005</v>
      </c>
      <c r="BW42" s="17">
        <f>IF(BW$3="","",IF(AND(DivAs=2,BW$2&lt;ExDivPct),ExDivTree!BW42+DivAmount*EXP(IntRate*(BW$2-ExDivPct)),ExDivTree!BW42))</f>
        <v>79.472321509699995</v>
      </c>
      <c r="BX42" s="17">
        <f>IF(BX$3="","",IF(AND(DivAs=2,BX$2&lt;ExDivPct),ExDivTree!BX42+DivAmount*EXP(IntRate*(BX$2-ExDivPct)),ExDivTree!BX42))</f>
        <v>81.8781521545</v>
      </c>
      <c r="BY42" s="17">
        <f>IF(BY$3="","",IF(AND(DivAs=2,BY$2&lt;ExDivPct),ExDivTree!BY42+DivAmount*EXP(IntRate*(BY$2-ExDivPct)),ExDivTree!BY42))</f>
        <v>84.356813452599994</v>
      </c>
      <c r="BZ42" s="17">
        <f>IF(BZ$3="","",IF(AND(DivAs=2,BZ$2&lt;ExDivPct),ExDivTree!BZ42+DivAmount*EXP(IntRate*(BZ$2-ExDivPct)),ExDivTree!BZ42))</f>
        <v>86.910510174300001</v>
      </c>
      <c r="CA42" s="17">
        <f>IF(CA$3="","",IF(AND(DivAs=2,CA$2&lt;ExDivPct),ExDivTree!CA42+DivAmount*EXP(IntRate*(CA$2-ExDivPct)),ExDivTree!CA42))</f>
        <v>89.541513834</v>
      </c>
      <c r="CB42" s="17">
        <f>IF(CB$3="","",IF(AND(DivAs=2,CB$2&lt;ExDivPct),ExDivTree!CB42+DivAmount*EXP(IntRate*(CB$2-ExDivPct)),ExDivTree!CB42))</f>
        <v>92.252164710599999</v>
      </c>
      <c r="CC42" s="17">
        <f>IF(CC$3="","",IF(AND(DivAs=2,CC$2&lt;ExDivPct),ExDivTree!CC42+DivAmount*EXP(IntRate*(CC$2-ExDivPct)),ExDivTree!CC42))</f>
        <v>95.044873929299996</v>
      </c>
      <c r="CD42" s="17">
        <f>IF(CD$3="","",IF(AND(DivAs=2,CD$2&lt;ExDivPct),ExDivTree!CD42+DivAmount*EXP(IntRate*(CD$2-ExDivPct)),ExDivTree!CD42))</f>
        <v>97.922125606199998</v>
      </c>
      <c r="CE42" s="17">
        <f>IF(CE$3="","",IF(AND(DivAs=2,CE$2&lt;ExDivPct),ExDivTree!CE42+DivAmount*EXP(IntRate*(CE$2-ExDivPct)),ExDivTree!CE42))</f>
        <v>100.88647905800001</v>
      </c>
      <c r="CF42" s="17">
        <f>IF(CF$3="","",IF(AND(DivAs=2,CF$2&lt;ExDivPct),ExDivTree!CF42+DivAmount*EXP(IntRate*(CF$2-ExDivPct)),ExDivTree!CF42))</f>
        <v>103.9405710784</v>
      </c>
      <c r="CG42" s="17">
        <f>IF(CG$3="","",IF(AND(DivAs=2,CG$2&lt;ExDivPct),ExDivTree!CG42+DivAmount*EXP(IntRate*(CG$2-ExDivPct)),ExDivTree!CG42))</f>
        <v>107.08711828369999</v>
      </c>
      <c r="CH42" s="17">
        <f>IF(CH$3="","",IF(AND(DivAs=2,CH$2&lt;ExDivPct),ExDivTree!CH42+DivAmount*EXP(IntRate*(CH$2-ExDivPct)),ExDivTree!CH42))</f>
        <v>110.328919529</v>
      </c>
      <c r="CI42" s="17">
        <f>IF(CI$3="","",IF(AND(DivAs=2,CI$2&lt;ExDivPct),ExDivTree!CI42+DivAmount*EXP(IntRate*(CI$2-ExDivPct)),ExDivTree!CI42))</f>
        <v>113.6688583979</v>
      </c>
      <c r="CJ42" s="17">
        <f>IF(CJ$3="","",IF(AND(DivAs=2,CJ$2&lt;ExDivPct),ExDivTree!CJ42+DivAmount*EXP(IntRate*(CJ$2-ExDivPct)),ExDivTree!CJ42))</f>
        <v>117.1099057676</v>
      </c>
      <c r="CK42" s="17">
        <f>IF(CK$3="","",IF(AND(DivAs=2,CK$2&lt;ExDivPct),ExDivTree!CK42+DivAmount*EXP(IntRate*(CK$2-ExDivPct)),ExDivTree!CK42))</f>
        <v>120.6551224513</v>
      </c>
      <c r="CL42" s="17">
        <f>IF(CL$3="","",IF(AND(DivAs=2,CL$2&lt;ExDivPct),ExDivTree!CL42+DivAmount*EXP(IntRate*(CL$2-ExDivPct)),ExDivTree!CL42))</f>
        <v>124.3076619208</v>
      </c>
      <c r="CM42" s="17">
        <f>IF(CM$3="","",IF(AND(DivAs=2,CM$2&lt;ExDivPct),ExDivTree!CM42+DivAmount*EXP(IntRate*(CM$2-ExDivPct)),ExDivTree!CM42))</f>
        <v>128.07077311169999</v>
      </c>
      <c r="CN42" s="17">
        <f>IF(CN$3="","",IF(AND(DivAs=2,CN$2&lt;ExDivPct),ExDivTree!CN42+DivAmount*EXP(IntRate*(CN$2-ExDivPct)),ExDivTree!CN42))</f>
        <v>131.94780331300001</v>
      </c>
      <c r="CO42" s="17">
        <f>IF(CO$3="","",IF(AND(DivAs=2,CO$2&lt;ExDivPct),ExDivTree!CO42+DivAmount*EXP(IntRate*(CO$2-ExDivPct)),ExDivTree!CO42))</f>
        <v>135.94220114480001</v>
      </c>
      <c r="CP42" s="17">
        <f>IF(CP$3="","",IF(AND(DivAs=2,CP$2&lt;ExDivPct),ExDivTree!CP42+DivAmount*EXP(IntRate*(CP$2-ExDivPct)),ExDivTree!CP42))</f>
        <v>140.05751962580001</v>
      </c>
      <c r="CQ42" s="17">
        <f>IF(CQ$3="","",IF(AND(DivAs=2,CQ$2&lt;ExDivPct),ExDivTree!CQ42+DivAmount*EXP(IntRate*(CQ$2-ExDivPct)),ExDivTree!CQ42))</f>
        <v>144.29741933369999</v>
      </c>
      <c r="CR42" s="17">
        <f>IF(CR$3="","",IF(AND(DivAs=2,CR$2&lt;ExDivPct),ExDivTree!CR42+DivAmount*EXP(IntRate*(CR$2-ExDivPct)),ExDivTree!CR42))</f>
        <v>148.66567166120001</v>
      </c>
      <c r="CS42" s="17">
        <f>IF(CS$3="","",IF(AND(DivAs=2,CS$2&lt;ExDivPct),ExDivTree!CS42+DivAmount*EXP(IntRate*(CS$2-ExDivPct)),ExDivTree!CS42))</f>
        <v>153.16616217059999</v>
      </c>
      <c r="CT42" s="17">
        <f>IF(CT$3="","",IF(AND(DivAs=2,CT$2&lt;ExDivPct),ExDivTree!CT42+DivAmount*EXP(IntRate*(CT$2-ExDivPct)),ExDivTree!CT42))</f>
        <v>157.80289405030001</v>
      </c>
      <c r="CU42" s="17">
        <f>IF(CU$3="","",IF(AND(DivAs=2,CU$2&lt;ExDivPct),ExDivTree!CU42+DivAmount*EXP(IntRate*(CU$2-ExDivPct)),ExDivTree!CU42))</f>
        <v>162.57999167540001</v>
      </c>
      <c r="CV42" s="17">
        <f>IF(CV$3="","",IF(AND(DivAs=2,CV$2&lt;ExDivPct),ExDivTree!CV42+DivAmount*EXP(IntRate*(CV$2-ExDivPct)),ExDivTree!CV42))</f>
        <v>167.50170427640001</v>
      </c>
      <c r="CW42" s="17">
        <f>IF(CW$3="","",IF(AND(DivAs=2,CW$2&lt;ExDivPct),ExDivTree!CW42+DivAmount*EXP(IntRate*(CW$2-ExDivPct)),ExDivTree!CW42))</f>
        <v>172.57240971889999</v>
      </c>
      <c r="CX42" s="17">
        <f>IF(CX$3="","",IF(AND(DivAs=2,CX$2&lt;ExDivPct),ExDivTree!CX42+DivAmount*EXP(IntRate*(CX$2-ExDivPct)),ExDivTree!CX42))</f>
        <v>177.7966183977</v>
      </c>
      <c r="CY42" s="17">
        <f>IF(CY$3="","",IF(AND(DivAs=2,CY$2&lt;ExDivPct),ExDivTree!CY42+DivAmount*EXP(IntRate*(CY$2-ExDivPct)),ExDivTree!CY42))</f>
        <v>183.17897724869999</v>
      </c>
      <c r="CZ42" s="17">
        <f>IF(CZ$3="","",IF(AND(DivAs=2,CZ$2&lt;ExDivPct),ExDivTree!CZ42+DivAmount*EXP(IntRate*(CZ$2-ExDivPct)),ExDivTree!CZ42))</f>
        <v>188.72427388259999</v>
      </c>
      <c r="DA42" s="17">
        <f>IF(DA$3="","",IF(AND(DivAs=2,DA$2&lt;ExDivPct),ExDivTree!DA42+DivAmount*EXP(IntRate*(DA$2-ExDivPct)),ExDivTree!DA42))</f>
        <v>194.43744084319999</v>
      </c>
      <c r="DB42" s="17">
        <f>IF(DB$3="","",IF(AND(DivAs=2,DB$2&lt;ExDivPct),ExDivTree!DB42+DivAmount*EXP(IntRate*(DB$2-ExDivPct)),ExDivTree!DB42))</f>
        <v>200.3235599951</v>
      </c>
    </row>
    <row r="43" spans="1:106" x14ac:dyDescent="0.2">
      <c r="A43">
        <f>ExDivTree!A43</f>
        <v>1.4683973016669308E+28</v>
      </c>
      <c r="B43" s="71">
        <f>ExDivTree!B43</f>
        <v>5.791806123085331E-3</v>
      </c>
      <c r="C43" s="71">
        <f>ExDivTree!C43</f>
        <v>6.1536817532337829E-3</v>
      </c>
      <c r="D43" s="177">
        <f>ExDivTree!D43</f>
        <v>39</v>
      </c>
      <c r="AR43" s="17">
        <f>IF(AR$3="","",IF(AND(DivAs=2,AR$2&lt;ExDivPct),ExDivTree!AR43+DivAmount*EXP(IntRate*(AR$2-ExDivPct)),ExDivTree!AR43))</f>
        <v>29.702825561299999</v>
      </c>
      <c r="AS43" s="17">
        <f>IF(AS$3="","",IF(AND(DivAs=2,AS$2&lt;ExDivPct),ExDivTree!AS43+DivAmount*EXP(IntRate*(AS$2-ExDivPct)),ExDivTree!AS43))</f>
        <v>30.602006139099998</v>
      </c>
      <c r="AT43" s="17">
        <f>IF(AT$3="","",IF(AND(DivAs=2,AT$2&lt;ExDivPct),ExDivTree!AT43+DivAmount*EXP(IntRate*(AT$2-ExDivPct)),ExDivTree!AT43))</f>
        <v>31.5284072151</v>
      </c>
      <c r="AU43" s="17">
        <f>IF(AU$3="","",IF(AND(DivAs=2,AU$2&lt;ExDivPct),ExDivTree!AU43+DivAmount*EXP(IntRate*(AU$2-ExDivPct)),ExDivTree!AU43))</f>
        <v>32.482852823599998</v>
      </c>
      <c r="AV43" s="17">
        <f>IF(AV$3="","",IF(AND(DivAs=2,AV$2&lt;ExDivPct),ExDivTree!AV43+DivAmount*EXP(IntRate*(AV$2-ExDivPct)),ExDivTree!AV43))</f>
        <v>33.4661919443</v>
      </c>
      <c r="AW43" s="17">
        <f>IF(AW$3="","",IF(AND(DivAs=2,AW$2&lt;ExDivPct),ExDivTree!AW43+DivAmount*EXP(IntRate*(AW$2-ExDivPct)),ExDivTree!AW43))</f>
        <v>34.479299257800001</v>
      </c>
      <c r="AX43" s="17">
        <f>IF(AX$3="","",IF(AND(DivAs=2,AX$2&lt;ExDivPct),ExDivTree!AX43+DivAmount*EXP(IntRate*(AX$2-ExDivPct)),ExDivTree!AX43))</f>
        <v>35.523075923599997</v>
      </c>
      <c r="AY43" s="17">
        <f>IF(AY$3="","",IF(AND(DivAs=2,AY$2&lt;ExDivPct),ExDivTree!AY43+DivAmount*EXP(IntRate*(AY$2-ExDivPct)),ExDivTree!AY43))</f>
        <v>36.598450381399999</v>
      </c>
      <c r="AZ43" s="17">
        <f>IF(AZ$3="","",IF(AND(DivAs=2,AZ$2&lt;ExDivPct),ExDivTree!AZ43+DivAmount*EXP(IntRate*(AZ$2-ExDivPct)),ExDivTree!AZ43))</f>
        <v>37.706379177300001</v>
      </c>
      <c r="BA43" s="17">
        <f>IF(BA$3="","",IF(AND(DivAs=2,BA$2&lt;ExDivPct),ExDivTree!BA43+DivAmount*EXP(IntRate*(BA$2-ExDivPct)),ExDivTree!BA43))</f>
        <v>38.8478478145</v>
      </c>
      <c r="BB43" s="17">
        <f>IF(BB$3="","",IF(AND(DivAs=2,BB$2&lt;ExDivPct),ExDivTree!BB43+DivAmount*EXP(IntRate*(BB$2-ExDivPct)),ExDivTree!BB43))</f>
        <v>40.0238716299</v>
      </c>
      <c r="BC43" s="17">
        <f>IF(BC$3="","",IF(AND(DivAs=2,BC$2&lt;ExDivPct),ExDivTree!BC43+DivAmount*EXP(IntRate*(BC$2-ExDivPct)),ExDivTree!BC43))</f>
        <v>41.235496697099997</v>
      </c>
      <c r="BD43" s="17">
        <f>IF(BD$3="","",IF(AND(DivAs=2,BD$2&lt;ExDivPct),ExDivTree!BD43+DivAmount*EXP(IntRate*(BD$2-ExDivPct)),ExDivTree!BD43))</f>
        <v>42.483800757200001</v>
      </c>
      <c r="BE43" s="17">
        <f>IF(BE$3="","",IF(AND(DivAs=2,BE$2&lt;ExDivPct),ExDivTree!BE43+DivAmount*EXP(IntRate*(BE$2-ExDivPct)),ExDivTree!BE43))</f>
        <v>43.769894177300003</v>
      </c>
      <c r="BF43" s="17">
        <f>IF(BF$3="","",IF(AND(DivAs=2,BF$2&lt;ExDivPct),ExDivTree!BF43+DivAmount*EXP(IntRate*(BF$2-ExDivPct)),ExDivTree!BF43))</f>
        <v>45.094920938000001</v>
      </c>
      <c r="BG43" s="17">
        <f>IF(BG$3="","",IF(AND(DivAs=2,BG$2&lt;ExDivPct),ExDivTree!BG43+DivAmount*EXP(IntRate*(BG$2-ExDivPct)),ExDivTree!BG43))</f>
        <v>46.460059651199998</v>
      </c>
      <c r="BH43" s="17">
        <f>IF(BH$3="","",IF(AND(DivAs=2,BH$2&lt;ExDivPct),ExDivTree!BH43+DivAmount*EXP(IntRate*(BH$2-ExDivPct)),ExDivTree!BH43))</f>
        <v>47.866524608399999</v>
      </c>
      <c r="BI43" s="17">
        <f>IF(BI$3="","",IF(AND(DivAs=2,BI$2&lt;ExDivPct),ExDivTree!BI43+DivAmount*EXP(IntRate*(BI$2-ExDivPct)),ExDivTree!BI43))</f>
        <v>49.315566860799997</v>
      </c>
      <c r="BJ43" s="17">
        <f>IF(BJ$3="","",IF(AND(DivAs=2,BJ$2&lt;ExDivPct),ExDivTree!BJ43+DivAmount*EXP(IntRate*(BJ$2-ExDivPct)),ExDivTree!BJ43))</f>
        <v>50.808475332199997</v>
      </c>
      <c r="BK43" s="17">
        <f>IF(BK$3="","",IF(AND(DivAs=2,BK$2&lt;ExDivPct),ExDivTree!BK43+DivAmount*EXP(IntRate*(BK$2-ExDivPct)),ExDivTree!BK43))</f>
        <v>52.3465779653</v>
      </c>
      <c r="BL43" s="17">
        <f>IF(BL$3="","",IF(AND(DivAs=2,BL$2&lt;ExDivPct),ExDivTree!BL43+DivAmount*EXP(IntRate*(BL$2-ExDivPct)),ExDivTree!BL43))</f>
        <v>53.931242903099999</v>
      </c>
      <c r="BM43" s="17">
        <f>IF(BM$3="","",IF(AND(DivAs=2,BM$2&lt;ExDivPct),ExDivTree!BM43+DivAmount*EXP(IntRate*(BM$2-ExDivPct)),ExDivTree!BM43))</f>
        <v>55.563879705799998</v>
      </c>
      <c r="BN43" s="17">
        <f>IF(BN$3="","",IF(AND(DivAs=2,BN$2&lt;ExDivPct),ExDivTree!BN43+DivAmount*EXP(IntRate*(BN$2-ExDivPct)),ExDivTree!BN43))</f>
        <v>57.245940604499999</v>
      </c>
      <c r="BO43" s="17">
        <f>IF(BO$3="","",IF(AND(DivAs=2,BO$2&lt;ExDivPct),ExDivTree!BO43+DivAmount*EXP(IntRate*(BO$2-ExDivPct)),ExDivTree!BO43))</f>
        <v>58.978921793200001</v>
      </c>
      <c r="BP43" s="17">
        <f>IF(BP$3="","",IF(AND(DivAs=2,BP$2&lt;ExDivPct),ExDivTree!BP43+DivAmount*EXP(IntRate*(BP$2-ExDivPct)),ExDivTree!BP43))</f>
        <v>60.764364759400003</v>
      </c>
      <c r="BQ43" s="17">
        <f>IF(BQ$3="","",IF(AND(DivAs=2,BQ$2&lt;ExDivPct),ExDivTree!BQ43+DivAmount*EXP(IntRate*(BQ$2-ExDivPct)),ExDivTree!BQ43))</f>
        <v>62.603857655500001</v>
      </c>
      <c r="BR43" s="17">
        <f>IF(BR$3="","",IF(AND(DivAs=2,BR$2&lt;ExDivPct),ExDivTree!BR43+DivAmount*EXP(IntRate*(BR$2-ExDivPct)),ExDivTree!BR43))</f>
        <v>64.499036711200006</v>
      </c>
      <c r="BS43" s="17">
        <f>IF(BS$3="","",IF(AND(DivAs=2,BS$2&lt;ExDivPct),ExDivTree!BS43+DivAmount*EXP(IntRate*(BS$2-ExDivPct)),ExDivTree!BS43))</f>
        <v>66.451587689099995</v>
      </c>
      <c r="BT43" s="17">
        <f>IF(BT$3="","",IF(AND(DivAs=2,BT$2&lt;ExDivPct),ExDivTree!BT43+DivAmount*EXP(IntRate*(BT$2-ExDivPct)),ExDivTree!BT43))</f>
        <v>68.463247384200002</v>
      </c>
      <c r="BU43" s="17">
        <f>IF(BU$3="","",IF(AND(DivAs=2,BU$2&lt;ExDivPct),ExDivTree!BU43+DivAmount*EXP(IntRate*(BU$2-ExDivPct)),ExDivTree!BU43))</f>
        <v>70.535805168799996</v>
      </c>
      <c r="BV43" s="17">
        <f>IF(BV$3="","",IF(AND(DivAs=2,BV$2&lt;ExDivPct),ExDivTree!BV43+DivAmount*EXP(IntRate*(BV$2-ExDivPct)),ExDivTree!BV43))</f>
        <v>72.671104583900004</v>
      </c>
      <c r="BW43" s="17">
        <f>IF(BW$3="","",IF(AND(DivAs=2,BW$2&lt;ExDivPct),ExDivTree!BW43+DivAmount*EXP(IntRate*(BW$2-ExDivPct)),ExDivTree!BW43))</f>
        <v>74.871044979299995</v>
      </c>
      <c r="BX43" s="17">
        <f>IF(BX$3="","",IF(AND(DivAs=2,BX$2&lt;ExDivPct),ExDivTree!BX43+DivAmount*EXP(IntRate*(BX$2-ExDivPct)),ExDivTree!BX43))</f>
        <v>77.137583202900004</v>
      </c>
      <c r="BY43" s="17">
        <f>IF(BY$3="","",IF(AND(DivAs=2,BY$2&lt;ExDivPct),ExDivTree!BY43+DivAmount*EXP(IntRate*(BY$2-ExDivPct)),ExDivTree!BY43))</f>
        <v>79.4727353416</v>
      </c>
      <c r="BZ43" s="17">
        <f>IF(BZ$3="","",IF(AND(DivAs=2,BZ$2&lt;ExDivPct),ExDivTree!BZ43+DivAmount*EXP(IntRate*(BZ$2-ExDivPct)),ExDivTree!BZ43))</f>
        <v>81.878578514200001</v>
      </c>
      <c r="CA43" s="17">
        <f>IF(CA$3="","",IF(AND(DivAs=2,CA$2&lt;ExDivPct),ExDivTree!CA43+DivAmount*EXP(IntRate*(CA$2-ExDivPct)),ExDivTree!CA43))</f>
        <v>84.357252719300007</v>
      </c>
      <c r="CB43" s="17">
        <f>IF(CB$3="","",IF(AND(DivAs=2,CB$2&lt;ExDivPct),ExDivTree!CB43+DivAmount*EXP(IntRate*(CB$2-ExDivPct)),ExDivTree!CB43))</f>
        <v>86.910962738699993</v>
      </c>
      <c r="CC43" s="17">
        <f>IF(CC$3="","",IF(AND(DivAs=2,CC$2&lt;ExDivPct),ExDivTree!CC43+DivAmount*EXP(IntRate*(CC$2-ExDivPct)),ExDivTree!CC43))</f>
        <v>89.541980098699995</v>
      </c>
      <c r="CD43" s="17">
        <f>IF(CD$3="","",IF(AND(DivAs=2,CD$2&lt;ExDivPct),ExDivTree!CD43+DivAmount*EXP(IntRate*(CD$2-ExDivPct)),ExDivTree!CD43))</f>
        <v>92.252645090300007</v>
      </c>
      <c r="CE43" s="17">
        <f>IF(CE$3="","",IF(AND(DivAs=2,CE$2&lt;ExDivPct),ExDivTree!CE43+DivAmount*EXP(IntRate*(CE$2-ExDivPct)),ExDivTree!CE43))</f>
        <v>95.045368851299997</v>
      </c>
      <c r="CF43" s="17">
        <f>IF(CF$3="","",IF(AND(DivAs=2,CF$2&lt;ExDivPct),ExDivTree!CF43+DivAmount*EXP(IntRate*(CF$2-ExDivPct)),ExDivTree!CF43))</f>
        <v>97.922635510800006</v>
      </c>
      <c r="CG43" s="17">
        <f>IF(CG$3="","",IF(AND(DivAs=2,CG$2&lt;ExDivPct),ExDivTree!CG43+DivAmount*EXP(IntRate*(CG$2-ExDivPct)),ExDivTree!CG43))</f>
        <v>100.8870043987</v>
      </c>
      <c r="CH43" s="17">
        <f>IF(CH$3="","",IF(AND(DivAs=2,CH$2&lt;ExDivPct),ExDivTree!CH43+DivAmount*EXP(IntRate*(CH$2-ExDivPct)),ExDivTree!CH43))</f>
        <v>103.9411123225</v>
      </c>
      <c r="CI43" s="17">
        <f>IF(CI$3="","",IF(AND(DivAs=2,CI$2&lt;ExDivPct),ExDivTree!CI43+DivAmount*EXP(IntRate*(CI$2-ExDivPct)),ExDivTree!CI43))</f>
        <v>107.08767591260001</v>
      </c>
      <c r="CJ43" s="17">
        <f>IF(CJ$3="","",IF(AND(DivAs=2,CJ$2&lt;ExDivPct),ExDivTree!CJ43+DivAmount*EXP(IntRate*(CJ$2-ExDivPct)),ExDivTree!CJ43))</f>
        <v>110.32949403870001</v>
      </c>
      <c r="CK43" s="17">
        <f>IF(CK$3="","",IF(AND(DivAs=2,CK$2&lt;ExDivPct),ExDivTree!CK43+DivAmount*EXP(IntRate*(CK$2-ExDivPct)),ExDivTree!CK43))</f>
        <v>113.6694502995</v>
      </c>
      <c r="CL43" s="17">
        <f>IF(CL$3="","",IF(AND(DivAs=2,CL$2&lt;ExDivPct),ExDivTree!CL43+DivAmount*EXP(IntRate*(CL$2-ExDivPct)),ExDivTree!CL43))</f>
        <v>117.11051558760001</v>
      </c>
      <c r="CM43" s="17">
        <f>IF(CM$3="","",IF(AND(DivAs=2,CM$2&lt;ExDivPct),ExDivTree!CM43+DivAmount*EXP(IntRate*(CM$2-ExDivPct)),ExDivTree!CM43))</f>
        <v>120.6557507321</v>
      </c>
      <c r="CN43" s="17">
        <f>IF(CN$3="","",IF(AND(DivAs=2,CN$2&lt;ExDivPct),ExDivTree!CN43+DivAmount*EXP(IntRate*(CN$2-ExDivPct)),ExDivTree!CN43))</f>
        <v>124.30830922129999</v>
      </c>
      <c r="CO43" s="17">
        <f>IF(CO$3="","",IF(AND(DivAs=2,CO$2&lt;ExDivPct),ExDivTree!CO43+DivAmount*EXP(IntRate*(CO$2-ExDivPct)),ExDivTree!CO43))</f>
        <v>128.07144000759999</v>
      </c>
      <c r="CP43" s="17">
        <f>IF(CP$3="","",IF(AND(DivAs=2,CP$2&lt;ExDivPct),ExDivTree!CP43+DivAmount*EXP(IntRate*(CP$2-ExDivPct)),ExDivTree!CP43))</f>
        <v>131.9484903975</v>
      </c>
      <c r="CQ43" s="17">
        <f>IF(CQ$3="","",IF(AND(DivAs=2,CQ$2&lt;ExDivPct),ExDivTree!CQ43+DivAmount*EXP(IntRate*(CQ$2-ExDivPct)),ExDivTree!CQ43))</f>
        <v>135.94290902910001</v>
      </c>
      <c r="CR43" s="17">
        <f>IF(CR$3="","",IF(AND(DivAs=2,CR$2&lt;ExDivPct),ExDivTree!CR43+DivAmount*EXP(IntRate*(CR$2-ExDivPct)),ExDivTree!CR43))</f>
        <v>140.05824893959999</v>
      </c>
      <c r="CS43" s="17">
        <f>IF(CS$3="","",IF(AND(DivAs=2,CS$2&lt;ExDivPct),ExDivTree!CS43+DivAmount*EXP(IntRate*(CS$2-ExDivPct)),ExDivTree!CS43))</f>
        <v>144.2981707257</v>
      </c>
      <c r="CT43" s="17">
        <f>IF(CT$3="","",IF(AND(DivAs=2,CT$2&lt;ExDivPct),ExDivTree!CT43+DivAmount*EXP(IntRate*(CT$2-ExDivPct)),ExDivTree!CT43))</f>
        <v>148.6664457997</v>
      </c>
      <c r="CU43" s="17">
        <f>IF(CU$3="","",IF(AND(DivAs=2,CU$2&lt;ExDivPct),ExDivTree!CU43+DivAmount*EXP(IntRate*(CU$2-ExDivPct)),ExDivTree!CU43))</f>
        <v>153.16695974429999</v>
      </c>
      <c r="CV43" s="17">
        <f>IF(CV$3="","",IF(AND(DivAs=2,CV$2&lt;ExDivPct),ExDivTree!CV43+DivAmount*EXP(IntRate*(CV$2-ExDivPct)),ExDivTree!CV43))</f>
        <v>157.8037157686</v>
      </c>
      <c r="CW43" s="17">
        <f>IF(CW$3="","",IF(AND(DivAs=2,CW$2&lt;ExDivPct),ExDivTree!CW43+DivAmount*EXP(IntRate*(CW$2-ExDivPct)),ExDivTree!CW43))</f>
        <v>162.58083826929999</v>
      </c>
      <c r="CX43" s="17">
        <f>IF(CX$3="","",IF(AND(DivAs=2,CX$2&lt;ExDivPct),ExDivTree!CX43+DivAmount*EXP(IntRate*(CX$2-ExDivPct)),ExDivTree!CX43))</f>
        <v>167.5025764989</v>
      </c>
      <c r="CY43" s="17">
        <f>IF(CY$3="","",IF(AND(DivAs=2,CY$2&lt;ExDivPct),ExDivTree!CY43+DivAmount*EXP(IntRate*(CY$2-ExDivPct)),ExDivTree!CY43))</f>
        <v>172.5733083458</v>
      </c>
      <c r="CZ43" s="17">
        <f>IF(CZ$3="","",IF(AND(DivAs=2,CZ$2&lt;ExDivPct),ExDivTree!CZ43+DivAmount*EXP(IntRate*(CZ$2-ExDivPct)),ExDivTree!CZ43))</f>
        <v>177.79754422830001</v>
      </c>
      <c r="DA43" s="17">
        <f>IF(DA$3="","",IF(AND(DivAs=2,DA$2&lt;ExDivPct),ExDivTree!DA43+DivAmount*EXP(IntRate*(DA$2-ExDivPct)),ExDivTree!DA43))</f>
        <v>183.17993110660001</v>
      </c>
      <c r="DB43" s="17">
        <f>IF(DB$3="","",IF(AND(DivAs=2,DB$2&lt;ExDivPct),ExDivTree!DB43+DivAmount*EXP(IntRate*(DB$2-ExDivPct)),ExDivTree!DB43))</f>
        <v>188.7252566162</v>
      </c>
    </row>
    <row r="44" spans="1:106" x14ac:dyDescent="0.2">
      <c r="A44">
        <f>ExDivTree!A44</f>
        <v>2.276015817583745E+28</v>
      </c>
      <c r="B44" s="71">
        <f>ExDivTree!B44</f>
        <v>8.9772994907822718E-3</v>
      </c>
      <c r="C44" s="71">
        <f>ExDivTree!C44</f>
        <v>9.4877787539340615E-3</v>
      </c>
      <c r="D44" s="177">
        <f>ExDivTree!D44</f>
        <v>40</v>
      </c>
      <c r="AS44" s="17">
        <f>IF(AS$3="","",IF(AND(DivAs=2,AS$2&lt;ExDivPct),ExDivTree!AS44+DivAmount*EXP(IntRate*(AS$2-ExDivPct)),ExDivTree!AS44))</f>
        <v>28.8302157856</v>
      </c>
      <c r="AT44" s="17">
        <f>IF(AT$3="","",IF(AND(DivAs=2,AT$2&lt;ExDivPct),ExDivTree!AT44+DivAmount*EXP(IntRate*(AT$2-ExDivPct)),ExDivTree!AT44))</f>
        <v>29.7029802313</v>
      </c>
      <c r="AU44" s="17">
        <f>IF(AU$3="","",IF(AND(DivAs=2,AU$2&lt;ExDivPct),ExDivTree!AU44+DivAmount*EXP(IntRate*(AU$2-ExDivPct)),ExDivTree!AU44))</f>
        <v>30.602165491299999</v>
      </c>
      <c r="AV44" s="17">
        <f>IF(AV$3="","",IF(AND(DivAs=2,AV$2&lt;ExDivPct),ExDivTree!AV44+DivAmount*EXP(IntRate*(AV$2-ExDivPct)),ExDivTree!AV44))</f>
        <v>31.528571391300002</v>
      </c>
      <c r="AW44" s="17">
        <f>IF(AW$3="","",IF(AND(DivAs=2,AW$2&lt;ExDivPct),ExDivTree!AW44+DivAmount*EXP(IntRate*(AW$2-ExDivPct)),ExDivTree!AW44))</f>
        <v>32.483021969799999</v>
      </c>
      <c r="AX44" s="17">
        <f>IF(AX$3="","",IF(AND(DivAs=2,AX$2&lt;ExDivPct),ExDivTree!AX44+DivAmount*EXP(IntRate*(AX$2-ExDivPct)),ExDivTree!AX44))</f>
        <v>33.466366211</v>
      </c>
      <c r="AY44" s="17">
        <f>IF(AY$3="","",IF(AND(DivAs=2,AY$2&lt;ExDivPct),ExDivTree!AY44+DivAmount*EXP(IntRate*(AY$2-ExDivPct)),ExDivTree!AY44))</f>
        <v>34.479478800000003</v>
      </c>
      <c r="AZ44" s="17">
        <f>IF(AZ$3="","",IF(AND(DivAs=2,AZ$2&lt;ExDivPct),ExDivTree!AZ44+DivAmount*EXP(IntRate*(AZ$2-ExDivPct)),ExDivTree!AZ44))</f>
        <v>35.523260901</v>
      </c>
      <c r="BA44" s="17">
        <f>IF(BA$3="","",IF(AND(DivAs=2,BA$2&lt;ExDivPct),ExDivTree!BA44+DivAmount*EXP(IntRate*(BA$2-ExDivPct)),ExDivTree!BA44))</f>
        <v>36.598640958600001</v>
      </c>
      <c r="BB44" s="17">
        <f>IF(BB$3="","",IF(AND(DivAs=2,BB$2&lt;ExDivPct),ExDivTree!BB44+DivAmount*EXP(IntRate*(BB$2-ExDivPct)),ExDivTree!BB44))</f>
        <v>37.706575523799998</v>
      </c>
      <c r="BC44" s="17">
        <f>IF(BC$3="","",IF(AND(DivAs=2,BC$2&lt;ExDivPct),ExDivTree!BC44+DivAmount*EXP(IntRate*(BC$2-ExDivPct)),ExDivTree!BC44))</f>
        <v>38.848050104899997</v>
      </c>
      <c r="BD44" s="17">
        <f>IF(BD$3="","",IF(AND(DivAs=2,BD$2&lt;ExDivPct),ExDivTree!BD44+DivAmount*EXP(IntRate*(BD$2-ExDivPct)),ExDivTree!BD44))</f>
        <v>40.024080044100003</v>
      </c>
      <c r="BE44" s="17">
        <f>IF(BE$3="","",IF(AND(DivAs=2,BE$2&lt;ExDivPct),ExDivTree!BE44+DivAmount*EXP(IntRate*(BE$2-ExDivPct)),ExDivTree!BE44))</f>
        <v>41.235711420599998</v>
      </c>
      <c r="BF44" s="17">
        <f>IF(BF$3="","",IF(AND(DivAs=2,BF$2&lt;ExDivPct),ExDivTree!BF44+DivAmount*EXP(IntRate*(BF$2-ExDivPct)),ExDivTree!BF44))</f>
        <v>42.484021980999998</v>
      </c>
      <c r="BG44" s="17">
        <f>IF(BG$3="","",IF(AND(DivAs=2,BG$2&lt;ExDivPct),ExDivTree!BG44+DivAmount*EXP(IntRate*(BG$2-ExDivPct)),ExDivTree!BG44))</f>
        <v>43.770122098100003</v>
      </c>
      <c r="BH44" s="17">
        <f>IF(BH$3="","",IF(AND(DivAs=2,BH$2&lt;ExDivPct),ExDivTree!BH44+DivAmount*EXP(IntRate*(BH$2-ExDivPct)),ExDivTree!BH44))</f>
        <v>45.095155758499999</v>
      </c>
      <c r="BI44" s="17">
        <f>IF(BI$3="","",IF(AND(DivAs=2,BI$2&lt;ExDivPct),ExDivTree!BI44+DivAmount*EXP(IntRate*(BI$2-ExDivPct)),ExDivTree!BI44))</f>
        <v>46.460301580299998</v>
      </c>
      <c r="BJ44" s="17">
        <f>IF(BJ$3="","",IF(AND(DivAs=2,BJ$2&lt;ExDivPct),ExDivTree!BJ44+DivAmount*EXP(IntRate*(BJ$2-ExDivPct)),ExDivTree!BJ44))</f>
        <v>47.866773861299997</v>
      </c>
      <c r="BK44" s="17">
        <f>IF(BK$3="","",IF(AND(DivAs=2,BK$2&lt;ExDivPct),ExDivTree!BK44+DivAmount*EXP(IntRate*(BK$2-ExDivPct)),ExDivTree!BK44))</f>
        <v>49.315823659199999</v>
      </c>
      <c r="BL44" s="17">
        <f>IF(BL$3="","",IF(AND(DivAs=2,BL$2&lt;ExDivPct),ExDivTree!BL44+DivAmount*EXP(IntRate*(BL$2-ExDivPct)),ExDivTree!BL44))</f>
        <v>50.808739904500001</v>
      </c>
      <c r="BM44" s="17">
        <f>IF(BM$3="","",IF(AND(DivAs=2,BM$2&lt;ExDivPct),ExDivTree!BM44+DivAmount*EXP(IntRate*(BM$2-ExDivPct)),ExDivTree!BM44))</f>
        <v>52.346850546900001</v>
      </c>
      <c r="BN44" s="17">
        <f>IF(BN$3="","",IF(AND(DivAs=2,BN$2&lt;ExDivPct),ExDivTree!BN44+DivAmount*EXP(IntRate*(BN$2-ExDivPct)),ExDivTree!BN44))</f>
        <v>53.931523736400003</v>
      </c>
      <c r="BO44" s="17">
        <f>IF(BO$3="","",IF(AND(DivAs=2,BO$2&lt;ExDivPct),ExDivTree!BO44+DivAmount*EXP(IntRate*(BO$2-ExDivPct)),ExDivTree!BO44))</f>
        <v>55.5641690406</v>
      </c>
      <c r="BP44" s="17">
        <f>IF(BP$3="","",IF(AND(DivAs=2,BP$2&lt;ExDivPct),ExDivTree!BP44+DivAmount*EXP(IntRate*(BP$2-ExDivPct)),ExDivTree!BP44))</f>
        <v>57.246238698200003</v>
      </c>
      <c r="BQ44" s="17">
        <f>IF(BQ$3="","",IF(AND(DivAs=2,BQ$2&lt;ExDivPct),ExDivTree!BQ44+DivAmount*EXP(IntRate*(BQ$2-ExDivPct)),ExDivTree!BQ44))</f>
        <v>58.979228911</v>
      </c>
      <c r="BR44" s="17">
        <f>IF(BR$3="","",IF(AND(DivAs=2,BR$2&lt;ExDivPct),ExDivTree!BR44+DivAmount*EXP(IntRate*(BR$2-ExDivPct)),ExDivTree!BR44))</f>
        <v>60.764681174499998</v>
      </c>
      <c r="BS44" s="17">
        <f>IF(BS$3="","",IF(AND(DivAs=2,BS$2&lt;ExDivPct),ExDivTree!BS44+DivAmount*EXP(IntRate*(BS$2-ExDivPct)),ExDivTree!BS44))</f>
        <v>62.604183649299998</v>
      </c>
      <c r="BT44" s="17">
        <f>IF(BT$3="","",IF(AND(DivAs=2,BT$2&lt;ExDivPct),ExDivTree!BT44+DivAmount*EXP(IntRate*(BT$2-ExDivPct)),ExDivTree!BT44))</f>
        <v>64.499372573700001</v>
      </c>
      <c r="BU44" s="17">
        <f>IF(BU$3="","",IF(AND(DivAs=2,BU$2&lt;ExDivPct),ExDivTree!BU44+DivAmount*EXP(IntRate*(BU$2-ExDivPct)),ExDivTree!BU44))</f>
        <v>66.451933718999996</v>
      </c>
      <c r="BV44" s="17">
        <f>IF(BV$3="","",IF(AND(DivAs=2,BV$2&lt;ExDivPct),ExDivTree!BV44+DivAmount*EXP(IntRate*(BV$2-ExDivPct)),ExDivTree!BV44))</f>
        <v>68.463603889300003</v>
      </c>
      <c r="BW44" s="17">
        <f>IF(BW$3="","",IF(AND(DivAs=2,BW$2&lt;ExDivPct),ExDivTree!BW44+DivAmount*EXP(IntRate*(BW$2-ExDivPct)),ExDivTree!BW44))</f>
        <v>70.5361724662</v>
      </c>
      <c r="BX44" s="17">
        <f>IF(BX$3="","",IF(AND(DivAs=2,BX$2&lt;ExDivPct),ExDivTree!BX44+DivAmount*EXP(IntRate*(BX$2-ExDivPct)),ExDivTree!BX44))</f>
        <v>72.6714830003</v>
      </c>
      <c r="BY44" s="17">
        <f>IF(BY$3="","",IF(AND(DivAs=2,BY$2&lt;ExDivPct),ExDivTree!BY44+DivAmount*EXP(IntRate*(BY$2-ExDivPct)),ExDivTree!BY44))</f>
        <v>74.871434851299995</v>
      </c>
      <c r="BZ44" s="17">
        <f>IF(BZ$3="","",IF(AND(DivAs=2,BZ$2&lt;ExDivPct),ExDivTree!BZ44+DivAmount*EXP(IntRate*(BZ$2-ExDivPct)),ExDivTree!BZ44))</f>
        <v>77.137984877299999</v>
      </c>
      <c r="CA44" s="17">
        <f>IF(CA$3="","",IF(AND(DivAs=2,CA$2&lt;ExDivPct),ExDivTree!CA44+DivAmount*EXP(IntRate*(CA$2-ExDivPct)),ExDivTree!CA44))</f>
        <v>79.473149175700001</v>
      </c>
      <c r="CB44" s="17">
        <f>IF(CB$3="","",IF(AND(DivAs=2,CB$2&lt;ExDivPct),ExDivTree!CB44+DivAmount*EXP(IntRate*(CB$2-ExDivPct)),ExDivTree!CB44))</f>
        <v>81.879004876099998</v>
      </c>
      <c r="CC44" s="17">
        <f>IF(CC$3="","",IF(AND(DivAs=2,CC$2&lt;ExDivPct),ExDivTree!CC44+DivAmount*EXP(IntRate*(CC$2-ExDivPct)),ExDivTree!CC44))</f>
        <v>84.357691988300004</v>
      </c>
      <c r="CD44" s="17">
        <f>IF(CD$3="","",IF(AND(DivAs=2,CD$2&lt;ExDivPct),ExDivTree!CD44+DivAmount*EXP(IntRate*(CD$2-ExDivPct)),ExDivTree!CD44))</f>
        <v>86.9114153055</v>
      </c>
      <c r="CE44" s="17">
        <f>IF(CE$3="","",IF(AND(DivAs=2,CE$2&lt;ExDivPct),ExDivTree!CE44+DivAmount*EXP(IntRate*(CE$2-ExDivPct)),ExDivTree!CE44))</f>
        <v>89.542446365800004</v>
      </c>
      <c r="CF44" s="17">
        <f>IF(CF$3="","",IF(AND(DivAs=2,CF$2&lt;ExDivPct),ExDivTree!CF44+DivAmount*EXP(IntRate*(CF$2-ExDivPct)),ExDivTree!CF44))</f>
        <v>92.253125472500003</v>
      </c>
      <c r="CG44" s="17">
        <f>IF(CG$3="","",IF(AND(DivAs=2,CG$2&lt;ExDivPct),ExDivTree!CG44+DivAmount*EXP(IntRate*(CG$2-ExDivPct)),ExDivTree!CG44))</f>
        <v>95.045863775900003</v>
      </c>
      <c r="CH44" s="17">
        <f>IF(CH$3="","",IF(AND(DivAs=2,CH$2&lt;ExDivPct),ExDivTree!CH44+DivAmount*EXP(IntRate*(CH$2-ExDivPct)),ExDivTree!CH44))</f>
        <v>97.923145418000004</v>
      </c>
      <c r="CI44" s="17">
        <f>IF(CI$3="","",IF(AND(DivAs=2,CI$2&lt;ExDivPct),ExDivTree!CI44+DivAmount*EXP(IntRate*(CI$2-ExDivPct)),ExDivTree!CI44))</f>
        <v>100.8875297421</v>
      </c>
      <c r="CJ44" s="17">
        <f>IF(CJ$3="","",IF(AND(DivAs=2,CJ$2&lt;ExDivPct),ExDivTree!CJ44+DivAmount*EXP(IntRate*(CJ$2-ExDivPct)),ExDivTree!CJ44))</f>
        <v>103.9416535694</v>
      </c>
      <c r="CK44" s="17">
        <f>IF(CK$3="","",IF(AND(DivAs=2,CK$2&lt;ExDivPct),ExDivTree!CK44+DivAmount*EXP(IntRate*(CK$2-ExDivPct)),ExDivTree!CK44))</f>
        <v>107.0882335444</v>
      </c>
      <c r="CL44" s="17">
        <f>IF(CL$3="","",IF(AND(DivAs=2,CL$2&lt;ExDivPct),ExDivTree!CL44+DivAmount*EXP(IntRate*(CL$2-ExDivPct)),ExDivTree!CL44))</f>
        <v>110.3300685514</v>
      </c>
      <c r="CM44" s="17">
        <f>IF(CM$3="","",IF(AND(DivAs=2,CM$2&lt;ExDivPct),ExDivTree!CM44+DivAmount*EXP(IntRate*(CM$2-ExDivPct)),ExDivTree!CM44))</f>
        <v>113.6700422042</v>
      </c>
      <c r="CN44" s="17">
        <f>IF(CN$3="","",IF(AND(DivAs=2,CN$2&lt;ExDivPct),ExDivTree!CN44+DivAmount*EXP(IntRate*(CN$2-ExDivPct)),ExDivTree!CN44))</f>
        <v>117.1111254108</v>
      </c>
      <c r="CO44" s="17">
        <f>IF(CO$3="","",IF(AND(DivAs=2,CO$2&lt;ExDivPct),ExDivTree!CO44+DivAmount*EXP(IntRate*(CO$2-ExDivPct)),ExDivTree!CO44))</f>
        <v>120.65637901620001</v>
      </c>
      <c r="CP44" s="17">
        <f>IF(CP$3="","",IF(AND(DivAs=2,CP$2&lt;ExDivPct),ExDivTree!CP44+DivAmount*EXP(IntRate*(CP$2-ExDivPct)),ExDivTree!CP44))</f>
        <v>124.3089565252</v>
      </c>
      <c r="CQ44" s="17">
        <f>IF(CQ$3="","",IF(AND(DivAs=2,CQ$2&lt;ExDivPct),ExDivTree!CQ44+DivAmount*EXP(IntRate*(CQ$2-ExDivPct)),ExDivTree!CQ44))</f>
        <v>128.07210690700001</v>
      </c>
      <c r="CR44" s="17">
        <f>IF(CR$3="","",IF(AND(DivAs=2,CR$2&lt;ExDivPct),ExDivTree!CR44+DivAmount*EXP(IntRate*(CR$2-ExDivPct)),ExDivTree!CR44))</f>
        <v>131.94917748570001</v>
      </c>
      <c r="CS44" s="17">
        <f>IF(CS$3="","",IF(AND(DivAs=2,CS$2&lt;ExDivPct),ExDivTree!CS44+DivAmount*EXP(IntRate*(CS$2-ExDivPct)),ExDivTree!CS44))</f>
        <v>135.94361691719999</v>
      </c>
      <c r="CT44" s="17">
        <f>IF(CT$3="","",IF(AND(DivAs=2,CT$2&lt;ExDivPct),ExDivTree!CT44+DivAmount*EXP(IntRate*(CT$2-ExDivPct)),ExDivTree!CT44))</f>
        <v>140.0589782573</v>
      </c>
      <c r="CU44" s="17">
        <f>IF(CU$3="","",IF(AND(DivAs=2,CU$2&lt;ExDivPct),ExDivTree!CU44+DivAmount*EXP(IntRate*(CU$2-ExDivPct)),ExDivTree!CU44))</f>
        <v>144.2989221217</v>
      </c>
      <c r="CV44" s="17">
        <f>IF(CV$3="","",IF(AND(DivAs=2,CV$2&lt;ExDivPct),ExDivTree!CV44+DivAmount*EXP(IntRate*(CV$2-ExDivPct)),ExDivTree!CV44))</f>
        <v>148.66721994240001</v>
      </c>
      <c r="CW44" s="17">
        <f>IF(CW$3="","",IF(AND(DivAs=2,CW$2&lt;ExDivPct),ExDivTree!CW44+DivAmount*EXP(IntRate*(CW$2-ExDivPct)),ExDivTree!CW44))</f>
        <v>153.16775732229999</v>
      </c>
      <c r="CX44" s="17">
        <f>IF(CX$3="","",IF(AND(DivAs=2,CX$2&lt;ExDivPct),ExDivTree!CX44+DivAmount*EXP(IntRate*(CX$2-ExDivPct)),ExDivTree!CX44))</f>
        <v>157.8045374914</v>
      </c>
      <c r="CY44" s="17">
        <f>IF(CY$3="","",IF(AND(DivAs=2,CY$2&lt;ExDivPct),ExDivTree!CY44+DivAmount*EXP(IntRate*(CY$2-ExDivPct)),ExDivTree!CY44))</f>
        <v>162.58168486770001</v>
      </c>
      <c r="CZ44" s="17">
        <f>IF(CZ$3="","",IF(AND(DivAs=2,CZ$2&lt;ExDivPct),ExDivTree!CZ44+DivAmount*EXP(IntRate*(CZ$2-ExDivPct)),ExDivTree!CZ44))</f>
        <v>167.50344872599999</v>
      </c>
      <c r="DA44" s="17">
        <f>IF(DA$3="","",IF(AND(DivAs=2,DA$2&lt;ExDivPct),ExDivTree!DA44+DivAmount*EXP(IntRate*(DA$2-ExDivPct)),ExDivTree!DA44))</f>
        <v>172.57420697750001</v>
      </c>
      <c r="DB44" s="17">
        <f>IF(DB$3="","",IF(AND(DivAs=2,DB$2&lt;ExDivPct),ExDivTree!DB44+DivAmount*EXP(IntRate*(DB$2-ExDivPct)),ExDivTree!DB44))</f>
        <v>177.7984700639</v>
      </c>
    </row>
    <row r="45" spans="1:106" x14ac:dyDescent="0.2">
      <c r="A45">
        <f>ExDivTree!A45</f>
        <v>3.3862674359172785E+28</v>
      </c>
      <c r="B45" s="71">
        <f>ExDivTree!B45</f>
        <v>1.3356469974090695E-2</v>
      </c>
      <c r="C45" s="71">
        <f>ExDivTree!C45</f>
        <v>1.4041333205129321E-2</v>
      </c>
      <c r="D45" s="177">
        <f>ExDivTree!D45</f>
        <v>41</v>
      </c>
      <c r="AT45" s="17">
        <f>IF(AT$3="","",IF(AND(DivAs=2,AT$2&lt;ExDivPct),ExDivTree!AT45+DivAmount*EXP(IntRate*(AT$2-ExDivPct)),ExDivTree!AT45))</f>
        <v>27.9832415447</v>
      </c>
      <c r="AU45" s="17">
        <f>IF(AU$3="","",IF(AND(DivAs=2,AU$2&lt;ExDivPct),ExDivTree!AU45+DivAmount*EXP(IntRate*(AU$2-ExDivPct)),ExDivTree!AU45))</f>
        <v>28.8303659117</v>
      </c>
      <c r="AV45" s="17">
        <f>IF(AV$3="","",IF(AND(DivAs=2,AV$2&lt;ExDivPct),ExDivTree!AV45+DivAmount*EXP(IntRate*(AV$2-ExDivPct)),ExDivTree!AV45))</f>
        <v>29.7031349021</v>
      </c>
      <c r="AW45" s="17">
        <f>IF(AW$3="","",IF(AND(DivAs=2,AW$2&lt;ExDivPct),ExDivTree!AW45+DivAmount*EXP(IntRate*(AW$2-ExDivPct)),ExDivTree!AW45))</f>
        <v>30.602324844399998</v>
      </c>
      <c r="AX45" s="17">
        <f>IF(AX$3="","",IF(AND(DivAs=2,AX$2&lt;ExDivPct),ExDivTree!AX45+DivAmount*EXP(IntRate*(AX$2-ExDivPct)),ExDivTree!AX45))</f>
        <v>31.5287355685</v>
      </c>
      <c r="AY45" s="17">
        <f>IF(AY$3="","",IF(AND(DivAs=2,AY$2&lt;ExDivPct),ExDivTree!AY45+DivAmount*EXP(IntRate*(AY$2-ExDivPct)),ExDivTree!AY45))</f>
        <v>32.483191117099999</v>
      </c>
      <c r="AZ45" s="17">
        <f>IF(AZ$3="","",IF(AND(DivAs=2,AZ$2&lt;ExDivPct),ExDivTree!AZ45+DivAmount*EXP(IntRate*(AZ$2-ExDivPct)),ExDivTree!AZ45))</f>
        <v>33.466540478799999</v>
      </c>
      <c r="BA45" s="17">
        <f>IF(BA$3="","",IF(AND(DivAs=2,BA$2&lt;ExDivPct),ExDivTree!BA45+DivAmount*EXP(IntRate*(BA$2-ExDivPct)),ExDivTree!BA45))</f>
        <v>34.479658343399997</v>
      </c>
      <c r="BB45" s="17">
        <f>IF(BB$3="","",IF(AND(DivAs=2,BB$2&lt;ExDivPct),ExDivTree!BB45+DivAmount*EXP(IntRate*(BB$2-ExDivPct)),ExDivTree!BB45))</f>
        <v>35.523445879599997</v>
      </c>
      <c r="BC45" s="17">
        <f>IF(BC$3="","",IF(AND(DivAs=2,BC$2&lt;ExDivPct),ExDivTree!BC45+DivAmount*EXP(IntRate*(BC$2-ExDivPct)),ExDivTree!BC45))</f>
        <v>36.598831536900001</v>
      </c>
      <c r="BD45" s="17">
        <f>IF(BD$3="","",IF(AND(DivAs=2,BD$2&lt;ExDivPct),ExDivTree!BD45+DivAmount*EXP(IntRate*(BD$2-ExDivPct)),ExDivTree!BD45))</f>
        <v>37.706771871400001</v>
      </c>
      <c r="BE45" s="17">
        <f>IF(BE$3="","",IF(AND(DivAs=2,BE$2&lt;ExDivPct),ExDivTree!BE45+DivAmount*EXP(IntRate*(BE$2-ExDivPct)),ExDivTree!BE45))</f>
        <v>38.848252396500001</v>
      </c>
      <c r="BF45" s="17">
        <f>IF(BF$3="","",IF(AND(DivAs=2,BF$2&lt;ExDivPct),ExDivTree!BF45+DivAmount*EXP(IntRate*(BF$2-ExDivPct)),ExDivTree!BF45))</f>
        <v>40.024288459600001</v>
      </c>
      <c r="BG45" s="17">
        <f>IF(BG$3="","",IF(AND(DivAs=2,BG$2&lt;ExDivPct),ExDivTree!BG45+DivAmount*EXP(IntRate*(BG$2-ExDivPct)),ExDivTree!BG45))</f>
        <v>41.235926145299999</v>
      </c>
      <c r="BH45" s="17">
        <f>IF(BH$3="","",IF(AND(DivAs=2,BH$2&lt;ExDivPct),ExDivTree!BH45+DivAmount*EXP(IntRate*(BH$2-ExDivPct)),ExDivTree!BH45))</f>
        <v>42.4842432059</v>
      </c>
      <c r="BI45" s="17">
        <f>IF(BI$3="","",IF(AND(DivAs=2,BI$2&lt;ExDivPct),ExDivTree!BI45+DivAmount*EXP(IntRate*(BI$2-ExDivPct)),ExDivTree!BI45))</f>
        <v>43.770350020000002</v>
      </c>
      <c r="BJ45" s="17">
        <f>IF(BJ$3="","",IF(AND(DivAs=2,BJ$2&lt;ExDivPct),ExDivTree!BJ45+DivAmount*EXP(IntRate*(BJ$2-ExDivPct)),ExDivTree!BJ45))</f>
        <v>45.095390580199997</v>
      </c>
      <c r="BK45" s="17">
        <f>IF(BK$3="","",IF(AND(DivAs=2,BK$2&lt;ExDivPct),ExDivTree!BK45+DivAmount*EXP(IntRate*(BK$2-ExDivPct)),ExDivTree!BK45))</f>
        <v>46.460543510599997</v>
      </c>
      <c r="BL45" s="17">
        <f>IF(BL$3="","",IF(AND(DivAs=2,BL$2&lt;ExDivPct),ExDivTree!BL45+DivAmount*EXP(IntRate*(BL$2-ExDivPct)),ExDivTree!BL45))</f>
        <v>47.867023115400002</v>
      </c>
      <c r="BM45" s="17">
        <f>IF(BM$3="","",IF(AND(DivAs=2,BM$2&lt;ExDivPct),ExDivTree!BM45+DivAmount*EXP(IntRate*(BM$2-ExDivPct)),ExDivTree!BM45))</f>
        <v>49.316080458899997</v>
      </c>
      <c r="BN45" s="17">
        <f>IF(BN$3="","",IF(AND(DivAs=2,BN$2&lt;ExDivPct),ExDivTree!BN45+DivAmount*EXP(IntRate*(BN$2-ExDivPct)),ExDivTree!BN45))</f>
        <v>50.809004478200002</v>
      </c>
      <c r="BO45" s="17">
        <f>IF(BO$3="","",IF(AND(DivAs=2,BO$2&lt;ExDivPct),ExDivTree!BO45+DivAmount*EXP(IntRate*(BO$2-ExDivPct)),ExDivTree!BO45))</f>
        <v>52.347123129899998</v>
      </c>
      <c r="BP45" s="17">
        <f>IF(BP$3="","",IF(AND(DivAs=2,BP$2&lt;ExDivPct),ExDivTree!BP45+DivAmount*EXP(IntRate*(BP$2-ExDivPct)),ExDivTree!BP45))</f>
        <v>53.931804571199997</v>
      </c>
      <c r="BQ45" s="17">
        <f>IF(BQ$3="","",IF(AND(DivAs=2,BQ$2&lt;ExDivPct),ExDivTree!BQ45+DivAmount*EXP(IntRate*(BQ$2-ExDivPct)),ExDivTree!BQ45))</f>
        <v>55.564458377000001</v>
      </c>
      <c r="BR45" s="17">
        <f>IF(BR$3="","",IF(AND(DivAs=2,BR$2&lt;ExDivPct),ExDivTree!BR45+DivAmount*EXP(IntRate*(BR$2-ExDivPct)),ExDivTree!BR45))</f>
        <v>57.246536793600001</v>
      </c>
      <c r="BS45" s="17">
        <f>IF(BS$3="","",IF(AND(DivAs=2,BS$2&lt;ExDivPct),ExDivTree!BS45+DivAmount*EXP(IntRate*(BS$2-ExDivPct)),ExDivTree!BS45))</f>
        <v>58.9795360305</v>
      </c>
      <c r="BT45" s="17">
        <f>IF(BT$3="","",IF(AND(DivAs=2,BT$2&lt;ExDivPct),ExDivTree!BT45+DivAmount*EXP(IntRate*(BT$2-ExDivPct)),ExDivTree!BT45))</f>
        <v>60.764997591300002</v>
      </c>
      <c r="BU45" s="17">
        <f>IF(BU$3="","",IF(AND(DivAs=2,BU$2&lt;ExDivPct),ExDivTree!BU45+DivAmount*EXP(IntRate*(BU$2-ExDivPct)),ExDivTree!BU45))</f>
        <v>62.604509644799997</v>
      </c>
      <c r="BV45" s="17">
        <f>IF(BV$3="","",IF(AND(DivAs=2,BV$2&lt;ExDivPct),ExDivTree!BV45+DivAmount*EXP(IntRate*(BV$2-ExDivPct)),ExDivTree!BV45))</f>
        <v>64.499708437899997</v>
      </c>
      <c r="BW45" s="17">
        <f>IF(BW$3="","",IF(AND(DivAs=2,BW$2&lt;ExDivPct),ExDivTree!BW45+DivAmount*EXP(IntRate*(BW$2-ExDivPct)),ExDivTree!BW45))</f>
        <v>66.452279750700001</v>
      </c>
      <c r="BX45" s="17">
        <f>IF(BX$3="","",IF(AND(DivAs=2,BX$2&lt;ExDivPct),ExDivTree!BX45+DivAmount*EXP(IntRate*(BX$2-ExDivPct)),ExDivTree!BX45))</f>
        <v>68.463960396299996</v>
      </c>
      <c r="BY45" s="17">
        <f>IF(BY$3="","",IF(AND(DivAs=2,BY$2&lt;ExDivPct),ExDivTree!BY45+DivAmount*EXP(IntRate*(BY$2-ExDivPct)),ExDivTree!BY45))</f>
        <v>70.536539765599997</v>
      </c>
      <c r="BZ45" s="17">
        <f>IF(BZ$3="","",IF(AND(DivAs=2,BZ$2&lt;ExDivPct),ExDivTree!BZ45+DivAmount*EXP(IntRate*(BZ$2-ExDivPct)),ExDivTree!BZ45))</f>
        <v>72.671861418800006</v>
      </c>
      <c r="CA45" s="17">
        <f>IF(CA$3="","",IF(AND(DivAs=2,CA$2&lt;ExDivPct),ExDivTree!CA45+DivAmount*EXP(IntRate*(CA$2-ExDivPct)),ExDivTree!CA45))</f>
        <v>74.871824725500005</v>
      </c>
      <c r="CB45" s="17">
        <f>IF(CB$3="","",IF(AND(DivAs=2,CB$2&lt;ExDivPct),ExDivTree!CB45+DivAmount*EXP(IntRate*(CB$2-ExDivPct)),ExDivTree!CB45))</f>
        <v>77.138386553999993</v>
      </c>
      <c r="CC45" s="17">
        <f>IF(CC$3="","",IF(AND(DivAs=2,CC$2&lt;ExDivPct),ExDivTree!CC45+DivAmount*EXP(IntRate*(CC$2-ExDivPct)),ExDivTree!CC45))</f>
        <v>79.473563012200003</v>
      </c>
      <c r="CD45" s="17">
        <f>IF(CD$3="","",IF(AND(DivAs=2,CD$2&lt;ExDivPct),ExDivTree!CD45+DivAmount*EXP(IntRate*(CD$2-ExDivPct)),ExDivTree!CD45))</f>
        <v>81.879431240499997</v>
      </c>
      <c r="CE45" s="17">
        <f>IF(CE$3="","",IF(AND(DivAs=2,CE$2&lt;ExDivPct),ExDivTree!CE45+DivAmount*EXP(IntRate*(CE$2-ExDivPct)),ExDivTree!CE45))</f>
        <v>84.358131259800004</v>
      </c>
      <c r="CF45" s="17">
        <f>IF(CF$3="","",IF(AND(DivAs=2,CF$2&lt;ExDivPct),ExDivTree!CF45+DivAmount*EXP(IntRate*(CF$2-ExDivPct)),ExDivTree!CF45))</f>
        <v>86.911867874899997</v>
      </c>
      <c r="CG45" s="17">
        <f>IF(CG$3="","",IF(AND(DivAs=2,CG$2&lt;ExDivPct),ExDivTree!CG45+DivAmount*EXP(IntRate*(CG$2-ExDivPct)),ExDivTree!CG45))</f>
        <v>89.542912635600004</v>
      </c>
      <c r="CH45" s="17">
        <f>IF(CH$3="","",IF(AND(DivAs=2,CH$2&lt;ExDivPct),ExDivTree!CH45+DivAmount*EXP(IntRate*(CH$2-ExDivPct)),ExDivTree!CH45))</f>
        <v>92.253605857500006</v>
      </c>
      <c r="CI45" s="17">
        <f>IF(CI$3="","",IF(AND(DivAs=2,CI$2&lt;ExDivPct),ExDivTree!CI45+DivAmount*EXP(IntRate*(CI$2-ExDivPct)),ExDivTree!CI45))</f>
        <v>95.046358703400003</v>
      </c>
      <c r="CJ45" s="17">
        <f>IF(CJ$3="","",IF(AND(DivAs=2,CJ$2&lt;ExDivPct),ExDivTree!CJ45+DivAmount*EXP(IntRate*(CJ$2-ExDivPct)),ExDivTree!CJ45))</f>
        <v>97.923655328199999</v>
      </c>
      <c r="CK45" s="17">
        <f>IF(CK$3="","",IF(AND(DivAs=2,CK$2&lt;ExDivPct),ExDivTree!CK45+DivAmount*EXP(IntRate*(CK$2-ExDivPct)),ExDivTree!CK45))</f>
        <v>100.8880550886</v>
      </c>
      <c r="CL45" s="17">
        <f>IF(CL$3="","",IF(AND(DivAs=2,CL$2&lt;ExDivPct),ExDivTree!CL45+DivAmount*EXP(IntRate*(CL$2-ExDivPct)),ExDivTree!CL45))</f>
        <v>103.9421948195</v>
      </c>
      <c r="CM45" s="17">
        <f>IF(CM$3="","",IF(AND(DivAs=2,CM$2&lt;ExDivPct),ExDivTree!CM45+DivAmount*EXP(IntRate*(CM$2-ExDivPct)),ExDivTree!CM45))</f>
        <v>107.08879117959999</v>
      </c>
      <c r="CN45" s="17">
        <f>IF(CN$3="","",IF(AND(DivAs=2,CN$2&lt;ExDivPct),ExDivTree!CN45+DivAmount*EXP(IntRate*(CN$2-ExDivPct)),ExDivTree!CN45))</f>
        <v>110.3306430677</v>
      </c>
      <c r="CO45" s="17">
        <f>IF(CO$3="","",IF(AND(DivAs=2,CO$2&lt;ExDivPct),ExDivTree!CO45+DivAmount*EXP(IntRate*(CO$2-ExDivPct)),ExDivTree!CO45))</f>
        <v>113.6706341126</v>
      </c>
      <c r="CP45" s="17">
        <f>IF(CP$3="","",IF(AND(DivAs=2,CP$2&lt;ExDivPct),ExDivTree!CP45+DivAmount*EXP(IntRate*(CP$2-ExDivPct)),ExDivTree!CP45))</f>
        <v>117.1117352377</v>
      </c>
      <c r="CQ45" s="17">
        <f>IF(CQ$3="","",IF(AND(DivAs=2,CQ$2&lt;ExDivPct),ExDivTree!CQ45+DivAmount*EXP(IntRate*(CQ$2-ExDivPct)),ExDivTree!CQ45))</f>
        <v>120.65700730410001</v>
      </c>
      <c r="CR45" s="17">
        <f>IF(CR$3="","",IF(AND(DivAs=2,CR$2&lt;ExDivPct),ExDivTree!CR45+DivAmount*EXP(IntRate*(CR$2-ExDivPct)),ExDivTree!CR45))</f>
        <v>124.3096038329</v>
      </c>
      <c r="CS45" s="17">
        <f>IF(CS$3="","",IF(AND(DivAs=2,CS$2&lt;ExDivPct),ExDivTree!CS45+DivAmount*EXP(IntRate*(CS$2-ExDivPct)),ExDivTree!CS45))</f>
        <v>128.07277381040001</v>
      </c>
      <c r="CT45" s="17">
        <f>IF(CT$3="","",IF(AND(DivAs=2,CT$2&lt;ExDivPct),ExDivTree!CT45+DivAmount*EXP(IntRate*(CT$2-ExDivPct)),ExDivTree!CT45))</f>
        <v>131.94986457799999</v>
      </c>
      <c r="CU45" s="17">
        <f>IF(CU$3="","",IF(AND(DivAs=2,CU$2&lt;ExDivPct),ExDivTree!CU45+DivAmount*EXP(IntRate*(CU$2-ExDivPct)),ExDivTree!CU45))</f>
        <v>135.9443248096</v>
      </c>
      <c r="CV45" s="17">
        <f>IF(CV$3="","",IF(AND(DivAs=2,CV$2&lt;ExDivPct),ExDivTree!CV45+DivAmount*EXP(IntRate*(CV$2-ExDivPct)),ExDivTree!CV45))</f>
        <v>140.0597075794</v>
      </c>
      <c r="CW45" s="17">
        <f>IF(CW$3="","",IF(AND(DivAs=2,CW$2&lt;ExDivPct),ExDivTree!CW45+DivAmount*EXP(IntRate*(CW$2-ExDivPct)),ExDivTree!CW45))</f>
        <v>144.29967352220001</v>
      </c>
      <c r="CX45" s="17">
        <f>IF(CX$3="","",IF(AND(DivAs=2,CX$2&lt;ExDivPct),ExDivTree!CX45+DivAmount*EXP(IntRate*(CX$2-ExDivPct)),ExDivTree!CX45))</f>
        <v>148.66799408969999</v>
      </c>
      <c r="CY45" s="17">
        <f>IF(CY$3="","",IF(AND(DivAs=2,CY$2&lt;ExDivPct),ExDivTree!CY45+DivAmount*EXP(IntRate*(CY$2-ExDivPct)),ExDivTree!CY45))</f>
        <v>153.16855490500001</v>
      </c>
      <c r="CZ45" s="17">
        <f>IF(CZ$3="","",IF(AND(DivAs=2,CZ$2&lt;ExDivPct),ExDivTree!CZ45+DivAmount*EXP(IntRate*(CZ$2-ExDivPct)),ExDivTree!CZ45))</f>
        <v>157.80535921890001</v>
      </c>
      <c r="DA45" s="17">
        <f>IF(DA$3="","",IF(AND(DivAs=2,DA$2&lt;ExDivPct),ExDivTree!DA45+DivAmount*EXP(IntRate*(DA$2-ExDivPct)),ExDivTree!DA45))</f>
        <v>162.58253147100001</v>
      </c>
      <c r="DB45" s="17">
        <f>IF(DB$3="","",IF(AND(DivAs=2,DB$2&lt;ExDivPct),ExDivTree!DB45+DivAmount*EXP(IntRate*(DB$2-ExDivPct)),ExDivTree!DB45))</f>
        <v>167.5043209582</v>
      </c>
    </row>
    <row r="46" spans="1:106" x14ac:dyDescent="0.2">
      <c r="A46">
        <f>ExDivTree!A46</f>
        <v>4.8375249084532529E+28</v>
      </c>
      <c r="B46" s="71">
        <f>ExDivTree!B46</f>
        <v>1.9080671391558127E-2</v>
      </c>
      <c r="C46" s="71">
        <f>ExDivTree!C46</f>
        <v>1.995299637793067E-2</v>
      </c>
      <c r="D46" s="177">
        <f>ExDivTree!D46</f>
        <v>42</v>
      </c>
      <c r="AU46" s="17">
        <f>IF(AU$3="","",IF(AND(DivAs=2,AU$2&lt;ExDivPct),ExDivTree!AU46+DivAmount*EXP(IntRate*(AU$2-ExDivPct)),ExDivTree!AU46))</f>
        <v>27.161149717800001</v>
      </c>
      <c r="AV46" s="17">
        <f>IF(AV$3="","",IF(AND(DivAs=2,AV$2&lt;ExDivPct),ExDivTree!AV46+DivAmount*EXP(IntRate*(AV$2-ExDivPct)),ExDivTree!AV46))</f>
        <v>27.983387260400001</v>
      </c>
      <c r="AW46" s="17">
        <f>IF(AW$3="","",IF(AND(DivAs=2,AW$2&lt;ExDivPct),ExDivTree!AW46+DivAmount*EXP(IntRate*(AW$2-ExDivPct)),ExDivTree!AW46))</f>
        <v>28.830516038500001</v>
      </c>
      <c r="AX46" s="17">
        <f>IF(AX$3="","",IF(AND(DivAs=2,AX$2&lt;ExDivPct),ExDivTree!AX46+DivAmount*EXP(IntRate*(AX$2-ExDivPct)),ExDivTree!AX46))</f>
        <v>29.703289573700001</v>
      </c>
      <c r="AY46" s="17">
        <f>IF(AY$3="","",IF(AND(DivAs=2,AY$2&lt;ExDivPct),ExDivTree!AY46+DivAmount*EXP(IntRate*(AY$2-ExDivPct)),ExDivTree!AY46))</f>
        <v>30.602484198300001</v>
      </c>
      <c r="AZ46" s="17">
        <f>IF(AZ$3="","",IF(AND(DivAs=2,AZ$2&lt;ExDivPct),ExDivTree!AZ46+DivAmount*EXP(IntRate*(AZ$2-ExDivPct)),ExDivTree!AZ46))</f>
        <v>31.5288997464</v>
      </c>
      <c r="BA46" s="17">
        <f>IF(BA$3="","",IF(AND(DivAs=2,BA$2&lt;ExDivPct),ExDivTree!BA46+DivAmount*EXP(IntRate*(BA$2-ExDivPct)),ExDivTree!BA46))</f>
        <v>32.483360265100004</v>
      </c>
      <c r="BB46" s="17">
        <f>IF(BB$3="","",IF(AND(DivAs=2,BB$2&lt;ExDivPct),ExDivTree!BB46+DivAmount*EXP(IntRate*(BB$2-ExDivPct)),ExDivTree!BB46))</f>
        <v>33.466714747399998</v>
      </c>
      <c r="BC46" s="17">
        <f>IF(BC$3="","",IF(AND(DivAs=2,BC$2&lt;ExDivPct),ExDivTree!BC46+DivAmount*EXP(IntRate*(BC$2-ExDivPct)),ExDivTree!BC46))</f>
        <v>34.479837887499997</v>
      </c>
      <c r="BD46" s="17">
        <f>IF(BD$3="","",IF(AND(DivAs=2,BD$2&lt;ExDivPct),ExDivTree!BD46+DivAmount*EXP(IntRate*(BD$2-ExDivPct)),ExDivTree!BD46))</f>
        <v>35.523630859000001</v>
      </c>
      <c r="BE46" s="17">
        <f>IF(BE$3="","",IF(AND(DivAs=2,BE$2&lt;ExDivPct),ExDivTree!BE46+DivAmount*EXP(IntRate*(BE$2-ExDivPct)),ExDivTree!BE46))</f>
        <v>36.599022116100002</v>
      </c>
      <c r="BF46" s="17">
        <f>IF(BF$3="","",IF(AND(DivAs=2,BF$2&lt;ExDivPct),ExDivTree!BF46+DivAmount*EXP(IntRate*(BF$2-ExDivPct)),ExDivTree!BF46))</f>
        <v>37.706968219899998</v>
      </c>
      <c r="BG46" s="17">
        <f>IF(BG$3="","",IF(AND(DivAs=2,BG$2&lt;ExDivPct),ExDivTree!BG46+DivAmount*EXP(IntRate*(BG$2-ExDivPct)),ExDivTree!BG46))</f>
        <v>38.848454688899999</v>
      </c>
      <c r="BH46" s="17">
        <f>IF(BH$3="","",IF(AND(DivAs=2,BH$2&lt;ExDivPct),ExDivTree!BH46+DivAmount*EXP(IntRate*(BH$2-ExDivPct)),ExDivTree!BH46))</f>
        <v>40.024496875899999</v>
      </c>
      <c r="BI46" s="17">
        <f>IF(BI$3="","",IF(AND(DivAs=2,BI$2&lt;ExDivPct),ExDivTree!BI46+DivAmount*EXP(IntRate*(BI$2-ExDivPct)),ExDivTree!BI46))</f>
        <v>41.236140870900002</v>
      </c>
      <c r="BJ46" s="17">
        <f>IF(BJ$3="","",IF(AND(DivAs=2,BJ$2&lt;ExDivPct),ExDivTree!BJ46+DivAmount*EXP(IntRate*(BJ$2-ExDivPct)),ExDivTree!BJ46))</f>
        <v>42.484464431799999</v>
      </c>
      <c r="BK46" s="17">
        <f>IF(BK$3="","",IF(AND(DivAs=2,BK$2&lt;ExDivPct),ExDivTree!BK46+DivAmount*EXP(IntRate*(BK$2-ExDivPct)),ExDivTree!BK46))</f>
        <v>43.770577942999999</v>
      </c>
      <c r="BL46" s="17">
        <f>IF(BL$3="","",IF(AND(DivAs=2,BL$2&lt;ExDivPct),ExDivTree!BL46+DivAmount*EXP(IntRate*(BL$2-ExDivPct)),ExDivTree!BL46))</f>
        <v>45.095625403</v>
      </c>
      <c r="BM46" s="17">
        <f>IF(BM$3="","",IF(AND(DivAs=2,BM$2&lt;ExDivPct),ExDivTree!BM46+DivAmount*EXP(IntRate*(BM$2-ExDivPct)),ExDivTree!BM46))</f>
        <v>46.460785442099997</v>
      </c>
      <c r="BN46" s="17">
        <f>IF(BN$3="","",IF(AND(DivAs=2,BN$2&lt;ExDivPct),ExDivTree!BN46+DivAmount*EXP(IntRate*(BN$2-ExDivPct)),ExDivTree!BN46))</f>
        <v>47.867272370800002</v>
      </c>
      <c r="BO46" s="17">
        <f>IF(BO$3="","",IF(AND(DivAs=2,BO$2&lt;ExDivPct),ExDivTree!BO46+DivAmount*EXP(IntRate*(BO$2-ExDivPct)),ExDivTree!BO46))</f>
        <v>49.316337259900003</v>
      </c>
      <c r="BP46" s="17">
        <f>IF(BP$3="","",IF(AND(DivAs=2,BP$2&lt;ExDivPct),ExDivTree!BP46+DivAmount*EXP(IntRate*(BP$2-ExDivPct)),ExDivTree!BP46))</f>
        <v>50.809269053199998</v>
      </c>
      <c r="BQ46" s="17">
        <f>IF(BQ$3="","",IF(AND(DivAs=2,BQ$2&lt;ExDivPct),ExDivTree!BQ46+DivAmount*EXP(IntRate*(BQ$2-ExDivPct)),ExDivTree!BQ46))</f>
        <v>52.347395714199997</v>
      </c>
      <c r="BR46" s="17">
        <f>IF(BR$3="","",IF(AND(DivAs=2,BR$2&lt;ExDivPct),ExDivTree!BR46+DivAmount*EXP(IntRate*(BR$2-ExDivPct)),ExDivTree!BR46))</f>
        <v>53.932085407300001</v>
      </c>
      <c r="BS46" s="17">
        <f>IF(BS$3="","",IF(AND(DivAs=2,BS$2&lt;ExDivPct),ExDivTree!BS46+DivAmount*EXP(IntRate*(BS$2-ExDivPct)),ExDivTree!BS46))</f>
        <v>55.564747714699998</v>
      </c>
      <c r="BT46" s="17">
        <f>IF(BT$3="","",IF(AND(DivAs=2,BT$2&lt;ExDivPct),ExDivTree!BT46+DivAmount*EXP(IntRate*(BT$2-ExDivPct)),ExDivTree!BT46))</f>
        <v>57.246834890300001</v>
      </c>
      <c r="BU46" s="17">
        <f>IF(BU$3="","",IF(AND(DivAs=2,BU$2&lt;ExDivPct),ExDivTree!BU46+DivAmount*EXP(IntRate*(BU$2-ExDivPct)),ExDivTree!BU46))</f>
        <v>58.979843151300003</v>
      </c>
      <c r="BV46" s="17">
        <f>IF(BV$3="","",IF(AND(DivAs=2,BV$2&lt;ExDivPct),ExDivTree!BV46+DivAmount*EXP(IntRate*(BV$2-ExDivPct)),ExDivTree!BV46))</f>
        <v>60.765314009400001</v>
      </c>
      <c r="BW46" s="17">
        <f>IF(BW$3="","",IF(AND(DivAs=2,BW$2&lt;ExDivPct),ExDivTree!BW46+DivAmount*EXP(IntRate*(BW$2-ExDivPct)),ExDivTree!BW46))</f>
        <v>62.604835641699999</v>
      </c>
      <c r="BX46" s="17">
        <f>IF(BX$3="","",IF(AND(DivAs=2,BX$2&lt;ExDivPct),ExDivTree!BX46+DivAmount*EXP(IntRate*(BX$2-ExDivPct)),ExDivTree!BX46))</f>
        <v>64.500044303500005</v>
      </c>
      <c r="BY46" s="17">
        <f>IF(BY$3="","",IF(AND(DivAs=2,BY$2&lt;ExDivPct),ExDivTree!BY46+DivAmount*EXP(IntRate*(BY$2-ExDivPct)),ExDivTree!BY46))</f>
        <v>66.452625783800002</v>
      </c>
      <c r="BZ46" s="17">
        <f>IF(BZ$3="","",IF(AND(DivAs=2,BZ$2&lt;ExDivPct),ExDivTree!BZ46+DivAmount*EXP(IntRate*(BZ$2-ExDivPct)),ExDivTree!BZ46))</f>
        <v>68.464316904699999</v>
      </c>
      <c r="CA46" s="17">
        <f>IF(CA$3="","",IF(AND(DivAs=2,CA$2&lt;ExDivPct),ExDivTree!CA46+DivAmount*EXP(IntRate*(CA$2-ExDivPct)),ExDivTree!CA46))</f>
        <v>70.536907066400005</v>
      </c>
      <c r="CB46" s="17">
        <f>IF(CB$3="","",IF(AND(DivAs=2,CB$2&lt;ExDivPct),ExDivTree!CB46+DivAmount*EXP(IntRate*(CB$2-ExDivPct)),ExDivTree!CB46))</f>
        <v>72.672239838699994</v>
      </c>
      <c r="CC46" s="17">
        <f>IF(CC$3="","",IF(AND(DivAs=2,CC$2&lt;ExDivPct),ExDivTree!CC46+DivAmount*EXP(IntRate*(CC$2-ExDivPct)),ExDivTree!CC46))</f>
        <v>74.872214601099998</v>
      </c>
      <c r="CD46" s="17">
        <f>IF(CD$3="","",IF(AND(DivAs=2,CD$2&lt;ExDivPct),ExDivTree!CD46+DivAmount*EXP(IntRate*(CD$2-ExDivPct)),ExDivTree!CD46))</f>
        <v>77.1387882322</v>
      </c>
      <c r="CE46" s="17">
        <f>IF(CE$3="","",IF(AND(DivAs=2,CE$2&lt;ExDivPct),ExDivTree!CE46+DivAmount*EXP(IntRate*(CE$2-ExDivPct)),ExDivTree!CE46))</f>
        <v>79.473976850200003</v>
      </c>
      <c r="CF46" s="17">
        <f>IF(CF$3="","",IF(AND(DivAs=2,CF$2&lt;ExDivPct),ExDivTree!CF46+DivAmount*EXP(IntRate*(CF$2-ExDivPct)),ExDivTree!CF46))</f>
        <v>81.879857606399995</v>
      </c>
      <c r="CG46" s="17">
        <f>IF(CG$3="","",IF(AND(DivAs=2,CG$2&lt;ExDivPct),ExDivTree!CG46+DivAmount*EXP(IntRate*(CG$2-ExDivPct)),ExDivTree!CG46))</f>
        <v>84.358570532900004</v>
      </c>
      <c r="CH46" s="17">
        <f>IF(CH$3="","",IF(AND(DivAs=2,CH$2&lt;ExDivPct),ExDivTree!CH46+DivAmount*EXP(IntRate*(CH$2-ExDivPct)),ExDivTree!CH46))</f>
        <v>86.912320445899994</v>
      </c>
      <c r="CI46" s="17">
        <f>IF(CI$3="","",IF(AND(DivAs=2,CI$2&lt;ExDivPct),ExDivTree!CI46+DivAmount*EXP(IntRate*(CI$2-ExDivPct)),ExDivTree!CI46))</f>
        <v>89.543378907100006</v>
      </c>
      <c r="CJ46" s="17">
        <f>IF(CJ$3="","",IF(AND(DivAs=2,CJ$2&lt;ExDivPct),ExDivTree!CJ46+DivAmount*EXP(IntRate*(CJ$2-ExDivPct)),ExDivTree!CJ46))</f>
        <v>92.254086244199996</v>
      </c>
      <c r="CK46" s="17">
        <f>IF(CK$3="","",IF(AND(DivAs=2,CK$2&lt;ExDivPct),ExDivTree!CK46+DivAmount*EXP(IntRate*(CK$2-ExDivPct)),ExDivTree!CK46))</f>
        <v>95.046853632700007</v>
      </c>
      <c r="CL46" s="17">
        <f>IF(CL$3="","",IF(AND(DivAs=2,CL$2&lt;ExDivPct),ExDivTree!CL46+DivAmount*EXP(IntRate*(CL$2-ExDivPct)),ExDivTree!CL46))</f>
        <v>97.924165240299999</v>
      </c>
      <c r="CM46" s="17">
        <f>IF(CM$3="","",IF(AND(DivAs=2,CM$2&lt;ExDivPct),ExDivTree!CM46+DivAmount*EXP(IntRate*(CM$2-ExDivPct)),ExDivTree!CM46))</f>
        <v>100.888580437</v>
      </c>
      <c r="CN46" s="17">
        <f>IF(CN$3="","",IF(AND(DivAs=2,CN$2&lt;ExDivPct),ExDivTree!CN46+DivAmount*EXP(IntRate*(CN$2-ExDivPct)),ExDivTree!CN46))</f>
        <v>103.94273607149999</v>
      </c>
      <c r="CO46" s="17">
        <f>IF(CO$3="","",IF(AND(DivAs=2,CO$2&lt;ExDivPct),ExDivTree!CO46+DivAmount*EXP(IntRate*(CO$2-ExDivPct)),ExDivTree!CO46))</f>
        <v>107.08934881659999</v>
      </c>
      <c r="CP46" s="17">
        <f>IF(CP$3="","",IF(AND(DivAs=2,CP$2&lt;ExDivPct),ExDivTree!CP46+DivAmount*EXP(IntRate*(CP$2-ExDivPct)),ExDivTree!CP46))</f>
        <v>110.3312175858</v>
      </c>
      <c r="CQ46" s="17">
        <f>IF(CQ$3="","",IF(AND(DivAs=2,CQ$2&lt;ExDivPct),ExDivTree!CQ46+DivAmount*EXP(IntRate*(CQ$2-ExDivPct)),ExDivTree!CQ46))</f>
        <v>113.6712260228</v>
      </c>
      <c r="CR46" s="17">
        <f>IF(CR$3="","",IF(AND(DivAs=2,CR$2&lt;ExDivPct),ExDivTree!CR46+DivAmount*EXP(IntRate*(CR$2-ExDivPct)),ExDivTree!CR46))</f>
        <v>117.1123450666</v>
      </c>
      <c r="CS46" s="17">
        <f>IF(CS$3="","",IF(AND(DivAs=2,CS$2&lt;ExDivPct),ExDivTree!CS46+DivAmount*EXP(IntRate*(CS$2-ExDivPct)),ExDivTree!CS46))</f>
        <v>120.6576355941</v>
      </c>
      <c r="CT46" s="17">
        <f>IF(CT$3="","",IF(AND(DivAs=2,CT$2&lt;ExDivPct),ExDivTree!CT46+DivAmount*EXP(IntRate*(CT$2-ExDivPct)),ExDivTree!CT46))</f>
        <v>124.3102511429</v>
      </c>
      <c r="CU46" s="17">
        <f>IF(CU$3="","",IF(AND(DivAs=2,CU$2&lt;ExDivPct),ExDivTree!CU46+DivAmount*EXP(IntRate*(CU$2-ExDivPct)),ExDivTree!CU46))</f>
        <v>128.07344071610001</v>
      </c>
      <c r="CV46" s="17">
        <f>IF(CV$3="","",IF(AND(DivAs=2,CV$2&lt;ExDivPct),ExDivTree!CV46+DivAmount*EXP(IntRate*(CV$2-ExDivPct)),ExDivTree!CV46))</f>
        <v>131.9505516726</v>
      </c>
      <c r="CW46" s="17">
        <f>IF(CW$3="","",IF(AND(DivAs=2,CW$2&lt;ExDivPct),ExDivTree!CW46+DivAmount*EXP(IntRate*(CW$2-ExDivPct)),ExDivTree!CW46))</f>
        <v>135.94503270429999</v>
      </c>
      <c r="CX46" s="17">
        <f>IF(CX$3="","",IF(AND(DivAs=2,CX$2&lt;ExDivPct),ExDivTree!CX46+DivAmount*EXP(IntRate*(CX$2-ExDivPct)),ExDivTree!CX46))</f>
        <v>140.06043690390001</v>
      </c>
      <c r="CY46" s="17">
        <f>IF(CY$3="","",IF(AND(DivAs=2,CY$2&lt;ExDivPct),ExDivTree!CY46+DivAmount*EXP(IntRate*(CY$2-ExDivPct)),ExDivTree!CY46))</f>
        <v>144.30042492530001</v>
      </c>
      <c r="CZ46" s="17">
        <f>IF(CZ$3="","",IF(AND(DivAs=2,CZ$2&lt;ExDivPct),ExDivTree!CZ46+DivAmount*EXP(IntRate*(CZ$2-ExDivPct)),ExDivTree!CZ46))</f>
        <v>148.6687682397</v>
      </c>
      <c r="DA46" s="17">
        <f>IF(DA$3="","",IF(AND(DivAs=2,DA$2&lt;ExDivPct),ExDivTree!DA46+DivAmount*EXP(IntRate*(DA$2-ExDivPct)),ExDivTree!DA46))</f>
        <v>153.16935249049999</v>
      </c>
      <c r="DB46" s="17">
        <f>IF(DB$3="","",IF(AND(DivAs=2,DB$2&lt;ExDivPct),ExDivTree!DB46+DivAmount*EXP(IntRate*(DB$2-ExDivPct)),ExDivTree!DB46))</f>
        <v>157.80618094939999</v>
      </c>
    </row>
    <row r="47" spans="1:106" x14ac:dyDescent="0.2">
      <c r="A47">
        <f>ExDivTree!A47</f>
        <v>6.63753417671493E+28</v>
      </c>
      <c r="B47" s="71">
        <f>ExDivTree!B47</f>
        <v>2.6180456095393715E-2</v>
      </c>
      <c r="C47" s="71">
        <f>ExDivTree!C47</f>
        <v>2.723262451979681E-2</v>
      </c>
      <c r="D47" s="177">
        <f>ExDivTree!D47</f>
        <v>43</v>
      </c>
      <c r="AV47" s="17">
        <f>IF(AV$3="","",IF(AND(DivAs=2,AV$2&lt;ExDivPct),ExDivTree!AV47+DivAmount*EXP(IntRate*(AV$2-ExDivPct)),ExDivTree!AV47))</f>
        <v>26.363209309199998</v>
      </c>
      <c r="AW47" s="17">
        <f>IF(AW$3="","",IF(AND(DivAs=2,AW$2&lt;ExDivPct),ExDivTree!AW47+DivAmount*EXP(IntRate*(AW$2-ExDivPct)),ExDivTree!AW47))</f>
        <v>27.1612911526</v>
      </c>
      <c r="AX47" s="17">
        <f>IF(AX$3="","",IF(AND(DivAs=2,AX$2&lt;ExDivPct),ExDivTree!AX47+DivAmount*EXP(IntRate*(AX$2-ExDivPct)),ExDivTree!AX47))</f>
        <v>27.983532976799999</v>
      </c>
      <c r="AY47" s="17">
        <f>IF(AY$3="","",IF(AND(DivAs=2,AY$2&lt;ExDivPct),ExDivTree!AY47+DivAmount*EXP(IntRate*(AY$2-ExDivPct)),ExDivTree!AY47))</f>
        <v>28.8306661662</v>
      </c>
      <c r="AZ47" s="17">
        <f>IF(AZ$3="","",IF(AND(DivAs=2,AZ$2&lt;ExDivPct),ExDivTree!AZ47+DivAmount*EXP(IntRate*(AZ$2-ExDivPct)),ExDivTree!AZ47))</f>
        <v>29.703444246099998</v>
      </c>
      <c r="BA47" s="17">
        <f>IF(BA$3="","",IF(AND(DivAs=2,BA$2&lt;ExDivPct),ExDivTree!BA47+DivAmount*EXP(IntRate*(BA$2-ExDivPct)),ExDivTree!BA47))</f>
        <v>30.602643553099998</v>
      </c>
      <c r="BB47" s="17">
        <f>IF(BB$3="","",IF(AND(DivAs=2,BB$2&lt;ExDivPct),ExDivTree!BB47+DivAmount*EXP(IntRate*(BB$2-ExDivPct)),ExDivTree!BB47))</f>
        <v>31.529063925300001</v>
      </c>
      <c r="BC47" s="17">
        <f>IF(BC$3="","",IF(AND(DivAs=2,BC$2&lt;ExDivPct),ExDivTree!BC47+DivAmount*EXP(IntRate*(BC$2-ExDivPct)),ExDivTree!BC47))</f>
        <v>32.483529414099998</v>
      </c>
      <c r="BD47" s="17">
        <f>IF(BD$3="","",IF(AND(DivAs=2,BD$2&lt;ExDivPct),ExDivTree!BD47+DivAmount*EXP(IntRate*(BD$2-ExDivPct)),ExDivTree!BD47))</f>
        <v>33.466889016899998</v>
      </c>
      <c r="BE47" s="17">
        <f>IF(BE$3="","",IF(AND(DivAs=2,BE$2&lt;ExDivPct),ExDivTree!BE47+DivAmount*EXP(IntRate*(BE$2-ExDivPct)),ExDivTree!BE47))</f>
        <v>34.4800174326</v>
      </c>
      <c r="BF47" s="17">
        <f>IF(BF$3="","",IF(AND(DivAs=2,BF$2&lt;ExDivPct),ExDivTree!BF47+DivAmount*EXP(IntRate*(BF$2-ExDivPct)),ExDivTree!BF47))</f>
        <v>35.523815839400001</v>
      </c>
      <c r="BG47" s="17">
        <f>IF(BG$3="","",IF(AND(DivAs=2,BG$2&lt;ExDivPct),ExDivTree!BG47+DivAmount*EXP(IntRate*(BG$2-ExDivPct)),ExDivTree!BG47))</f>
        <v>36.599212696400002</v>
      </c>
      <c r="BH47" s="17">
        <f>IF(BH$3="","",IF(AND(DivAs=2,BH$2&lt;ExDivPct),ExDivTree!BH47+DivAmount*EXP(IntRate*(BH$2-ExDivPct)),ExDivTree!BH47))</f>
        <v>37.707164569600003</v>
      </c>
      <c r="BI47" s="17">
        <f>IF(BI$3="","",IF(AND(DivAs=2,BI$2&lt;ExDivPct),ExDivTree!BI47+DivAmount*EXP(IntRate*(BI$2-ExDivPct)),ExDivTree!BI47))</f>
        <v>38.8486569827</v>
      </c>
      <c r="BJ47" s="17">
        <f>IF(BJ$3="","",IF(AND(DivAs=2,BJ$2&lt;ExDivPct),ExDivTree!BJ47+DivAmount*EXP(IntRate*(BJ$2-ExDivPct)),ExDivTree!BJ47))</f>
        <v>40.024705293700002</v>
      </c>
      <c r="BK47" s="17">
        <f>IF(BK$3="","",IF(AND(DivAs=2,BK$2&lt;ExDivPct),ExDivTree!BK47+DivAmount*EXP(IntRate*(BK$2-ExDivPct)),ExDivTree!BK47))</f>
        <v>41.236355598099998</v>
      </c>
      <c r="BL47" s="17">
        <f>IF(BL$3="","",IF(AND(DivAs=2,BL$2&lt;ExDivPct),ExDivTree!BL47+DivAmount*EXP(IntRate*(BL$2-ExDivPct)),ExDivTree!BL47))</f>
        <v>42.4846856594</v>
      </c>
      <c r="BM47" s="17">
        <f>IF(BM$3="","",IF(AND(DivAs=2,BM$2&lt;ExDivPct),ExDivTree!BM47+DivAmount*EXP(IntRate*(BM$2-ExDivPct)),ExDivTree!BM47))</f>
        <v>43.770805867699998</v>
      </c>
      <c r="BN47" s="17">
        <f>IF(BN$3="","",IF(AND(DivAs=2,BN$2&lt;ExDivPct),ExDivTree!BN47+DivAmount*EXP(IntRate*(BN$2-ExDivPct)),ExDivTree!BN47))</f>
        <v>45.095860227599999</v>
      </c>
      <c r="BO47" s="17">
        <f>IF(BO$3="","",IF(AND(DivAs=2,BO$2&lt;ExDivPct),ExDivTree!BO47+DivAmount*EXP(IntRate*(BO$2-ExDivPct)),ExDivTree!BO47))</f>
        <v>46.461027375500002</v>
      </c>
      <c r="BP47" s="17">
        <f>IF(BP$3="","",IF(AND(DivAs=2,BP$2&lt;ExDivPct),ExDivTree!BP47+DivAmount*EXP(IntRate*(BP$2-ExDivPct)),ExDivTree!BP47))</f>
        <v>47.867521628200002</v>
      </c>
      <c r="BQ47" s="17">
        <f>IF(BQ$3="","",IF(AND(DivAs=2,BQ$2&lt;ExDivPct),ExDivTree!BQ47+DivAmount*EXP(IntRate*(BQ$2-ExDivPct)),ExDivTree!BQ47))</f>
        <v>49.316594062900002</v>
      </c>
      <c r="BR47" s="17">
        <f>IF(BR$3="","",IF(AND(DivAs=2,BR$2&lt;ExDivPct),ExDivTree!BR47+DivAmount*EXP(IntRate*(BR$2-ExDivPct)),ExDivTree!BR47))</f>
        <v>50.809533630300002</v>
      </c>
      <c r="BS47" s="17">
        <f>IF(BS$3="","",IF(AND(DivAs=2,BS$2&lt;ExDivPct),ExDivTree!BS47+DivAmount*EXP(IntRate*(BS$2-ExDivPct)),ExDivTree!BS47))</f>
        <v>52.347668300800002</v>
      </c>
      <c r="BT47" s="17">
        <f>IF(BT$3="","",IF(AND(DivAs=2,BT$2&lt;ExDivPct),ExDivTree!BT47+DivAmount*EXP(IntRate*(BT$2-ExDivPct)),ExDivTree!BT47))</f>
        <v>53.932366245799997</v>
      </c>
      <c r="BU47" s="17">
        <f>IF(BU$3="","",IF(AND(DivAs=2,BU$2&lt;ExDivPct),ExDivTree!BU47+DivAmount*EXP(IntRate*(BU$2-ExDivPct)),ExDivTree!BU47))</f>
        <v>55.565037054900003</v>
      </c>
      <c r="BV47" s="17">
        <f>IF(BV$3="","",IF(AND(DivAs=2,BV$2&lt;ExDivPct),ExDivTree!BV47+DivAmount*EXP(IntRate*(BV$2-ExDivPct)),ExDivTree!BV47))</f>
        <v>57.247132989500003</v>
      </c>
      <c r="BW47" s="17">
        <f>IF(BW$3="","",IF(AND(DivAs=2,BW$2&lt;ExDivPct),ExDivTree!BW47+DivAmount*EXP(IntRate*(BW$2-ExDivPct)),ExDivTree!BW47))</f>
        <v>58.980150274700001</v>
      </c>
      <c r="BX47" s="17">
        <f>IF(BX$3="","",IF(AND(DivAs=2,BX$2&lt;ExDivPct),ExDivTree!BX47+DivAmount*EXP(IntRate*(BX$2-ExDivPct)),ExDivTree!BX47))</f>
        <v>60.765630430199998</v>
      </c>
      <c r="BY47" s="17">
        <f>IF(BY$3="","",IF(AND(DivAs=2,BY$2&lt;ExDivPct),ExDivTree!BY47+DivAmount*EXP(IntRate*(BY$2-ExDivPct)),ExDivTree!BY47))</f>
        <v>62.605161641400002</v>
      </c>
      <c r="BZ47" s="17">
        <f>IF(BZ$3="","",IF(AND(DivAs=2,BZ$2&lt;ExDivPct),ExDivTree!BZ47+DivAmount*EXP(IntRate*(BZ$2-ExDivPct)),ExDivTree!BZ47))</f>
        <v>64.500380172099995</v>
      </c>
      <c r="CA47" s="17">
        <f>IF(CA$3="","",IF(AND(DivAs=2,CA$2&lt;ExDivPct),ExDivTree!CA47+DivAmount*EXP(IntRate*(CA$2-ExDivPct)),ExDivTree!CA47))</f>
        <v>66.452971820000002</v>
      </c>
      <c r="CB47" s="17">
        <f>IF(CB$3="","",IF(AND(DivAs=2,CB$2&lt;ExDivPct),ExDivTree!CB47+DivAmount*EXP(IntRate*(CB$2-ExDivPct)),ExDivTree!CB47))</f>
        <v>68.464673416300002</v>
      </c>
      <c r="CC47" s="17">
        <f>IF(CC$3="","",IF(AND(DivAs=2,CC$2&lt;ExDivPct),ExDivTree!CC47+DivAmount*EXP(IntRate*(CC$2-ExDivPct)),ExDivTree!CC47))</f>
        <v>70.5372743705</v>
      </c>
      <c r="CD47" s="17">
        <f>IF(CD$3="","",IF(AND(DivAs=2,CD$2&lt;ExDivPct),ExDivTree!CD47+DivAmount*EXP(IntRate*(CD$2-ExDivPct)),ExDivTree!CD47))</f>
        <v>72.672618262100002</v>
      </c>
      <c r="CE47" s="17">
        <f>IF(CE$3="","",IF(AND(DivAs=2,CE$2&lt;ExDivPct),ExDivTree!CE47+DivAmount*EXP(IntRate*(CE$2-ExDivPct)),ExDivTree!CE47))</f>
        <v>74.8726044804</v>
      </c>
      <c r="CF47" s="17">
        <f>IF(CF$3="","",IF(AND(DivAs=2,CF$2&lt;ExDivPct),ExDivTree!CF47+DivAmount*EXP(IntRate*(CF$2-ExDivPct)),ExDivTree!CF47))</f>
        <v>77.139189914100001</v>
      </c>
      <c r="CG47" s="17">
        <f>IF(CG$3="","",IF(AND(DivAs=2,CG$2&lt;ExDivPct),ExDivTree!CG47+DivAmount*EXP(IntRate*(CG$2-ExDivPct)),ExDivTree!CG47))</f>
        <v>79.474390692</v>
      </c>
      <c r="CH47" s="17">
        <f>IF(CH$3="","",IF(AND(DivAs=2,CH$2&lt;ExDivPct),ExDivTree!CH47+DivAmount*EXP(IntRate*(CH$2-ExDivPct)),ExDivTree!CH47))</f>
        <v>81.880283976300007</v>
      </c>
      <c r="CI47" s="17">
        <f>IF(CI$3="","",IF(AND(DivAs=2,CI$2&lt;ExDivPct),ExDivTree!CI47+DivAmount*EXP(IntRate*(CI$2-ExDivPct)),ExDivTree!CI47))</f>
        <v>84.359009810100005</v>
      </c>
      <c r="CJ47" s="17">
        <f>IF(CJ$3="","",IF(AND(DivAs=2,CJ$2&lt;ExDivPct),ExDivTree!CJ47+DivAmount*EXP(IntRate*(CJ$2-ExDivPct)),ExDivTree!CJ47))</f>
        <v>86.912773021199996</v>
      </c>
      <c r="CK47" s="17">
        <f>IF(CK$3="","",IF(AND(DivAs=2,CK$2&lt;ExDivPct),ExDivTree!CK47+DivAmount*EXP(IntRate*(CK$2-ExDivPct)),ExDivTree!CK47))</f>
        <v>89.543845183000002</v>
      </c>
      <c r="CL47" s="17">
        <f>IF(CL$3="","",IF(AND(DivAs=2,CL$2&lt;ExDivPct),ExDivTree!CL47+DivAmount*EXP(IntRate*(CL$2-ExDivPct)),ExDivTree!CL47))</f>
        <v>92.254566635499998</v>
      </c>
      <c r="CM47" s="17">
        <f>IF(CM$3="","",IF(AND(DivAs=2,CM$2&lt;ExDivPct),ExDivTree!CM47+DivAmount*EXP(IntRate*(CM$2-ExDivPct)),ExDivTree!CM47))</f>
        <v>95.047348566599993</v>
      </c>
      <c r="CN47" s="17">
        <f>IF(CN$3="","",IF(AND(DivAs=2,CN$2&lt;ExDivPct),ExDivTree!CN47+DivAmount*EXP(IntRate*(CN$2-ExDivPct)),ExDivTree!CN47))</f>
        <v>97.924675157099998</v>
      </c>
      <c r="CO47" s="17">
        <f>IF(CO$3="","",IF(AND(DivAs=2,CO$2&lt;ExDivPct),ExDivTree!CO47+DivAmount*EXP(IntRate*(CO$2-ExDivPct)),ExDivTree!CO47))</f>
        <v>100.88910579029999</v>
      </c>
      <c r="CP47" s="17">
        <f>IF(CP$3="","",IF(AND(DivAs=2,CP$2&lt;ExDivPct),ExDivTree!CP47+DivAmount*EXP(IntRate*(CP$2-ExDivPct)),ExDivTree!CP47))</f>
        <v>103.9432773286</v>
      </c>
      <c r="CQ47" s="17">
        <f>IF(CQ$3="","",IF(AND(DivAs=2,CQ$2&lt;ExDivPct),ExDivTree!CQ47+DivAmount*EXP(IntRate*(CQ$2-ExDivPct)),ExDivTree!CQ47))</f>
        <v>107.08990645900001</v>
      </c>
      <c r="CR47" s="17">
        <f>IF(CR$3="","",IF(AND(DivAs=2,CR$2&lt;ExDivPct),ExDivTree!CR47+DivAmount*EXP(IntRate*(CR$2-ExDivPct)),ExDivTree!CR47))</f>
        <v>110.3317921095</v>
      </c>
      <c r="CS47" s="17">
        <f>IF(CS$3="","",IF(AND(DivAs=2,CS$2&lt;ExDivPct),ExDivTree!CS47+DivAmount*EXP(IntRate*(CS$2-ExDivPct)),ExDivTree!CS47))</f>
        <v>113.6718179388</v>
      </c>
      <c r="CT47" s="17">
        <f>IF(CT$3="","",IF(AND(DivAs=2,CT$2&lt;ExDivPct),ExDivTree!CT47+DivAmount*EXP(IntRate*(CT$2-ExDivPct)),ExDivTree!CT47))</f>
        <v>117.1129549014</v>
      </c>
      <c r="CU47" s="17">
        <f>IF(CU$3="","",IF(AND(DivAs=2,CU$2&lt;ExDivPct),ExDivTree!CU47+DivAmount*EXP(IntRate*(CU$2-ExDivPct)),ExDivTree!CU47))</f>
        <v>120.6582638902</v>
      </c>
      <c r="CV47" s="17">
        <f>IF(CV$3="","",IF(AND(DivAs=2,CV$2&lt;ExDivPct),ExDivTree!CV47+DivAmount*EXP(IntRate*(CV$2-ExDivPct)),ExDivTree!CV47))</f>
        <v>124.3108984591</v>
      </c>
      <c r="CW47" s="17">
        <f>IF(CW$3="","",IF(AND(DivAs=2,CW$2&lt;ExDivPct),ExDivTree!CW47+DivAmount*EXP(IntRate*(CW$2-ExDivPct)),ExDivTree!CW47))</f>
        <v>128.0741076283</v>
      </c>
      <c r="CX47" s="17">
        <f>IF(CX$3="","",IF(AND(DivAs=2,CX$2&lt;ExDivPct),ExDivTree!CX47+DivAmount*EXP(IntRate*(CX$2-ExDivPct)),ExDivTree!CX47))</f>
        <v>131.9512387739</v>
      </c>
      <c r="CY47" s="17">
        <f>IF(CY$3="","",IF(AND(DivAs=2,CY$2&lt;ExDivPct),ExDivTree!CY47+DivAmount*EXP(IntRate*(CY$2-ExDivPct)),ExDivTree!CY47))</f>
        <v>135.9457406059</v>
      </c>
      <c r="CZ47" s="17">
        <f>IF(CZ$3="","",IF(AND(DivAs=2,CZ$2&lt;ExDivPct),ExDivTree!CZ47+DivAmount*EXP(IntRate*(CZ$2-ExDivPct)),ExDivTree!CZ47))</f>
        <v>140.0611662355</v>
      </c>
      <c r="DA47" s="17">
        <f>IF(DA$3="","",IF(AND(DivAs=2,DA$2&lt;ExDivPct),ExDivTree!DA47+DivAmount*EXP(IntRate*(DA$2-ExDivPct)),ExDivTree!DA47))</f>
        <v>144.30117633559999</v>
      </c>
      <c r="DB47" s="17">
        <f>IF(DB$3="","",IF(AND(DivAs=2,DB$2&lt;ExDivPct),ExDivTree!DB47+DivAmount*EXP(IntRate*(DB$2-ExDivPct)),ExDivTree!DB47))</f>
        <v>148.6695423971</v>
      </c>
    </row>
    <row r="48" spans="1:106" x14ac:dyDescent="0.2">
      <c r="A48">
        <f>ExDivTree!A48</f>
        <v>8.7494768693060485E+28</v>
      </c>
      <c r="B48" s="71">
        <f>ExDivTree!B48</f>
        <v>3.4510601216655369E-2</v>
      </c>
      <c r="C48" s="71">
        <f>ExDivTree!C48</f>
        <v>3.5707762168627297E-2</v>
      </c>
      <c r="D48" s="177">
        <f>ExDivTree!D48</f>
        <v>44</v>
      </c>
      <c r="AW48" s="17">
        <f>IF(AW$3="","",IF(AND(DivAs=2,AW$2&lt;ExDivPct),ExDivTree!AW48+DivAmount*EXP(IntRate*(AW$2-ExDivPct)),ExDivTree!AW48))</f>
        <v>25.588710798400001</v>
      </c>
      <c r="AX48" s="17">
        <f>IF(AX$3="","",IF(AND(DivAs=2,AX$2&lt;ExDivPct),ExDivTree!AX48+DivAmount*EXP(IntRate*(AX$2-ExDivPct)),ExDivTree!AX48))</f>
        <v>26.363346588999999</v>
      </c>
      <c r="AY48" s="17">
        <f>IF(AY$3="","",IF(AND(DivAs=2,AY$2&lt;ExDivPct),ExDivTree!AY48+DivAmount*EXP(IntRate*(AY$2-ExDivPct)),ExDivTree!AY48))</f>
        <v>27.1614325882</v>
      </c>
      <c r="AZ48" s="17">
        <f>IF(AZ$3="","",IF(AND(DivAs=2,AZ$2&lt;ExDivPct),ExDivTree!AZ48+DivAmount*EXP(IntRate*(AZ$2-ExDivPct)),ExDivTree!AZ48))</f>
        <v>27.983678694000002</v>
      </c>
      <c r="BA48" s="17">
        <f>IF(BA$3="","",IF(AND(DivAs=2,BA$2&lt;ExDivPct),ExDivTree!BA48+DivAmount*EXP(IntRate*(BA$2-ExDivPct)),ExDivTree!BA48))</f>
        <v>28.830816294600002</v>
      </c>
      <c r="BB48" s="17">
        <f>IF(BB$3="","",IF(AND(DivAs=2,BB$2&lt;ExDivPct),ExDivTree!BB48+DivAmount*EXP(IntRate*(BB$2-ExDivPct)),ExDivTree!BB48))</f>
        <v>29.703598919299999</v>
      </c>
      <c r="BC48" s="17">
        <f>IF(BC$3="","",IF(AND(DivAs=2,BC$2&lt;ExDivPct),ExDivTree!BC48+DivAmount*EXP(IntRate*(BC$2-ExDivPct)),ExDivTree!BC48))</f>
        <v>30.602802908600001</v>
      </c>
      <c r="BD48" s="17">
        <f>IF(BD$3="","",IF(AND(DivAs=2,BD$2&lt;ExDivPct),ExDivTree!BD48+DivAmount*EXP(IntRate*(BD$2-ExDivPct)),ExDivTree!BD48))</f>
        <v>31.5292281049</v>
      </c>
      <c r="BE48" s="17">
        <f>IF(BE$3="","",IF(AND(DivAs=2,BE$2&lt;ExDivPct),ExDivTree!BE48+DivAmount*EXP(IntRate*(BE$2-ExDivPct)),ExDivTree!BE48))</f>
        <v>32.483698563799997</v>
      </c>
      <c r="BF48" s="17">
        <f>IF(BF$3="","",IF(AND(DivAs=2,BF$2&lt;ExDivPct),ExDivTree!BF48+DivAmount*EXP(IntRate*(BF$2-ExDivPct)),ExDivTree!BF48))</f>
        <v>33.467063287199998</v>
      </c>
      <c r="BG48" s="17">
        <f>IF(BG$3="","",IF(AND(DivAs=2,BG$2&lt;ExDivPct),ExDivTree!BG48+DivAmount*EXP(IntRate*(BG$2-ExDivPct)),ExDivTree!BG48))</f>
        <v>34.480196978499997</v>
      </c>
      <c r="BH48" s="17">
        <f>IF(BH$3="","",IF(AND(DivAs=2,BH$2&lt;ExDivPct),ExDivTree!BH48+DivAmount*EXP(IntRate*(BH$2-ExDivPct)),ExDivTree!BH48))</f>
        <v>35.524000820600001</v>
      </c>
      <c r="BI48" s="17">
        <f>IF(BI$3="","",IF(AND(DivAs=2,BI$2&lt;ExDivPct),ExDivTree!BI48+DivAmount*EXP(IntRate*(BI$2-ExDivPct)),ExDivTree!BI48))</f>
        <v>36.5994032774</v>
      </c>
      <c r="BJ48" s="17">
        <f>IF(BJ$3="","",IF(AND(DivAs=2,BJ$2&lt;ExDivPct),ExDivTree!BJ48+DivAmount*EXP(IntRate*(BJ$2-ExDivPct)),ExDivTree!BJ48))</f>
        <v>37.707360919899997</v>
      </c>
      <c r="BK48" s="17">
        <f>IF(BK$3="","",IF(AND(DivAs=2,BK$2&lt;ExDivPct),ExDivTree!BK48+DivAmount*EXP(IntRate*(BK$2-ExDivPct)),ExDivTree!BK48))</f>
        <v>38.848859277000003</v>
      </c>
      <c r="BL48" s="17">
        <f>IF(BL$3="","",IF(AND(DivAs=2,BL$2&lt;ExDivPct),ExDivTree!BL48+DivAmount*EXP(IntRate*(BL$2-ExDivPct)),ExDivTree!BL48))</f>
        <v>40.024913711899998</v>
      </c>
      <c r="BM48" s="17">
        <f>IF(BM$3="","",IF(AND(DivAs=2,BM$2&lt;ExDivPct),ExDivTree!BM48+DivAmount*EXP(IntRate*(BM$2-ExDivPct)),ExDivTree!BM48))</f>
        <v>41.236570325599999</v>
      </c>
      <c r="BN48" s="17">
        <f>IF(BN$3="","",IF(AND(DivAs=2,BN$2&lt;ExDivPct),ExDivTree!BN48+DivAmount*EXP(IntRate*(BN$2-ExDivPct)),ExDivTree!BN48))</f>
        <v>42.484906887199998</v>
      </c>
      <c r="BO48" s="17">
        <f>IF(BO$3="","",IF(AND(DivAs=2,BO$2&lt;ExDivPct),ExDivTree!BO48+DivAmount*EXP(IntRate*(BO$2-ExDivPct)),ExDivTree!BO48))</f>
        <v>43.771033792600001</v>
      </c>
      <c r="BP48" s="17">
        <f>IF(BP$3="","",IF(AND(DivAs=2,BP$2&lt;ExDivPct),ExDivTree!BP48+DivAmount*EXP(IntRate*(BP$2-ExDivPct)),ExDivTree!BP48))</f>
        <v>45.096095052300001</v>
      </c>
      <c r="BQ48" s="17">
        <f>IF(BQ$3="","",IF(AND(DivAs=2,BQ$2&lt;ExDivPct),ExDivTree!BQ48+DivAmount*EXP(IntRate*(BQ$2-ExDivPct)),ExDivTree!BQ48))</f>
        <v>46.4612693089</v>
      </c>
      <c r="BR48" s="17">
        <f>IF(BR$3="","",IF(AND(DivAs=2,BR$2&lt;ExDivPct),ExDivTree!BR48+DivAmount*EXP(IntRate*(BR$2-ExDivPct)),ExDivTree!BR48))</f>
        <v>47.867770885500001</v>
      </c>
      <c r="BS48" s="17">
        <f>IF(BS$3="","",IF(AND(DivAs=2,BS$2&lt;ExDivPct),ExDivTree!BS48+DivAmount*EXP(IntRate*(BS$2-ExDivPct)),ExDivTree!BS48))</f>
        <v>49.316850865900001</v>
      </c>
      <c r="BT48" s="17">
        <f>IF(BT$3="","",IF(AND(DivAs=2,BT$2&lt;ExDivPct),ExDivTree!BT48+DivAmount*EXP(IntRate*(BT$2-ExDivPct)),ExDivTree!BT48))</f>
        <v>50.8097982074</v>
      </c>
      <c r="BU48" s="17">
        <f>IF(BU$3="","",IF(AND(DivAs=2,BU$2&lt;ExDivPct),ExDivTree!BU48+DivAmount*EXP(IntRate*(BU$2-ExDivPct)),ExDivTree!BU48))</f>
        <v>52.347940887299998</v>
      </c>
      <c r="BV48" s="17">
        <f>IF(BV$3="","",IF(AND(DivAs=2,BV$2&lt;ExDivPct),ExDivTree!BV48+DivAmount*EXP(IntRate*(BV$2-ExDivPct)),ExDivTree!BV48))</f>
        <v>53.932647084199999</v>
      </c>
      <c r="BW48" s="17">
        <f>IF(BW$3="","",IF(AND(DivAs=2,BW$2&lt;ExDivPct),ExDivTree!BW48+DivAmount*EXP(IntRate*(BW$2-ExDivPct)),ExDivTree!BW48))</f>
        <v>55.565326395</v>
      </c>
      <c r="BX48" s="17">
        <f>IF(BX$3="","",IF(AND(DivAs=2,BX$2&lt;ExDivPct),ExDivTree!BX48+DivAmount*EXP(IntRate*(BX$2-ExDivPct)),ExDivTree!BX48))</f>
        <v>57.247431088699997</v>
      </c>
      <c r="BY48" s="17">
        <f>IF(BY$3="","",IF(AND(DivAs=2,BY$2&lt;ExDivPct),ExDivTree!BY48+DivAmount*EXP(IntRate*(BY$2-ExDivPct)),ExDivTree!BY48))</f>
        <v>58.980457398200002</v>
      </c>
      <c r="BZ48" s="17">
        <f>IF(BZ$3="","",IF(AND(DivAs=2,BZ$2&lt;ExDivPct),ExDivTree!BZ48+DivAmount*EXP(IntRate*(BZ$2-ExDivPct)),ExDivTree!BZ48))</f>
        <v>60.765946851099997</v>
      </c>
      <c r="CA48" s="17">
        <f>IF(CA$3="","",IF(AND(DivAs=2,CA$2&lt;ExDivPct),ExDivTree!CA48+DivAmount*EXP(IntRate*(CA$2-ExDivPct)),ExDivTree!CA48))</f>
        <v>62.605487641099998</v>
      </c>
      <c r="CB48" s="17">
        <f>IF(CB$3="","",IF(AND(DivAs=2,CB$2&lt;ExDivPct),ExDivTree!CB48+DivAmount*EXP(IntRate*(CB$2-ExDivPct)),ExDivTree!CB48))</f>
        <v>64.500716040599997</v>
      </c>
      <c r="CC48" s="17">
        <f>IF(CC$3="","",IF(AND(DivAs=2,CC$2&lt;ExDivPct),ExDivTree!CC48+DivAmount*EXP(IntRate*(CC$2-ExDivPct)),ExDivTree!CC48))</f>
        <v>66.4533178561</v>
      </c>
      <c r="CD48" s="17">
        <f>IF(CD$3="","",IF(AND(DivAs=2,CD$2&lt;ExDivPct),ExDivTree!CD48+DivAmount*EXP(IntRate*(CD$2-ExDivPct)),ExDivTree!CD48))</f>
        <v>68.465029927800003</v>
      </c>
      <c r="CE48" s="17">
        <f>IF(CE$3="","",IF(AND(DivAs=2,CE$2&lt;ExDivPct),ExDivTree!CE48+DivAmount*EXP(IntRate*(CE$2-ExDivPct)),ExDivTree!CE48))</f>
        <v>70.537641674499994</v>
      </c>
      <c r="CF48" s="17">
        <f>IF(CF$3="","",IF(AND(DivAs=2,CF$2&lt;ExDivPct),ExDivTree!CF48+DivAmount*EXP(IntRate*(CF$2-ExDivPct)),ExDivTree!CF48))</f>
        <v>72.672996685300006</v>
      </c>
      <c r="CG48" s="17">
        <f>IF(CG$3="","",IF(AND(DivAs=2,CG$2&lt;ExDivPct),ExDivTree!CG48+DivAmount*EXP(IntRate*(CG$2-ExDivPct)),ExDivTree!CG48))</f>
        <v>74.872994359399996</v>
      </c>
      <c r="CH48" s="17">
        <f>IF(CH$3="","",IF(AND(DivAs=2,CH$2&lt;ExDivPct),ExDivTree!CH48+DivAmount*EXP(IntRate*(CH$2-ExDivPct)),ExDivTree!CH48))</f>
        <v>77.139591595699997</v>
      </c>
      <c r="CI48" s="17">
        <f>IF(CI$3="","",IF(AND(DivAs=2,CI$2&lt;ExDivPct),ExDivTree!CI48+DivAmount*EXP(IntRate*(CI$2-ExDivPct)),ExDivTree!CI48))</f>
        <v>79.474804533599993</v>
      </c>
      <c r="CJ48" s="17">
        <f>IF(CJ$3="","",IF(AND(DivAs=2,CJ$2&lt;ExDivPct),ExDivTree!CJ48+DivAmount*EXP(IntRate*(CJ$2-ExDivPct)),ExDivTree!CJ48))</f>
        <v>81.880710345899999</v>
      </c>
      <c r="CK48" s="17">
        <f>IF(CK$3="","",IF(AND(DivAs=2,CK$2&lt;ExDivPct),ExDivTree!CK48+DivAmount*EXP(IntRate*(CK$2-ExDivPct)),ExDivTree!CK48))</f>
        <v>84.359449087000002</v>
      </c>
      <c r="CL48" s="17">
        <f>IF(CL$3="","",IF(AND(DivAs=2,CL$2&lt;ExDivPct),ExDivTree!CL48+DivAmount*EXP(IntRate*(CL$2-ExDivPct)),ExDivTree!CL48))</f>
        <v>86.913225596100006</v>
      </c>
      <c r="CM48" s="17">
        <f>IF(CM$3="","",IF(AND(DivAs=2,CM$2&lt;ExDivPct),ExDivTree!CM48+DivAmount*EXP(IntRate*(CM$2-ExDivPct)),ExDivTree!CM48))</f>
        <v>89.544311458500005</v>
      </c>
      <c r="CN48" s="17">
        <f>IF(CN$3="","",IF(AND(DivAs=2,CN$2&lt;ExDivPct),ExDivTree!CN48+DivAmount*EXP(IntRate*(CN$2-ExDivPct)),ExDivTree!CN48))</f>
        <v>92.255047026400007</v>
      </c>
      <c r="CO48" s="17">
        <f>IF(CO$3="","",IF(AND(DivAs=2,CO$2&lt;ExDivPct),ExDivTree!CO48+DivAmount*EXP(IntRate*(CO$2-ExDivPct)),ExDivTree!CO48))</f>
        <v>95.047843500200003</v>
      </c>
      <c r="CP48" s="17">
        <f>IF(CP$3="","",IF(AND(DivAs=2,CP$2&lt;ExDivPct),ExDivTree!CP48+DivAmount*EXP(IntRate*(CP$2-ExDivPct)),ExDivTree!CP48))</f>
        <v>97.925185073600005</v>
      </c>
      <c r="CQ48" s="17">
        <f>IF(CQ$3="","",IF(AND(DivAs=2,CQ$2&lt;ExDivPct),ExDivTree!CQ48+DivAmount*EXP(IntRate*(CQ$2-ExDivPct)),ExDivTree!CQ48))</f>
        <v>100.88963114329999</v>
      </c>
      <c r="CR48" s="17">
        <f>IF(CR$3="","",IF(AND(DivAs=2,CR$2&lt;ExDivPct),ExDivTree!CR48+DivAmount*EXP(IntRate*(CR$2-ExDivPct)),ExDivTree!CR48))</f>
        <v>103.9438185854</v>
      </c>
      <c r="CS48" s="17">
        <f>IF(CS$3="","",IF(AND(DivAs=2,CS$2&lt;ExDivPct),ExDivTree!CS48+DivAmount*EXP(IntRate*(CS$2-ExDivPct)),ExDivTree!CS48))</f>
        <v>107.09046410099999</v>
      </c>
      <c r="CT48" s="17">
        <f>IF(CT$3="","",IF(AND(DivAs=2,CT$2&lt;ExDivPct),ExDivTree!CT48+DivAmount*EXP(IntRate*(CT$2-ExDivPct)),ExDivTree!CT48))</f>
        <v>110.3323666327</v>
      </c>
      <c r="CU48" s="17">
        <f>IF(CU$3="","",IF(AND(DivAs=2,CU$2&lt;ExDivPct),ExDivTree!CU48+DivAmount*EXP(IntRate*(CU$2-ExDivPct)),ExDivTree!CU48))</f>
        <v>113.6724098543</v>
      </c>
      <c r="CV48" s="17">
        <f>IF(CV$3="","",IF(AND(DivAs=2,CV$2&lt;ExDivPct),ExDivTree!CV48+DivAmount*EXP(IntRate*(CV$2-ExDivPct)),ExDivTree!CV48))</f>
        <v>117.1135647357</v>
      </c>
      <c r="CW48" s="17">
        <f>IF(CW$3="","",IF(AND(DivAs=2,CW$2&lt;ExDivPct),ExDivTree!CW48+DivAmount*EXP(IntRate*(CW$2-ExDivPct)),ExDivTree!CW48))</f>
        <v>120.6588921857</v>
      </c>
      <c r="CX48" s="17">
        <f>IF(CX$3="","",IF(AND(DivAs=2,CX$2&lt;ExDivPct),ExDivTree!CX48+DivAmount*EXP(IntRate*(CX$2-ExDivPct)),ExDivTree!CX48))</f>
        <v>124.31154577469999</v>
      </c>
      <c r="CY48" s="17">
        <f>IF(CY$3="","",IF(AND(DivAs=2,CY$2&lt;ExDivPct),ExDivTree!CY48+DivAmount*EXP(IntRate*(CY$2-ExDivPct)),ExDivTree!CY48))</f>
        <v>128.07477453979999</v>
      </c>
      <c r="CZ48" s="17">
        <f>IF(CZ$3="","",IF(AND(DivAs=2,CZ$2&lt;ExDivPct),ExDivTree!CZ48+DivAmount*EXP(IntRate*(CZ$2-ExDivPct)),ExDivTree!CZ48))</f>
        <v>131.95192587459999</v>
      </c>
      <c r="DA48" s="17">
        <f>IF(DA$3="","",IF(AND(DivAs=2,DA$2&lt;ExDivPct),ExDivTree!DA48+DivAmount*EXP(IntRate*(DA$2-ExDivPct)),ExDivTree!DA48))</f>
        <v>135.9464485069</v>
      </c>
      <c r="DB48" s="17">
        <f>IF(DB$3="","",IF(AND(DivAs=2,DB$2&lt;ExDivPct),ExDivTree!DB48+DivAmount*EXP(IntRate*(DB$2-ExDivPct)),ExDivTree!DB48))</f>
        <v>140.0618955665</v>
      </c>
    </row>
    <row r="49" spans="1:106" x14ac:dyDescent="0.2">
      <c r="A49">
        <f>ExDivTree!A49</f>
        <v>1.1082670701120991E+29</v>
      </c>
      <c r="B49" s="71">
        <f>ExDivTree!B49</f>
        <v>4.3713428207763451E-2</v>
      </c>
      <c r="C49" s="71">
        <f>ExDivTree!C49</f>
        <v>4.4990704496602453E-2</v>
      </c>
      <c r="D49" s="177">
        <f>ExDivTree!D49</f>
        <v>45</v>
      </c>
      <c r="AX49" s="17">
        <f>IF(AX$3="","",IF(AND(DivAs=2,AX$2&lt;ExDivPct),ExDivTree!AX49+DivAmount*EXP(IntRate*(AX$2-ExDivPct)),ExDivTree!AX49))</f>
        <v>24.836965509199999</v>
      </c>
      <c r="AY49" s="17">
        <f>IF(AY$3="","",IF(AND(DivAs=2,AY$2&lt;ExDivPct),ExDivTree!AY49+DivAmount*EXP(IntRate*(AY$2-ExDivPct)),ExDivTree!AY49))</f>
        <v>25.588844045199998</v>
      </c>
      <c r="AZ49" s="17">
        <f>IF(AZ$3="","",IF(AND(DivAs=2,AZ$2&lt;ExDivPct),ExDivTree!AZ49+DivAmount*EXP(IntRate*(AZ$2-ExDivPct)),ExDivTree!AZ49))</f>
        <v>26.363483869500001</v>
      </c>
      <c r="BA49" s="17">
        <f>IF(BA$3="","",IF(AND(DivAs=2,BA$2&lt;ExDivPct),ExDivTree!BA49+DivAmount*EXP(IntRate*(BA$2-ExDivPct)),ExDivTree!BA49))</f>
        <v>27.1615740246</v>
      </c>
      <c r="BB49" s="17">
        <f>IF(BB$3="","",IF(AND(DivAs=2,BB$2&lt;ExDivPct),ExDivTree!BB49+DivAmount*EXP(IntRate*(BB$2-ExDivPct)),ExDivTree!BB49))</f>
        <v>27.983824412000001</v>
      </c>
      <c r="BC49" s="17">
        <f>IF(BC$3="","",IF(AND(DivAs=2,BC$2&lt;ExDivPct),ExDivTree!BC49+DivAmount*EXP(IntRate*(BC$2-ExDivPct)),ExDivTree!BC49))</f>
        <v>28.8309664238</v>
      </c>
      <c r="BD49" s="17">
        <f>IF(BD$3="","",IF(AND(DivAs=2,BD$2&lt;ExDivPct),ExDivTree!BD49+DivAmount*EXP(IntRate*(BD$2-ExDivPct)),ExDivTree!BD49))</f>
        <v>29.7037535933</v>
      </c>
      <c r="BE49" s="17">
        <f>IF(BE$3="","",IF(AND(DivAs=2,BE$2&lt;ExDivPct),ExDivTree!BE49+DivAmount*EXP(IntRate*(BE$2-ExDivPct)),ExDivTree!BE49))</f>
        <v>30.602962264999999</v>
      </c>
      <c r="BF49" s="17">
        <f>IF(BF$3="","",IF(AND(DivAs=2,BF$2&lt;ExDivPct),ExDivTree!BF49+DivAmount*EXP(IntRate*(BF$2-ExDivPct)),ExDivTree!BF49))</f>
        <v>31.5293922854</v>
      </c>
      <c r="BG49" s="17">
        <f>IF(BG$3="","",IF(AND(DivAs=2,BG$2&lt;ExDivPct),ExDivTree!BG49+DivAmount*EXP(IntRate*(BG$2-ExDivPct)),ExDivTree!BG49))</f>
        <v>32.483867714500001</v>
      </c>
      <c r="BH49" s="17">
        <f>IF(BH$3="","",IF(AND(DivAs=2,BH$2&lt;ExDivPct),ExDivTree!BH49+DivAmount*EXP(IntRate*(BH$2-ExDivPct)),ExDivTree!BH49))</f>
        <v>33.467237558599997</v>
      </c>
      <c r="BI49" s="17">
        <f>IF(BI$3="","",IF(AND(DivAs=2,BI$2&lt;ExDivPct),ExDivTree!BI49+DivAmount*EXP(IntRate*(BI$2-ExDivPct)),ExDivTree!BI49))</f>
        <v>34.480376525600001</v>
      </c>
      <c r="BJ49" s="17">
        <f>IF(BJ$3="","",IF(AND(DivAs=2,BJ$2&lt;ExDivPct),ExDivTree!BJ49+DivAmount*EXP(IntRate*(BJ$2-ExDivPct)),ExDivTree!BJ49))</f>
        <v>35.524185803000002</v>
      </c>
      <c r="BK49" s="17">
        <f>IF(BK$3="","",IF(AND(DivAs=2,BK$2&lt;ExDivPct),ExDivTree!BK49+DivAmount*EXP(IntRate*(BK$2-ExDivPct)),ExDivTree!BK49))</f>
        <v>36.599593859700001</v>
      </c>
      <c r="BL49" s="17">
        <f>IF(BL$3="","",IF(AND(DivAs=2,BL$2&lt;ExDivPct),ExDivTree!BL49+DivAmount*EXP(IntRate*(BL$2-ExDivPct)),ExDivTree!BL49))</f>
        <v>37.707557271699997</v>
      </c>
      <c r="BM49" s="17">
        <f>IF(BM$3="","",IF(AND(DivAs=2,BM$2&lt;ExDivPct),ExDivTree!BM49+DivAmount*EXP(IntRate*(BM$2-ExDivPct)),ExDivTree!BM49))</f>
        <v>38.849061572899998</v>
      </c>
      <c r="BN49" s="17">
        <f>IF(BN$3="","",IF(AND(DivAs=2,BN$2&lt;ExDivPct),ExDivTree!BN49+DivAmount*EXP(IntRate*(BN$2-ExDivPct)),ExDivTree!BN49))</f>
        <v>40.025122131800003</v>
      </c>
      <c r="BO49" s="17">
        <f>IF(BO$3="","",IF(AND(DivAs=2,BO$2&lt;ExDivPct),ExDivTree!BO49+DivAmount*EXP(IntRate*(BO$2-ExDivPct)),ExDivTree!BO49))</f>
        <v>41.236785054899997</v>
      </c>
      <c r="BP49" s="17">
        <f>IF(BP$3="","",IF(AND(DivAs=2,BP$2&lt;ExDivPct),ExDivTree!BP49+DivAmount*EXP(IntRate*(BP$2-ExDivPct)),ExDivTree!BP49))</f>
        <v>42.4851281169</v>
      </c>
      <c r="BQ49" s="17">
        <f>IF(BQ$3="","",IF(AND(DivAs=2,BQ$2&lt;ExDivPct),ExDivTree!BQ49+DivAmount*EXP(IntRate*(BQ$2-ExDivPct)),ExDivTree!BQ49))</f>
        <v>43.771261719500004</v>
      </c>
      <c r="BR49" s="17">
        <f>IF(BR$3="","",IF(AND(DivAs=2,BR$2&lt;ExDivPct),ExDivTree!BR49+DivAmount*EXP(IntRate*(BR$2-ExDivPct)),ExDivTree!BR49))</f>
        <v>45.096329879199999</v>
      </c>
      <c r="BS49" s="17">
        <f>IF(BS$3="","",IF(AND(DivAs=2,BS$2&lt;ExDivPct),ExDivTree!BS49+DivAmount*EXP(IntRate*(BS$2-ExDivPct)),ExDivTree!BS49))</f>
        <v>46.461511244599997</v>
      </c>
      <c r="BT49" s="17">
        <f>IF(BT$3="","",IF(AND(DivAs=2,BT$2&lt;ExDivPct),ExDivTree!BT49+DivAmount*EXP(IntRate*(BT$2-ExDivPct)),ExDivTree!BT49))</f>
        <v>47.868020145199999</v>
      </c>
      <c r="BU49" s="17">
        <f>IF(BU$3="","",IF(AND(DivAs=2,BU$2&lt;ExDivPct),ExDivTree!BU49+DivAmount*EXP(IntRate*(BU$2-ExDivPct)),ExDivTree!BU49))</f>
        <v>49.317107671300001</v>
      </c>
      <c r="BV49" s="17">
        <f>IF(BV$3="","",IF(AND(DivAs=2,BV$2&lt;ExDivPct),ExDivTree!BV49+DivAmount*EXP(IntRate*(BV$2-ExDivPct)),ExDivTree!BV49))</f>
        <v>50.810062786899998</v>
      </c>
      <c r="BW49" s="17">
        <f>IF(BW$3="","",IF(AND(DivAs=2,BW$2&lt;ExDivPct),ExDivTree!BW49+DivAmount*EXP(IntRate*(BW$2-ExDivPct)),ExDivTree!BW49))</f>
        <v>52.348213476300003</v>
      </c>
      <c r="BX49" s="17">
        <f>IF(BX$3="","",IF(AND(DivAs=2,BX$2&lt;ExDivPct),ExDivTree!BX49+DivAmount*EXP(IntRate*(BX$2-ExDivPct)),ExDivTree!BX49))</f>
        <v>53.932927925199998</v>
      </c>
      <c r="BY49" s="17">
        <f>IF(BY$3="","",IF(AND(DivAs=2,BY$2&lt;ExDivPct),ExDivTree!BY49+DivAmount*EXP(IntRate*(BY$2-ExDivPct)),ExDivTree!BY49))</f>
        <v>55.565615737800002</v>
      </c>
      <c r="BZ49" s="17">
        <f>IF(BZ$3="","",IF(AND(DivAs=2,BZ$2&lt;ExDivPct),ExDivTree!BZ49+DivAmount*EXP(IntRate*(BZ$2-ExDivPct)),ExDivTree!BZ49))</f>
        <v>57.247729190699999</v>
      </c>
      <c r="CA49" s="17">
        <f>IF(CA$3="","",IF(AND(DivAs=2,CA$2&lt;ExDivPct),ExDivTree!CA49+DivAmount*EXP(IntRate*(CA$2-ExDivPct)),ExDivTree!CA49))</f>
        <v>58.980764524500003</v>
      </c>
      <c r="CB49" s="17">
        <f>IF(CB$3="","",IF(AND(DivAs=2,CB$2&lt;ExDivPct),ExDivTree!CB49+DivAmount*EXP(IntRate*(CB$2-ExDivPct)),ExDivTree!CB49))</f>
        <v>60.766263274899998</v>
      </c>
      <c r="CC49" s="17">
        <f>IF(CC$3="","",IF(AND(DivAs=2,CC$2&lt;ExDivPct),ExDivTree!CC49+DivAmount*EXP(IntRate*(CC$2-ExDivPct)),ExDivTree!CC49))</f>
        <v>62.605813643899999</v>
      </c>
      <c r="CD49" s="17">
        <f>IF(CD$3="","",IF(AND(DivAs=2,CD$2&lt;ExDivPct),ExDivTree!CD49+DivAmount*EXP(IntRate*(CD$2-ExDivPct)),ExDivTree!CD49))</f>
        <v>64.501051912400001</v>
      </c>
      <c r="CE49" s="17">
        <f>IF(CE$3="","",IF(AND(DivAs=2,CE$2&lt;ExDivPct),ExDivTree!CE49+DivAmount*EXP(IntRate*(CE$2-ExDivPct)),ExDivTree!CE49))</f>
        <v>66.453663895600002</v>
      </c>
      <c r="CF49" s="17">
        <f>IF(CF$3="","",IF(AND(DivAs=2,CF$2&lt;ExDivPct),ExDivTree!CF49+DivAmount*EXP(IntRate*(CF$2-ExDivPct)),ExDivTree!CF49))</f>
        <v>68.465386442799996</v>
      </c>
      <c r="CG49" s="17">
        <f>IF(CG$3="","",IF(AND(DivAs=2,CG$2&lt;ExDivPct),ExDivTree!CG49+DivAmount*EXP(IntRate*(CG$2-ExDivPct)),ExDivTree!CG49))</f>
        <v>70.538008982099996</v>
      </c>
      <c r="CH49" s="17">
        <f>IF(CH$3="","",IF(AND(DivAs=2,CH$2&lt;ExDivPct),ExDivTree!CH49+DivAmount*EXP(IntRate*(CH$2-ExDivPct)),ExDivTree!CH49))</f>
        <v>72.673375112200006</v>
      </c>
      <c r="CI49" s="17">
        <f>IF(CI$3="","",IF(AND(DivAs=2,CI$2&lt;ExDivPct),ExDivTree!CI49+DivAmount*EXP(IntRate*(CI$2-ExDivPct)),ExDivTree!CI49))</f>
        <v>74.873384242300006</v>
      </c>
      <c r="CJ49" s="17">
        <f>IF(CJ$3="","",IF(AND(DivAs=2,CJ$2&lt;ExDivPct),ExDivTree!CJ49+DivAmount*EXP(IntRate*(CJ$2-ExDivPct)),ExDivTree!CJ49))</f>
        <v>77.139993281399995</v>
      </c>
      <c r="CK49" s="17">
        <f>IF(CK$3="","",IF(AND(DivAs=2,CK$2&lt;ExDivPct),ExDivTree!CK49+DivAmount*EXP(IntRate*(CK$2-ExDivPct)),ExDivTree!CK49))</f>
        <v>79.475218379300003</v>
      </c>
      <c r="CL49" s="17">
        <f>IF(CL$3="","",IF(AND(DivAs=2,CL$2&lt;ExDivPct),ExDivTree!CL49+DivAmount*EXP(IntRate*(CL$2-ExDivPct)),ExDivTree!CL49))</f>
        <v>81.881136719799997</v>
      </c>
      <c r="CM49" s="17">
        <f>IF(CM$3="","",IF(AND(DivAs=2,CM$2&lt;ExDivPct),ExDivTree!CM49+DivAmount*EXP(IntRate*(CM$2-ExDivPct)),ExDivTree!CM49))</f>
        <v>84.359888368300005</v>
      </c>
      <c r="CN49" s="17">
        <f>IF(CN$3="","",IF(AND(DivAs=2,CN$2&lt;ExDivPct),ExDivTree!CN49+DivAmount*EXP(IntRate*(CN$2-ExDivPct)),ExDivTree!CN49))</f>
        <v>86.913678175599998</v>
      </c>
      <c r="CO49" s="17">
        <f>IF(CO$3="","",IF(AND(DivAs=2,CO$2&lt;ExDivPct),ExDivTree!CO49+DivAmount*EXP(IntRate*(CO$2-ExDivPct)),ExDivTree!CO49))</f>
        <v>89.544777738799993</v>
      </c>
      <c r="CP49" s="17">
        <f>IF(CP$3="","",IF(AND(DivAs=2,CP$2&lt;ExDivPct),ExDivTree!CP49+DivAmount*EXP(IntRate*(CP$2-ExDivPct)),ExDivTree!CP49))</f>
        <v>92.255527422200004</v>
      </c>
      <c r="CQ49" s="17">
        <f>IF(CQ$3="","",IF(AND(DivAs=2,CQ$2&lt;ExDivPct),ExDivTree!CQ49+DivAmount*EXP(IntRate*(CQ$2-ExDivPct)),ExDivTree!CQ49))</f>
        <v>95.048338438800002</v>
      </c>
      <c r="CR49" s="17">
        <f>IF(CR$3="","",IF(AND(DivAs=2,CR$2&lt;ExDivPct),ExDivTree!CR49+DivAmount*EXP(IntRate*(CR$2-ExDivPct)),ExDivTree!CR49))</f>
        <v>97.925694995300006</v>
      </c>
      <c r="CS49" s="17">
        <f>IF(CS$3="","",IF(AND(DivAs=2,CS$2&lt;ExDivPct),ExDivTree!CS49+DivAmount*EXP(IntRate*(CS$2-ExDivPct)),ExDivTree!CS49))</f>
        <v>100.89015650170001</v>
      </c>
      <c r="CT49" s="17">
        <f>IF(CT$3="","",IF(AND(DivAs=2,CT$2&lt;ExDivPct),ExDivTree!CT49+DivAmount*EXP(IntRate*(CT$2-ExDivPct)),ExDivTree!CT49))</f>
        <v>103.9443598478</v>
      </c>
      <c r="CU49" s="17">
        <f>IF(CU$3="","",IF(AND(DivAs=2,CU$2&lt;ExDivPct),ExDivTree!CU49+DivAmount*EXP(IntRate*(CU$2-ExDivPct)),ExDivTree!CU49))</f>
        <v>107.0910217488</v>
      </c>
      <c r="CV49" s="17">
        <f>IF(CV$3="","",IF(AND(DivAs=2,CV$2&lt;ExDivPct),ExDivTree!CV49+DivAmount*EXP(IntRate*(CV$2-ExDivPct)),ExDivTree!CV49))</f>
        <v>110.3329411619</v>
      </c>
      <c r="CW49" s="17">
        <f>IF(CW$3="","",IF(AND(DivAs=2,CW$2&lt;ExDivPct),ExDivTree!CW49+DivAmount*EXP(IntRate*(CW$2-ExDivPct)),ExDivTree!CW49))</f>
        <v>113.6730017759</v>
      </c>
      <c r="CX49" s="17">
        <f>IF(CX$3="","",IF(AND(DivAs=2,CX$2&lt;ExDivPct),ExDivTree!CX49+DivAmount*EXP(IntRate*(CX$2-ExDivPct)),ExDivTree!CX49))</f>
        <v>117.1141745763</v>
      </c>
      <c r="CY49" s="17">
        <f>IF(CY$3="","",IF(AND(DivAs=2,CY$2&lt;ExDivPct),ExDivTree!CY49+DivAmount*EXP(IntRate*(CY$2-ExDivPct)),ExDivTree!CY49))</f>
        <v>120.65952048779999</v>
      </c>
      <c r="CZ49" s="17">
        <f>IF(CZ$3="","",IF(AND(DivAs=2,CZ$2&lt;ExDivPct),ExDivTree!CZ49+DivAmount*EXP(IntRate*(CZ$2-ExDivPct)),ExDivTree!CZ49))</f>
        <v>124.31219309710001</v>
      </c>
      <c r="DA49" s="17">
        <f>IF(DA$3="","",IF(AND(DivAs=2,DA$2&lt;ExDivPct),ExDivTree!DA49+DivAmount*EXP(IntRate*(DA$2-ExDivPct)),ExDivTree!DA49))</f>
        <v>128.07544145829999</v>
      </c>
      <c r="DB49" s="17">
        <f>IF(DB$3="","",IF(AND(DivAs=2,DB$2&lt;ExDivPct),ExDivTree!DB49+DivAmount*EXP(IntRate*(DB$2-ExDivPct)),ExDivTree!DB49))</f>
        <v>131.95261298240001</v>
      </c>
    </row>
    <row r="50" spans="1:106" x14ac:dyDescent="0.2">
      <c r="A50">
        <f>ExDivTree!A50</f>
        <v>1.3491946940495127E+29</v>
      </c>
      <c r="B50" s="71">
        <f>ExDivTree!B50</f>
        <v>5.3216347383364233E-2</v>
      </c>
      <c r="C50" s="71">
        <f>ExDivTree!C50</f>
        <v>5.4481719681635024E-2</v>
      </c>
      <c r="D50" s="177">
        <f>ExDivTree!D50</f>
        <v>46</v>
      </c>
      <c r="AY50" s="17">
        <f>IF(AY$3="","",IF(AND(DivAs=2,AY$2&lt;ExDivPct),ExDivTree!AY50+DivAmount*EXP(IntRate*(AY$2-ExDivPct)),ExDivTree!AY50))</f>
        <v>24.107304997300002</v>
      </c>
      <c r="AZ50" s="17">
        <f>IF(AZ$3="","",IF(AND(DivAs=2,AZ$2&lt;ExDivPct),ExDivTree!AZ50+DivAmount*EXP(IntRate*(AZ$2-ExDivPct)),ExDivTree!AZ50))</f>
        <v>24.837094841399999</v>
      </c>
      <c r="BA50" s="17">
        <f>IF(BA$3="","",IF(AND(DivAs=2,BA$2&lt;ExDivPct),ExDivTree!BA50+DivAmount*EXP(IntRate*(BA$2-ExDivPct)),ExDivTree!BA50))</f>
        <v>25.588977292599999</v>
      </c>
      <c r="BB50" s="17">
        <f>IF(BB$3="","",IF(AND(DivAs=2,BB$2&lt;ExDivPct),ExDivTree!BB50+DivAmount*EXP(IntRate*(BB$2-ExDivPct)),ExDivTree!BB50))</f>
        <v>26.3636211506</v>
      </c>
      <c r="BC50" s="17">
        <f>IF(BC$3="","",IF(AND(DivAs=2,BC$2&lt;ExDivPct),ExDivTree!BC50+DivAmount*EXP(IntRate*(BC$2-ExDivPct)),ExDivTree!BC50))</f>
        <v>27.161715461499998</v>
      </c>
      <c r="BD50" s="17">
        <f>IF(BD$3="","",IF(AND(DivAs=2,BD$2&lt;ExDivPct),ExDivTree!BD50+DivAmount*EXP(IntRate*(BD$2-ExDivPct)),ExDivTree!BD50))</f>
        <v>27.983970130599999</v>
      </c>
      <c r="BE50" s="17">
        <f>IF(BE$3="","",IF(AND(DivAs=2,BE$2&lt;ExDivPct),ExDivTree!BE50+DivAmount*EXP(IntRate*(BE$2-ExDivPct)),ExDivTree!BE50))</f>
        <v>28.831116553699999</v>
      </c>
      <c r="BF50" s="17">
        <f>IF(BF$3="","",IF(AND(DivAs=2,BF$2&lt;ExDivPct),ExDivTree!BF50+DivAmount*EXP(IntRate*(BF$2-ExDivPct)),ExDivTree!BF50))</f>
        <v>29.703908267999999</v>
      </c>
      <c r="BG50" s="17">
        <f>IF(BG$3="","",IF(AND(DivAs=2,BG$2&lt;ExDivPct),ExDivTree!BG50+DivAmount*EXP(IntRate*(BG$2-ExDivPct)),ExDivTree!BG50))</f>
        <v>30.603121622100002</v>
      </c>
      <c r="BH50" s="17">
        <f>IF(BH$3="","",IF(AND(DivAs=2,BH$2&lt;ExDivPct),ExDivTree!BH50+DivAmount*EXP(IntRate*(BH$2-ExDivPct)),ExDivTree!BH50))</f>
        <v>31.529556466700001</v>
      </c>
      <c r="BI50" s="17">
        <f>IF(BI$3="","",IF(AND(DivAs=2,BI$2&lt;ExDivPct),ExDivTree!BI50+DivAmount*EXP(IntRate*(BI$2-ExDivPct)),ExDivTree!BI50))</f>
        <v>32.484036865999997</v>
      </c>
      <c r="BJ50" s="17">
        <f>IF(BJ$3="","",IF(AND(DivAs=2,BJ$2&lt;ExDivPct),ExDivTree!BJ50+DivAmount*EXP(IntRate*(BJ$2-ExDivPct)),ExDivTree!BJ50))</f>
        <v>33.467411830700001</v>
      </c>
      <c r="BK50" s="17">
        <f>IF(BK$3="","",IF(AND(DivAs=2,BK$2&lt;ExDivPct),ExDivTree!BK50+DivAmount*EXP(IntRate*(BK$2-ExDivPct)),ExDivTree!BK50))</f>
        <v>34.480556073300001</v>
      </c>
      <c r="BL50" s="17">
        <f>IF(BL$3="","",IF(AND(DivAs=2,BL$2&lt;ExDivPct),ExDivTree!BL50+DivAmount*EXP(IntRate*(BL$2-ExDivPct)),ExDivTree!BL50))</f>
        <v>35.5243707861</v>
      </c>
      <c r="BM50" s="17">
        <f>IF(BM$3="","",IF(AND(DivAs=2,BM$2&lt;ExDivPct),ExDivTree!BM50+DivAmount*EXP(IntRate*(BM$2-ExDivPct)),ExDivTree!BM50))</f>
        <v>36.599784442699999</v>
      </c>
      <c r="BN50" s="17">
        <f>IF(BN$3="","",IF(AND(DivAs=2,BN$2&lt;ExDivPct),ExDivTree!BN50+DivAmount*EXP(IntRate*(BN$2-ExDivPct)),ExDivTree!BN50))</f>
        <v>37.7077536241</v>
      </c>
      <c r="BO50" s="17">
        <f>IF(BO$3="","",IF(AND(DivAs=2,BO$2&lt;ExDivPct),ExDivTree!BO50+DivAmount*EXP(IntRate*(BO$2-ExDivPct)),ExDivTree!BO50))</f>
        <v>38.849263869300003</v>
      </c>
      <c r="BP50" s="17">
        <f>IF(BP$3="","",IF(AND(DivAs=2,BP$2&lt;ExDivPct),ExDivTree!BP50+DivAmount*EXP(IntRate*(BP$2-ExDivPct)),ExDivTree!BP50))</f>
        <v>40.025330552299998</v>
      </c>
      <c r="BQ50" s="17">
        <f>IF(BQ$3="","",IF(AND(DivAs=2,BQ$2&lt;ExDivPct),ExDivTree!BQ50+DivAmount*EXP(IntRate*(BQ$2-ExDivPct)),ExDivTree!BQ50))</f>
        <v>41.236999784799998</v>
      </c>
      <c r="BR50" s="17">
        <f>IF(BR$3="","",IF(AND(DivAs=2,BR$2&lt;ExDivPct),ExDivTree!BR50+DivAmount*EXP(IntRate*(BR$2-ExDivPct)),ExDivTree!BR50))</f>
        <v>42.4853493472</v>
      </c>
      <c r="BS50" s="17">
        <f>IF(BS$3="","",IF(AND(DivAs=2,BS$2&lt;ExDivPct),ExDivTree!BS50+DivAmount*EXP(IntRate*(BS$2-ExDivPct)),ExDivTree!BS50))</f>
        <v>43.771489647000003</v>
      </c>
      <c r="BT50" s="17">
        <f>IF(BT$3="","",IF(AND(DivAs=2,BT$2&lt;ExDivPct),ExDivTree!BT50+DivAmount*EXP(IntRate*(BT$2-ExDivPct)),ExDivTree!BT50))</f>
        <v>45.096564706599999</v>
      </c>
      <c r="BU50" s="17">
        <f>IF(BU$3="","",IF(AND(DivAs=2,BU$2&lt;ExDivPct),ExDivTree!BU50+DivAmount*EXP(IntRate*(BU$2-ExDivPct)),ExDivTree!BU50))</f>
        <v>46.461753180899997</v>
      </c>
      <c r="BV50" s="17">
        <f>IF(BV$3="","",IF(AND(DivAs=2,BV$2&lt;ExDivPct),ExDivTree!BV50+DivAmount*EXP(IntRate*(BV$2-ExDivPct)),ExDivTree!BV50))</f>
        <v>47.868269405600003</v>
      </c>
      <c r="BW50" s="17">
        <f>IF(BW$3="","",IF(AND(DivAs=2,BW$2&lt;ExDivPct),ExDivTree!BW50+DivAmount*EXP(IntRate*(BW$2-ExDivPct)),ExDivTree!BW50))</f>
        <v>49.3173644775</v>
      </c>
      <c r="BX50" s="17">
        <f>IF(BX$3="","",IF(AND(DivAs=2,BX$2&lt;ExDivPct),ExDivTree!BX50+DivAmount*EXP(IntRate*(BX$2-ExDivPct)),ExDivTree!BX50))</f>
        <v>50.810327367299998</v>
      </c>
      <c r="BY50" s="17">
        <f>IF(BY$3="","",IF(AND(DivAs=2,BY$2&lt;ExDivPct),ExDivTree!BY50+DivAmount*EXP(IntRate*(BY$2-ExDivPct)),ExDivTree!BY50))</f>
        <v>52.348486066200003</v>
      </c>
      <c r="BZ50" s="17">
        <f>IF(BZ$3="","",IF(AND(DivAs=2,BZ$2&lt;ExDivPct),ExDivTree!BZ50+DivAmount*EXP(IntRate*(BZ$2-ExDivPct)),ExDivTree!BZ50))</f>
        <v>53.933208767099998</v>
      </c>
      <c r="CA50" s="17">
        <f>IF(CA$3="","",IF(AND(DivAs=2,CA$2&lt;ExDivPct),ExDivTree!CA50+DivAmount*EXP(IntRate*(CA$2-ExDivPct)),ExDivTree!CA50))</f>
        <v>55.565905081499999</v>
      </c>
      <c r="CB50" s="17">
        <f>IF(CB$3="","",IF(AND(DivAs=2,CB$2&lt;ExDivPct),ExDivTree!CB50+DivAmount*EXP(IntRate*(CB$2-ExDivPct)),ExDivTree!CB50))</f>
        <v>57.248027293500002</v>
      </c>
      <c r="CC50" s="17">
        <f>IF(CC$3="","",IF(AND(DivAs=2,CC$2&lt;ExDivPct),ExDivTree!CC50+DivAmount*EXP(IntRate*(CC$2-ExDivPct)),ExDivTree!CC50))</f>
        <v>58.981071651599997</v>
      </c>
      <c r="CD50" s="17">
        <f>IF(CD$3="","",IF(AND(DivAs=2,CD$2&lt;ExDivPct),ExDivTree!CD50+DivAmount*EXP(IntRate*(CD$2-ExDivPct)),ExDivTree!CD50))</f>
        <v>60.766579699499999</v>
      </c>
      <c r="CE50" s="17">
        <f>IF(CE$3="","",IF(AND(DivAs=2,CE$2&lt;ExDivPct),ExDivTree!CE50+DivAmount*EXP(IntRate*(CE$2-ExDivPct)),ExDivTree!CE50))</f>
        <v>62.606139647500001</v>
      </c>
      <c r="CF50" s="17">
        <f>IF(CF$3="","",IF(AND(DivAs=2,CF$2&lt;ExDivPct),ExDivTree!CF50+DivAmount*EXP(IntRate*(CF$2-ExDivPct)),ExDivTree!CF50))</f>
        <v>64.501387784900004</v>
      </c>
      <c r="CG50" s="17">
        <f>IF(CG$3="","",IF(AND(DivAs=2,CG$2&lt;ExDivPct),ExDivTree!CG50+DivAmount*EXP(IntRate*(CG$2-ExDivPct)),ExDivTree!CG50))</f>
        <v>66.454009935800002</v>
      </c>
      <c r="CH50" s="17">
        <f>IF(CH$3="","",IF(AND(DivAs=2,CH$2&lt;ExDivPct),ExDivTree!CH50+DivAmount*EXP(IntRate*(CH$2-ExDivPct)),ExDivTree!CH50))</f>
        <v>68.465742958500002</v>
      </c>
      <c r="CI50" s="17">
        <f>IF(CI$3="","",IF(AND(DivAs=2,CI$2&lt;ExDivPct),ExDivTree!CI50+DivAmount*EXP(IntRate*(CI$2-ExDivPct)),ExDivTree!CI50))</f>
        <v>70.538376290499997</v>
      </c>
      <c r="CJ50" s="17">
        <f>IF(CJ$3="","",IF(AND(DivAs=2,CJ$2&lt;ExDivPct),ExDivTree!CJ50+DivAmount*EXP(IntRate*(CJ$2-ExDivPct)),ExDivTree!CJ50))</f>
        <v>72.673753540000007</v>
      </c>
      <c r="CK50" s="17">
        <f>IF(CK$3="","",IF(AND(DivAs=2,CK$2&lt;ExDivPct),ExDivTree!CK50+DivAmount*EXP(IntRate*(CK$2-ExDivPct)),ExDivTree!CK50))</f>
        <v>74.873774126000001</v>
      </c>
      <c r="CL50" s="17">
        <f>IF(CL$3="","",IF(AND(DivAs=2,CL$2&lt;ExDivPct),ExDivTree!CL50+DivAmount*EXP(IntRate*(CL$2-ExDivPct)),ExDivTree!CL50))</f>
        <v>77.140394967899994</v>
      </c>
      <c r="CM50" s="17">
        <f>IF(CM$3="","",IF(AND(DivAs=2,CM$2&lt;ExDivPct),ExDivTree!CM50+DivAmount*EXP(IntRate*(CM$2-ExDivPct)),ExDivTree!CM50))</f>
        <v>79.4756322259</v>
      </c>
      <c r="CN50" s="17">
        <f>IF(CN$3="","",IF(AND(DivAs=2,CN$2&lt;ExDivPct),ExDivTree!CN50+DivAmount*EXP(IntRate*(CN$2-ExDivPct)),ExDivTree!CN50))</f>
        <v>81.881563094599997</v>
      </c>
      <c r="CO50" s="17">
        <f>IF(CO$3="","",IF(AND(DivAs=2,CO$2&lt;ExDivPct),ExDivTree!CO50+DivAmount*EXP(IntRate*(CO$2-ExDivPct)),ExDivTree!CO50))</f>
        <v>84.360327650599999</v>
      </c>
      <c r="CP50" s="17">
        <f>IF(CP$3="","",IF(AND(DivAs=2,CP$2&lt;ExDivPct),ExDivTree!CP50+DivAmount*EXP(IntRate*(CP$2-ExDivPct)),ExDivTree!CP50))</f>
        <v>86.914130756099993</v>
      </c>
      <c r="CQ50" s="17">
        <f>IF(CQ$3="","",IF(AND(DivAs=2,CQ$2&lt;ExDivPct),ExDivTree!CQ50+DivAmount*EXP(IntRate*(CQ$2-ExDivPct)),ExDivTree!CQ50))</f>
        <v>89.5452440201</v>
      </c>
      <c r="CR50" s="17">
        <f>IF(CR$3="","",IF(AND(DivAs=2,CR$2&lt;ExDivPct),ExDivTree!CR50+DivAmount*EXP(IntRate*(CR$2-ExDivPct)),ExDivTree!CR50))</f>
        <v>92.256007819000004</v>
      </c>
      <c r="CS50" s="17">
        <f>IF(CS$3="","",IF(AND(DivAs=2,CS$2&lt;ExDivPct),ExDivTree!CS50+DivAmount*EXP(IntRate*(CS$2-ExDivPct)),ExDivTree!CS50))</f>
        <v>95.048833378400005</v>
      </c>
      <c r="CT50" s="17">
        <f>IF(CT$3="","",IF(AND(DivAs=2,CT$2&lt;ExDivPct),ExDivTree!CT50+DivAmount*EXP(IntRate*(CT$2-ExDivPct)),ExDivTree!CT50))</f>
        <v>97.926204917999996</v>
      </c>
      <c r="CU50" s="17">
        <f>IF(CU$3="","",IF(AND(DivAs=2,CU$2&lt;ExDivPct),ExDivTree!CU50+DivAmount*EXP(IntRate*(CU$2-ExDivPct)),ExDivTree!CU50))</f>
        <v>100.890681861</v>
      </c>
      <c r="CV50" s="17">
        <f>IF(CV$3="","",IF(AND(DivAs=2,CV$2&lt;ExDivPct),ExDivTree!CV50+DivAmount*EXP(IntRate*(CV$2-ExDivPct)),ExDivTree!CV50))</f>
        <v>103.94490111099999</v>
      </c>
      <c r="CW50" s="17">
        <f>IF(CW$3="","",IF(AND(DivAs=2,CW$2&lt;ExDivPct),ExDivTree!CW50+DivAmount*EXP(IntRate*(CW$2-ExDivPct)),ExDivTree!CW50))</f>
        <v>107.0915793974</v>
      </c>
      <c r="CX50" s="17">
        <f>IF(CX$3="","",IF(AND(DivAs=2,CX$2&lt;ExDivPct),ExDivTree!CX50+DivAmount*EXP(IntRate*(CX$2-ExDivPct)),ExDivTree!CX50))</f>
        <v>110.33351569200001</v>
      </c>
      <c r="CY50" s="17">
        <f>IF(CY$3="","",IF(AND(DivAs=2,CY$2&lt;ExDivPct),ExDivTree!CY50+DivAmount*EXP(IntRate*(CY$2-ExDivPct)),ExDivTree!CY50))</f>
        <v>113.6735936985</v>
      </c>
      <c r="CZ50" s="17">
        <f>IF(CZ$3="","",IF(AND(DivAs=2,CZ$2&lt;ExDivPct),ExDivTree!CZ50+DivAmount*EXP(IntRate*(CZ$2-ExDivPct)),ExDivTree!CZ50))</f>
        <v>117.1147844179</v>
      </c>
      <c r="DA50" s="17">
        <f>IF(DA$3="","",IF(AND(DivAs=2,DA$2&lt;ExDivPct),ExDivTree!DA50+DivAmount*EXP(IntRate*(DA$2-ExDivPct)),ExDivTree!DA50))</f>
        <v>120.66014879079999</v>
      </c>
      <c r="DB50" s="17">
        <f>IF(DB$3="","",IF(AND(DivAs=2,DB$2&lt;ExDivPct),ExDivTree!DB50+DivAmount*EXP(IntRate*(DB$2-ExDivPct)),ExDivTree!DB50))</f>
        <v>124.3128404205</v>
      </c>
    </row>
    <row r="51" spans="1:106" x14ac:dyDescent="0.2">
      <c r="A51">
        <f>ExDivTree!A51</f>
        <v>1.5788448547387906E+29</v>
      </c>
      <c r="B51" s="71">
        <f>ExDivTree!B51</f>
        <v>6.2274449065638962E-2</v>
      </c>
      <c r="C51" s="71">
        <f>ExDivTree!C51</f>
        <v>6.3418133698132609E-2</v>
      </c>
      <c r="D51" s="177">
        <f>ExDivTree!D51</f>
        <v>47</v>
      </c>
      <c r="AZ51" s="17">
        <f>IF(AZ$3="","",IF(AND(DivAs=2,AZ$2&lt;ExDivPct),ExDivTree!AZ51+DivAmount*EXP(IntRate*(AZ$2-ExDivPct)),ExDivTree!AZ51))</f>
        <v>23.399080456</v>
      </c>
      <c r="BA51" s="17">
        <f>IF(BA$3="","",IF(AND(DivAs=2,BA$2&lt;ExDivPct),ExDivTree!BA51+DivAmount*EXP(IntRate*(BA$2-ExDivPct)),ExDivTree!BA51))</f>
        <v>24.107430529999998</v>
      </c>
      <c r="BB51" s="17">
        <f>IF(BB$3="","",IF(AND(DivAs=2,BB$2&lt;ExDivPct),ExDivTree!BB51+DivAmount*EXP(IntRate*(BB$2-ExDivPct)),ExDivTree!BB51))</f>
        <v>24.837224174300001</v>
      </c>
      <c r="BC51" s="17">
        <f>IF(BC$3="","",IF(AND(DivAs=2,BC$2&lt;ExDivPct),ExDivTree!BC51+DivAmount*EXP(IntRate*(BC$2-ExDivPct)),ExDivTree!BC51))</f>
        <v>25.589110540699998</v>
      </c>
      <c r="BD51" s="17">
        <f>IF(BD$3="","",IF(AND(DivAs=2,BD$2&lt;ExDivPct),ExDivTree!BD51+DivAmount*EXP(IntRate*(BD$2-ExDivPct)),ExDivTree!BD51))</f>
        <v>26.363758432499999</v>
      </c>
      <c r="BE51" s="17">
        <f>IF(BE$3="","",IF(AND(DivAs=2,BE$2&lt;ExDivPct),ExDivTree!BE51+DivAmount*EXP(IntRate*(BE$2-ExDivPct)),ExDivTree!BE51))</f>
        <v>27.161856899299998</v>
      </c>
      <c r="BF51" s="17">
        <f>IF(BF$3="","",IF(AND(DivAs=2,BF$2&lt;ExDivPct),ExDivTree!BF51+DivAmount*EXP(IntRate*(BF$2-ExDivPct)),ExDivTree!BF51))</f>
        <v>27.9841158501</v>
      </c>
      <c r="BG51" s="17">
        <f>IF(BG$3="","",IF(AND(DivAs=2,BG$2&lt;ExDivPct),ExDivTree!BG51+DivAmount*EXP(IntRate*(BG$2-ExDivPct)),ExDivTree!BG51))</f>
        <v>28.831266684500001</v>
      </c>
      <c r="BH51" s="17">
        <f>IF(BH$3="","",IF(AND(DivAs=2,BH$2&lt;ExDivPct),ExDivTree!BH51+DivAmount*EXP(IntRate*(BH$2-ExDivPct)),ExDivTree!BH51))</f>
        <v>29.7040629436</v>
      </c>
      <c r="BI51" s="17">
        <f>IF(BI$3="","",IF(AND(DivAs=2,BI$2&lt;ExDivPct),ExDivTree!BI51+DivAmount*EXP(IntRate*(BI$2-ExDivPct)),ExDivTree!BI51))</f>
        <v>30.603280980099999</v>
      </c>
      <c r="BJ51" s="17">
        <f>IF(BJ$3="","",IF(AND(DivAs=2,BJ$2&lt;ExDivPct),ExDivTree!BJ51+DivAmount*EXP(IntRate*(BJ$2-ExDivPct)),ExDivTree!BJ51))</f>
        <v>31.529720648800001</v>
      </c>
      <c r="BK51" s="17">
        <f>IF(BK$3="","",IF(AND(DivAs=2,BK$2&lt;ExDivPct),ExDivTree!BK51+DivAmount*EXP(IntRate*(BK$2-ExDivPct)),ExDivTree!BK51))</f>
        <v>32.4842060183</v>
      </c>
      <c r="BL51" s="17">
        <f>IF(BL$3="","",IF(AND(DivAs=2,BL$2&lt;ExDivPct),ExDivTree!BL51+DivAmount*EXP(IntRate*(BL$2-ExDivPct)),ExDivTree!BL51))</f>
        <v>33.4675861037</v>
      </c>
      <c r="BM51" s="17">
        <f>IF(BM$3="","",IF(AND(DivAs=2,BM$2&lt;ExDivPct),ExDivTree!BM51+DivAmount*EXP(IntRate*(BM$2-ExDivPct)),ExDivTree!BM51))</f>
        <v>34.480735621999997</v>
      </c>
      <c r="BN51" s="17">
        <f>IF(BN$3="","",IF(AND(DivAs=2,BN$2&lt;ExDivPct),ExDivTree!BN51+DivAmount*EXP(IntRate*(BN$2-ExDivPct)),ExDivTree!BN51))</f>
        <v>35.524555770200003</v>
      </c>
      <c r="BO51" s="17">
        <f>IF(BO$3="","",IF(AND(DivAs=2,BO$2&lt;ExDivPct),ExDivTree!BO51+DivAmount*EXP(IntRate*(BO$2-ExDivPct)),ExDivTree!BO51))</f>
        <v>36.599975026800003</v>
      </c>
      <c r="BP51" s="17">
        <f>IF(BP$3="","",IF(AND(DivAs=2,BP$2&lt;ExDivPct),ExDivTree!BP51+DivAmount*EXP(IntRate*(BP$2-ExDivPct)),ExDivTree!BP51))</f>
        <v>37.707949977699997</v>
      </c>
      <c r="BQ51" s="17">
        <f>IF(BQ$3="","",IF(AND(DivAs=2,BQ$2&lt;ExDivPct),ExDivTree!BQ51+DivAmount*EXP(IntRate*(BQ$2-ExDivPct)),ExDivTree!BQ51))</f>
        <v>38.849466167099997</v>
      </c>
      <c r="BR51" s="17">
        <f>IF(BR$3="","",IF(AND(DivAs=2,BR$2&lt;ExDivPct),ExDivTree!BR51+DivAmount*EXP(IntRate*(BR$2-ExDivPct)),ExDivTree!BR51))</f>
        <v>40.025538974100002</v>
      </c>
      <c r="BS51" s="17">
        <f>IF(BS$3="","",IF(AND(DivAs=2,BS$2&lt;ExDivPct),ExDivTree!BS51+DivAmount*EXP(IntRate*(BS$2-ExDivPct)),ExDivTree!BS51))</f>
        <v>41.237214516100003</v>
      </c>
      <c r="BT51" s="17">
        <f>IF(BT$3="","",IF(AND(DivAs=2,BT$2&lt;ExDivPct),ExDivTree!BT51+DivAmount*EXP(IntRate*(BT$2-ExDivPct)),ExDivTree!BT51))</f>
        <v>42.485570578999997</v>
      </c>
      <c r="BU51" s="17">
        <f>IF(BU$3="","",IF(AND(DivAs=2,BU$2&lt;ExDivPct),ExDivTree!BU51+DivAmount*EXP(IntRate*(BU$2-ExDivPct)),ExDivTree!BU51))</f>
        <v>43.771717576100002</v>
      </c>
      <c r="BV51" s="17">
        <f>IF(BV$3="","",IF(AND(DivAs=2,BV$2&lt;ExDivPct),ExDivTree!BV51+DivAmount*EXP(IntRate*(BV$2-ExDivPct)),ExDivTree!BV51))</f>
        <v>45.096799535700001</v>
      </c>
      <c r="BW51" s="17">
        <f>IF(BW$3="","",IF(AND(DivAs=2,BW$2&lt;ExDivPct),ExDivTree!BW51+DivAmount*EXP(IntRate*(BW$2-ExDivPct)),ExDivTree!BW51))</f>
        <v>46.461995118799997</v>
      </c>
      <c r="BX51" s="17">
        <f>IF(BX$3="","",IF(AND(DivAs=2,BX$2&lt;ExDivPct),ExDivTree!BX51+DivAmount*EXP(IntRate*(BX$2-ExDivPct)),ExDivTree!BX51))</f>
        <v>47.868518667499998</v>
      </c>
      <c r="BY51" s="17">
        <f>IF(BY$3="","",IF(AND(DivAs=2,BY$2&lt;ExDivPct),ExDivTree!BY51+DivAmount*EXP(IntRate*(BY$2-ExDivPct)),ExDivTree!BY51))</f>
        <v>49.317621285199998</v>
      </c>
      <c r="BZ51" s="17">
        <f>IF(BZ$3="","",IF(AND(DivAs=2,BZ$2&lt;ExDivPct),ExDivTree!BZ51+DivAmount*EXP(IntRate*(BZ$2-ExDivPct)),ExDivTree!BZ51))</f>
        <v>50.810591949299997</v>
      </c>
      <c r="CA51" s="17">
        <f>IF(CA$3="","",IF(AND(DivAs=2,CA$2&lt;ExDivPct),ExDivTree!CA51+DivAmount*EXP(IntRate*(CA$2-ExDivPct)),ExDivTree!CA51))</f>
        <v>52.348758657799998</v>
      </c>
      <c r="CB51" s="17">
        <f>IF(CB$3="","",IF(AND(DivAs=2,CB$2&lt;ExDivPct),ExDivTree!CB51+DivAmount*EXP(IntRate*(CB$2-ExDivPct)),ExDivTree!CB51))</f>
        <v>53.933489610700001</v>
      </c>
      <c r="CC51" s="17">
        <f>IF(CC$3="","",IF(AND(DivAs=2,CC$2&lt;ExDivPct),ExDivTree!CC51+DivAmount*EXP(IntRate*(CC$2-ExDivPct)),ExDivTree!CC51))</f>
        <v>55.566194426999999</v>
      </c>
      <c r="CD51" s="17">
        <f>IF(CD$3="","",IF(AND(DivAs=2,CD$2&lt;ExDivPct),ExDivTree!CD51+DivAmount*EXP(IntRate*(CD$2-ExDivPct)),ExDivTree!CD51))</f>
        <v>57.248325398299997</v>
      </c>
      <c r="CE51" s="17">
        <f>IF(CE$3="","",IF(AND(DivAs=2,CE$2&lt;ExDivPct),ExDivTree!CE51+DivAmount*EXP(IntRate*(CE$2-ExDivPct)),ExDivTree!CE51))</f>
        <v>58.9813787808</v>
      </c>
      <c r="CF51" s="17">
        <f>IF(CF$3="","",IF(AND(DivAs=2,CF$2&lt;ExDivPct),ExDivTree!CF51+DivAmount*EXP(IntRate*(CF$2-ExDivPct)),ExDivTree!CF51))</f>
        <v>60.766896126299997</v>
      </c>
      <c r="CG51" s="17">
        <f>IF(CG$3="","",IF(AND(DivAs=2,CG$2&lt;ExDivPct),ExDivTree!CG51+DivAmount*EXP(IntRate*(CG$2-ExDivPct)),ExDivTree!CG51))</f>
        <v>62.606465653299999</v>
      </c>
      <c r="CH51" s="17">
        <f>IF(CH$3="","",IF(AND(DivAs=2,CH$2&lt;ExDivPct),ExDivTree!CH51+DivAmount*EXP(IntRate*(CH$2-ExDivPct)),ExDivTree!CH51))</f>
        <v>64.501723659800007</v>
      </c>
      <c r="CI51" s="17">
        <f>IF(CI$3="","",IF(AND(DivAs=2,CI$2&lt;ExDivPct),ExDivTree!CI51+DivAmount*EXP(IntRate*(CI$2-ExDivPct)),ExDivTree!CI51))</f>
        <v>66.454355978500004</v>
      </c>
      <c r="CJ51" s="17">
        <f>IF(CJ$3="","",IF(AND(DivAs=2,CJ$2&lt;ExDivPct),ExDivTree!CJ51+DivAmount*EXP(IntRate*(CJ$2-ExDivPct)),ExDivTree!CJ51))</f>
        <v>68.466099476799997</v>
      </c>
      <c r="CK51" s="17">
        <f>IF(CK$3="","",IF(AND(DivAs=2,CK$2&lt;ExDivPct),ExDivTree!CK51+DivAmount*EXP(IntRate*(CK$2-ExDivPct)),ExDivTree!CK51))</f>
        <v>70.538743601500002</v>
      </c>
      <c r="CL51" s="17">
        <f>IF(CL$3="","",IF(AND(DivAs=2,CL$2&lt;ExDivPct),ExDivTree!CL51+DivAmount*EXP(IntRate*(CL$2-ExDivPct)),ExDivTree!CL51))</f>
        <v>72.674131970399998</v>
      </c>
      <c r="CM51" s="17">
        <f>IF(CM$3="","",IF(AND(DivAs=2,CM$2&lt;ExDivPct),ExDivTree!CM51+DivAmount*EXP(IntRate*(CM$2-ExDivPct)),ExDivTree!CM51))</f>
        <v>74.874164012500003</v>
      </c>
      <c r="CN51" s="17">
        <f>IF(CN$3="","",IF(AND(DivAs=2,CN$2&lt;ExDivPct),ExDivTree!CN51+DivAmount*EXP(IntRate*(CN$2-ExDivPct)),ExDivTree!CN51))</f>
        <v>77.140796657199999</v>
      </c>
      <c r="CO51" s="17">
        <f>IF(CO$3="","",IF(AND(DivAs=2,CO$2&lt;ExDivPct),ExDivTree!CO51+DivAmount*EXP(IntRate*(CO$2-ExDivPct)),ExDivTree!CO51))</f>
        <v>79.476046075300005</v>
      </c>
      <c r="CP51" s="17">
        <f>IF(CP$3="","",IF(AND(DivAs=2,CP$2&lt;ExDivPct),ExDivTree!CP51+DivAmount*EXP(IntRate*(CP$2-ExDivPct)),ExDivTree!CP51))</f>
        <v>81.881989472300006</v>
      </c>
      <c r="CQ51" s="17">
        <f>IF(CQ$3="","",IF(AND(DivAs=2,CQ$2&lt;ExDivPct),ExDivTree!CQ51+DivAmount*EXP(IntRate*(CQ$2-ExDivPct)),ExDivTree!CQ51))</f>
        <v>84.360766935800001</v>
      </c>
      <c r="CR51" s="17">
        <f>IF(CR$3="","",IF(AND(DivAs=2,CR$2&lt;ExDivPct),ExDivTree!CR51+DivAmount*EXP(IntRate*(CR$2-ExDivPct)),ExDivTree!CR51))</f>
        <v>86.914583339499998</v>
      </c>
      <c r="CS51" s="17">
        <f>IF(CS$3="","",IF(AND(DivAs=2,CS$2&lt;ExDivPct),ExDivTree!CS51+DivAmount*EXP(IntRate*(CS$2-ExDivPct)),ExDivTree!CS51))</f>
        <v>89.545710304300002</v>
      </c>
      <c r="CT51" s="17">
        <f>IF(CT$3="","",IF(AND(DivAs=2,CT$2&lt;ExDivPct),ExDivTree!CT51+DivAmount*EXP(IntRate*(CT$2-ExDivPct)),ExDivTree!CT51))</f>
        <v>92.256488218800001</v>
      </c>
      <c r="CU51" s="17">
        <f>IF(CU$3="","",IF(AND(DivAs=2,CU$2&lt;ExDivPct),ExDivTree!CU51+DivAmount*EXP(IntRate*(CU$2-ExDivPct)),ExDivTree!CU51))</f>
        <v>95.049328321199994</v>
      </c>
      <c r="CV51" s="17">
        <f>IF(CV$3="","",IF(AND(DivAs=2,CV$2&lt;ExDivPct),ExDivTree!CV51+DivAmount*EXP(IntRate*(CV$2-ExDivPct)),ExDivTree!CV51))</f>
        <v>97.926714844000003</v>
      </c>
      <c r="CW51" s="17">
        <f>IF(CW$3="","",IF(AND(DivAs=2,CW$2&lt;ExDivPct),ExDivTree!CW51+DivAmount*EXP(IntRate*(CW$2-ExDivPct)),ExDivTree!CW51))</f>
        <v>100.8912072238</v>
      </c>
      <c r="CX51" s="17">
        <f>IF(CX$3="","",IF(AND(DivAs=2,CX$2&lt;ExDivPct),ExDivTree!CX51+DivAmount*EXP(IntRate*(CX$2-ExDivPct)),ExDivTree!CX51))</f>
        <v>103.94544237789999</v>
      </c>
      <c r="CY51" s="17">
        <f>IF(CY$3="","",IF(AND(DivAs=2,CY$2&lt;ExDivPct),ExDivTree!CY51+DivAmount*EXP(IntRate*(CY$2-ExDivPct)),ExDivTree!CY51))</f>
        <v>107.0921370499</v>
      </c>
      <c r="CZ51" s="17">
        <f>IF(CZ$3="","",IF(AND(DivAs=2,CZ$2&lt;ExDivPct),ExDivTree!CZ51+DivAmount*EXP(IntRate*(CZ$2-ExDivPct)),ExDivTree!CZ51))</f>
        <v>110.3340902261</v>
      </c>
      <c r="DA51" s="17">
        <f>IF(DA$3="","",IF(AND(DivAs=2,DA$2&lt;ExDivPct),ExDivTree!DA51+DivAmount*EXP(IntRate*(DA$2-ExDivPct)),ExDivTree!DA51))</f>
        <v>113.6741856253</v>
      </c>
      <c r="DB51" s="17">
        <f>IF(DB$3="","",IF(AND(DivAs=2,DB$2&lt;ExDivPct),ExDivTree!DB51+DivAmount*EXP(IntRate*(DB$2-ExDivPct)),ExDivTree!DB51))</f>
        <v>117.1153942638</v>
      </c>
    </row>
    <row r="52" spans="1:106" x14ac:dyDescent="0.2">
      <c r="A52">
        <f>ExDivTree!A52</f>
        <v>1.7762004615811383E+29</v>
      </c>
      <c r="B52" s="71">
        <f>ExDivTree!B52</f>
        <v>7.0058755198843789E-2</v>
      </c>
      <c r="C52" s="71">
        <f>ExDivTree!C52</f>
        <v>7.0968201282729765E-2</v>
      </c>
      <c r="D52" s="177">
        <f>ExDivTree!D52</f>
        <v>48</v>
      </c>
      <c r="BA52" s="17">
        <f>IF(BA$3="","",IF(AND(DivAs=2,BA$2&lt;ExDivPct),ExDivTree!BA52+DivAmount*EXP(IntRate*(BA$2-ExDivPct)),ExDivTree!BA52))</f>
        <v>22.7116621393</v>
      </c>
      <c r="BB52" s="17">
        <f>IF(BB$3="","",IF(AND(DivAs=2,BB$2&lt;ExDivPct),ExDivTree!BB52+DivAmount*EXP(IntRate*(BB$2-ExDivPct)),ExDivTree!BB52))</f>
        <v>23.399202300900001</v>
      </c>
      <c r="BC52" s="17">
        <f>IF(BC$3="","",IF(AND(DivAs=2,BC$2&lt;ExDivPct),ExDivTree!BC52+DivAmount*EXP(IntRate*(BC$2-ExDivPct)),ExDivTree!BC52))</f>
        <v>24.107556063499999</v>
      </c>
      <c r="BD52" s="17">
        <f>IF(BD$3="","",IF(AND(DivAs=2,BD$2&lt;ExDivPct),ExDivTree!BD52+DivAmount*EXP(IntRate*(BD$2-ExDivPct)),ExDivTree!BD52))</f>
        <v>24.837353508</v>
      </c>
      <c r="BE52" s="17">
        <f>IF(BE$3="","",IF(AND(DivAs=2,BE$2&lt;ExDivPct),ExDivTree!BE52+DivAmount*EXP(IntRate*(BE$2-ExDivPct)),ExDivTree!BE52))</f>
        <v>25.589243789699999</v>
      </c>
      <c r="BF52" s="17">
        <f>IF(BF$3="","",IF(AND(DivAs=2,BF$2&lt;ExDivPct),ExDivTree!BF52+DivAmount*EXP(IntRate*(BF$2-ExDivPct)),ExDivTree!BF52))</f>
        <v>26.3638957153</v>
      </c>
      <c r="BG52" s="17">
        <f>IF(BG$3="","",IF(AND(DivAs=2,BG$2&lt;ExDivPct),ExDivTree!BG52+DivAmount*EXP(IntRate*(BG$2-ExDivPct)),ExDivTree!BG52))</f>
        <v>27.161998338</v>
      </c>
      <c r="BH52" s="17">
        <f>IF(BH$3="","",IF(AND(DivAs=2,BH$2&lt;ExDivPct),ExDivTree!BH52+DivAmount*EXP(IntRate*(BH$2-ExDivPct)),ExDivTree!BH52))</f>
        <v>27.984261570499999</v>
      </c>
      <c r="BI52" s="17">
        <f>IF(BI$3="","",IF(AND(DivAs=2,BI$2&lt;ExDivPct),ExDivTree!BI52+DivAmount*EXP(IntRate*(BI$2-ExDivPct)),ExDivTree!BI52))</f>
        <v>28.831416816299999</v>
      </c>
      <c r="BJ52" s="17">
        <f>IF(BJ$3="","",IF(AND(DivAs=2,BJ$2&lt;ExDivPct),ExDivTree!BJ52+DivAmount*EXP(IntRate*(BJ$2-ExDivPct)),ExDivTree!BJ52))</f>
        <v>29.7042176203</v>
      </c>
      <c r="BK52" s="17">
        <f>IF(BK$3="","",IF(AND(DivAs=2,BK$2&lt;ExDivPct),ExDivTree!BK52+DivAmount*EXP(IntRate*(BK$2-ExDivPct)),ExDivTree!BK52))</f>
        <v>30.603440339300001</v>
      </c>
      <c r="BL52" s="17">
        <f>IF(BL$3="","",IF(AND(DivAs=2,BL$2&lt;ExDivPct),ExDivTree!BL52+DivAmount*EXP(IntRate*(BL$2-ExDivPct)),ExDivTree!BL52))</f>
        <v>31.529884832299999</v>
      </c>
      <c r="BM52" s="17">
        <f>IF(BM$3="","",IF(AND(DivAs=2,BM$2&lt;ExDivPct),ExDivTree!BM52+DivAmount*EXP(IntRate*(BM$2-ExDivPct)),ExDivTree!BM52))</f>
        <v>32.484375172</v>
      </c>
      <c r="BN52" s="17">
        <f>IF(BN$3="","",IF(AND(DivAs=2,BN$2&lt;ExDivPct),ExDivTree!BN52+DivAmount*EXP(IntRate*(BN$2-ExDivPct)),ExDivTree!BN52))</f>
        <v>33.467760378100003</v>
      </c>
      <c r="BO52" s="17">
        <f>IF(BO$3="","",IF(AND(DivAs=2,BO$2&lt;ExDivPct),ExDivTree!BO52+DivAmount*EXP(IntRate*(BO$2-ExDivPct)),ExDivTree!BO52))</f>
        <v>34.480915172099998</v>
      </c>
      <c r="BP52" s="17">
        <f>IF(BP$3="","",IF(AND(DivAs=2,BP$2&lt;ExDivPct),ExDivTree!BP52+DivAmount*EXP(IntRate*(BP$2-ExDivPct)),ExDivTree!BP52))</f>
        <v>35.524740755700002</v>
      </c>
      <c r="BQ52" s="17">
        <f>IF(BQ$3="","",IF(AND(DivAs=2,BQ$2&lt;ExDivPct),ExDivTree!BQ52+DivAmount*EXP(IntRate*(BQ$2-ExDivPct)),ExDivTree!BQ52))</f>
        <v>36.600165612300003</v>
      </c>
      <c r="BR52" s="17">
        <f>IF(BR$3="","",IF(AND(DivAs=2,BR$2&lt;ExDivPct),ExDivTree!BR52+DivAmount*EXP(IntRate*(BR$2-ExDivPct)),ExDivTree!BR52))</f>
        <v>37.708146332699997</v>
      </c>
      <c r="BS52" s="17">
        <f>IF(BS$3="","",IF(AND(DivAs=2,BS$2&lt;ExDivPct),ExDivTree!BS52+DivAmount*EXP(IntRate*(BS$2-ExDivPct)),ExDivTree!BS52))</f>
        <v>38.849668466200001</v>
      </c>
      <c r="BT52" s="17">
        <f>IF(BT$3="","",IF(AND(DivAs=2,BT$2&lt;ExDivPct),ExDivTree!BT52+DivAmount*EXP(IntRate*(BT$2-ExDivPct)),ExDivTree!BT52))</f>
        <v>40.025747397400004</v>
      </c>
      <c r="BU52" s="17">
        <f>IF(BU$3="","",IF(AND(DivAs=2,BU$2&lt;ExDivPct),ExDivTree!BU52+DivAmount*EXP(IntRate*(BU$2-ExDivPct)),ExDivTree!BU52))</f>
        <v>41.2374292489</v>
      </c>
      <c r="BV52" s="17">
        <f>IF(BV$3="","",IF(AND(DivAs=2,BV$2&lt;ExDivPct),ExDivTree!BV52+DivAmount*EXP(IntRate*(BV$2-ExDivPct)),ExDivTree!BV52))</f>
        <v>42.4857918123</v>
      </c>
      <c r="BW52" s="17">
        <f>IF(BW$3="","",IF(AND(DivAs=2,BW$2&lt;ExDivPct),ExDivTree!BW52+DivAmount*EXP(IntRate*(BW$2-ExDivPct)),ExDivTree!BW52))</f>
        <v>43.7719455067</v>
      </c>
      <c r="BX52" s="17">
        <f>IF(BX$3="","",IF(AND(DivAs=2,BX$2&lt;ExDivPct),ExDivTree!BX52+DivAmount*EXP(IntRate*(BX$2-ExDivPct)),ExDivTree!BX52))</f>
        <v>45.097034366400003</v>
      </c>
      <c r="BY52" s="17">
        <f>IF(BY$3="","",IF(AND(DivAs=2,BY$2&lt;ExDivPct),ExDivTree!BY52+DivAmount*EXP(IntRate*(BY$2-ExDivPct)),ExDivTree!BY52))</f>
        <v>46.462237058500001</v>
      </c>
      <c r="BZ52" s="17">
        <f>IF(BZ$3="","",IF(AND(DivAs=2,BZ$2&lt;ExDivPct),ExDivTree!BZ52+DivAmount*EXP(IntRate*(BZ$2-ExDivPct)),ExDivTree!BZ52))</f>
        <v>47.868767931400001</v>
      </c>
      <c r="CA52" s="17">
        <f>IF(CA$3="","",IF(AND(DivAs=2,CA$2&lt;ExDivPct),ExDivTree!CA52+DivAmount*EXP(IntRate*(CA$2-ExDivPct)),ExDivTree!CA52))</f>
        <v>49.317878094900003</v>
      </c>
      <c r="CB52" s="17">
        <f>IF(CB$3="","",IF(AND(DivAs=2,CB$2&lt;ExDivPct),ExDivTree!CB52+DivAmount*EXP(IntRate*(CB$2-ExDivPct)),ExDivTree!CB52))</f>
        <v>50.810856533200003</v>
      </c>
      <c r="CC52" s="17">
        <f>IF(CC$3="","",IF(AND(DivAs=2,CC$2&lt;ExDivPct),ExDivTree!CC52+DivAmount*EXP(IntRate*(CC$2-ExDivPct)),ExDivTree!CC52))</f>
        <v>52.349031251299998</v>
      </c>
      <c r="CD52" s="17">
        <f>IF(CD$3="","",IF(AND(DivAs=2,CD$2&lt;ExDivPct),ExDivTree!CD52+DivAmount*EXP(IntRate*(CD$2-ExDivPct)),ExDivTree!CD52))</f>
        <v>53.933770456300003</v>
      </c>
      <c r="CE52" s="17">
        <f>IF(CE$3="","",IF(AND(DivAs=2,CE$2&lt;ExDivPct),ExDivTree!CE52+DivAmount*EXP(IntRate*(CE$2-ExDivPct)),ExDivTree!CE52))</f>
        <v>55.5664837745</v>
      </c>
      <c r="CF52" s="17">
        <f>IF(CF$3="","",IF(AND(DivAs=2,CF$2&lt;ExDivPct),ExDivTree!CF52+DivAmount*EXP(IntRate*(CF$2-ExDivPct)),ExDivTree!CF52))</f>
        <v>57.248623504999998</v>
      </c>
      <c r="CG52" s="17">
        <f>IF(CG$3="","",IF(AND(DivAs=2,CG$2&lt;ExDivPct),ExDivTree!CG52+DivAmount*EXP(IntRate*(CG$2-ExDivPct)),ExDivTree!CG52))</f>
        <v>58.981685912000003</v>
      </c>
      <c r="CH52" s="17">
        <f>IF(CH$3="","",IF(AND(DivAs=2,CH$2&lt;ExDivPct),ExDivTree!CH52+DivAmount*EXP(IntRate*(CH$2-ExDivPct)),ExDivTree!CH52))</f>
        <v>60.767212555199997</v>
      </c>
      <c r="CI52" s="17">
        <f>IF(CI$3="","",IF(AND(DivAs=2,CI$2&lt;ExDivPct),ExDivTree!CI52+DivAmount*EXP(IntRate*(CI$2-ExDivPct)),ExDivTree!CI52))</f>
        <v>62.606791661300001</v>
      </c>
      <c r="CJ52" s="17">
        <f>IF(CJ$3="","",IF(AND(DivAs=2,CJ$2&lt;ExDivPct),ExDivTree!CJ52+DivAmount*EXP(IntRate*(CJ$2-ExDivPct)),ExDivTree!CJ52))</f>
        <v>64.502059536900006</v>
      </c>
      <c r="CK52" s="17">
        <f>IF(CK$3="","",IF(AND(DivAs=2,CK$2&lt;ExDivPct),ExDivTree!CK52+DivAmount*EXP(IntRate*(CK$2-ExDivPct)),ExDivTree!CK52))</f>
        <v>66.454702023500005</v>
      </c>
      <c r="CL52" s="17">
        <f>IF(CL$3="","",IF(AND(DivAs=2,CL$2&lt;ExDivPct),ExDivTree!CL52+DivAmount*EXP(IntRate*(CL$2-ExDivPct)),ExDivTree!CL52))</f>
        <v>68.466455997500006</v>
      </c>
      <c r="CM52" s="17">
        <f>IF(CM$3="","",IF(AND(DivAs=2,CM$2&lt;ExDivPct),ExDivTree!CM52+DivAmount*EXP(IntRate*(CM$2-ExDivPct)),ExDivTree!CM52))</f>
        <v>70.539110914999995</v>
      </c>
      <c r="CN52" s="17">
        <f>IF(CN$3="","",IF(AND(DivAs=2,CN$2&lt;ExDivPct),ExDivTree!CN52+DivAmount*EXP(IntRate*(CN$2-ExDivPct)),ExDivTree!CN52))</f>
        <v>72.674510403499994</v>
      </c>
      <c r="CO52" s="17">
        <f>IF(CO$3="","",IF(AND(DivAs=2,CO$2&lt;ExDivPct),ExDivTree!CO52+DivAmount*EXP(IntRate*(CO$2-ExDivPct)),ExDivTree!CO52))</f>
        <v>74.874553901699997</v>
      </c>
      <c r="CP52" s="17">
        <f>IF(CP$3="","",IF(AND(DivAs=2,CP$2&lt;ExDivPct),ExDivTree!CP52+DivAmount*EXP(IntRate*(CP$2-ExDivPct)),ExDivTree!CP52))</f>
        <v>77.1411983494</v>
      </c>
      <c r="CQ52" s="17">
        <f>IF(CQ$3="","",IF(AND(DivAs=2,CQ$2&lt;ExDivPct),ExDivTree!CQ52+DivAmount*EXP(IntRate*(CQ$2-ExDivPct)),ExDivTree!CQ52))</f>
        <v>79.476459927799993</v>
      </c>
      <c r="CR52" s="17">
        <f>IF(CR$3="","",IF(AND(DivAs=2,CR$2&lt;ExDivPct),ExDivTree!CR52+DivAmount*EXP(IntRate*(CR$2-ExDivPct)),ExDivTree!CR52))</f>
        <v>81.882415853099999</v>
      </c>
      <c r="CS52" s="17">
        <f>IF(CS$3="","",IF(AND(DivAs=2,CS$2&lt;ExDivPct),ExDivTree!CS52+DivAmount*EXP(IntRate*(CS$2-ExDivPct)),ExDivTree!CS52))</f>
        <v>84.361206224300005</v>
      </c>
      <c r="CT52" s="17">
        <f>IF(CT$3="","",IF(AND(DivAs=2,CT$2&lt;ExDivPct),ExDivTree!CT52+DivAmount*EXP(IntRate*(CT$2-ExDivPct)),ExDivTree!CT52))</f>
        <v>86.915035926399995</v>
      </c>
      <c r="CU52" s="17">
        <f>IF(CU$3="","",IF(AND(DivAs=2,CU$2&lt;ExDivPct),ExDivTree!CU52+DivAmount*EXP(IntRate*(CU$2-ExDivPct)),ExDivTree!CU52))</f>
        <v>89.546176592199998</v>
      </c>
      <c r="CV52" s="17">
        <f>IF(CV$3="","",IF(AND(DivAs=2,CV$2&lt;ExDivPct),ExDivTree!CV52+DivAmount*EXP(IntRate*(CV$2-ExDivPct)),ExDivTree!CV52))</f>
        <v>92.256968622399995</v>
      </c>
      <c r="CW52" s="17">
        <f>IF(CW$3="","",IF(AND(DivAs=2,CW$2&lt;ExDivPct),ExDivTree!CW52+DivAmount*EXP(IntRate*(CW$2-ExDivPct)),ExDivTree!CW52))</f>
        <v>95.049823267799994</v>
      </c>
      <c r="CX52" s="17">
        <f>IF(CX$3="","",IF(AND(DivAs=2,CX$2&lt;ExDivPct),ExDivTree!CX52+DivAmount*EXP(IntRate*(CX$2-ExDivPct)),ExDivTree!CX52))</f>
        <v>97.927224773899994</v>
      </c>
      <c r="CY52" s="17">
        <f>IF(CY$3="","",IF(AND(DivAs=2,CY$2&lt;ExDivPct),ExDivTree!CY52+DivAmount*EXP(IntRate*(CY$2-ExDivPct)),ExDivTree!CY52))</f>
        <v>100.8917325906</v>
      </c>
      <c r="CZ52" s="17">
        <f>IF(CZ$3="","",IF(AND(DivAs=2,CZ$2&lt;ExDivPct),ExDivTree!CZ52+DivAmount*EXP(IntRate*(CZ$2-ExDivPct)),ExDivTree!CZ52))</f>
        <v>103.9459836489</v>
      </c>
      <c r="DA52" s="17">
        <f>IF(DA$3="","",IF(AND(DivAs=2,DA$2&lt;ExDivPct),ExDivTree!DA52+DivAmount*EXP(IntRate*(DA$2-ExDivPct)),ExDivTree!DA52))</f>
        <v>107.0926947065</v>
      </c>
      <c r="DB52" s="17">
        <f>IF(DB$3="","",IF(AND(DivAs=2,DB$2&lt;ExDivPct),ExDivTree!DB52+DivAmount*EXP(IntRate*(DB$2-ExDivPct)),ExDivTree!DB52))</f>
        <v>110.3346647643</v>
      </c>
    </row>
    <row r="53" spans="1:106" x14ac:dyDescent="0.2">
      <c r="A53">
        <f>ExDivTree!A53</f>
        <v>1.9211964176285804E+29</v>
      </c>
      <c r="B53" s="71">
        <f>ExDivTree!B53</f>
        <v>7.577783725589235E-2</v>
      </c>
      <c r="C53" s="71">
        <f>ExDivTree!C53</f>
        <v>7.6355689968182316E-2</v>
      </c>
      <c r="D53" s="177">
        <f>ExDivTree!D53</f>
        <v>49</v>
      </c>
      <c r="BB53" s="17">
        <f>IF(BB$3="","",IF(AND(DivAs=2,BB$2&lt;ExDivPct),ExDivTree!BB53+DivAmount*EXP(IntRate*(BB$2-ExDivPct)),ExDivTree!BB53))</f>
        <v>22.0444388017</v>
      </c>
      <c r="BC53" s="17">
        <f>IF(BC$3="","",IF(AND(DivAs=2,BC$2&lt;ExDivPct),ExDivTree!BC53+DivAmount*EXP(IntRate*(BC$2-ExDivPct)),ExDivTree!BC53))</f>
        <v>22.711780404500001</v>
      </c>
      <c r="BD53" s="17">
        <f>IF(BD$3="","",IF(AND(DivAs=2,BD$2&lt;ExDivPct),ExDivTree!BD53+DivAmount*EXP(IntRate*(BD$2-ExDivPct)),ExDivTree!BD53))</f>
        <v>23.399324146200001</v>
      </c>
      <c r="BE53" s="17">
        <f>IF(BE$3="","",IF(AND(DivAs=2,BE$2&lt;ExDivPct),ExDivTree!BE53+DivAmount*EXP(IntRate*(BE$2-ExDivPct)),ExDivTree!BE53))</f>
        <v>24.107681597300001</v>
      </c>
      <c r="BF53" s="17">
        <f>IF(BF$3="","",IF(AND(DivAs=2,BF$2&lt;ExDivPct),ExDivTree!BF53+DivAmount*EXP(IntRate*(BF$2-ExDivPct)),ExDivTree!BF53))</f>
        <v>24.837482842099998</v>
      </c>
      <c r="BG53" s="17">
        <f>IF(BG$3="","",IF(AND(DivAs=2,BG$2&lt;ExDivPct),ExDivTree!BG53+DivAmount*EXP(IntRate*(BG$2-ExDivPct)),ExDivTree!BG53))</f>
        <v>25.5893770391</v>
      </c>
      <c r="BH53" s="17">
        <f>IF(BH$3="","",IF(AND(DivAs=2,BH$2&lt;ExDivPct),ExDivTree!BH53+DivAmount*EXP(IntRate*(BH$2-ExDivPct)),ExDivTree!BH53))</f>
        <v>26.364032998500001</v>
      </c>
      <c r="BI53" s="17">
        <f>IF(BI$3="","",IF(AND(DivAs=2,BI$2&lt;ExDivPct),ExDivTree!BI53+DivAmount*EXP(IntRate*(BI$2-ExDivPct)),ExDivTree!BI53))</f>
        <v>27.162139777099998</v>
      </c>
      <c r="BJ53" s="17">
        <f>IF(BJ$3="","",IF(AND(DivAs=2,BJ$2&lt;ExDivPct),ExDivTree!BJ53+DivAmount*EXP(IntRate*(BJ$2-ExDivPct)),ExDivTree!BJ53))</f>
        <v>27.984407291299998</v>
      </c>
      <c r="BK53" s="17">
        <f>IF(BK$3="","",IF(AND(DivAs=2,BK$2&lt;ExDivPct),ExDivTree!BK53+DivAmount*EXP(IntRate*(BK$2-ExDivPct)),ExDivTree!BK53))</f>
        <v>28.831566948399999</v>
      </c>
      <c r="BL53" s="17">
        <f>IF(BL$3="","",IF(AND(DivAs=2,BL$2&lt;ExDivPct),ExDivTree!BL53+DivAmount*EXP(IntRate*(BL$2-ExDivPct)),ExDivTree!BL53))</f>
        <v>29.704372297300001</v>
      </c>
      <c r="BM53" s="17">
        <f>IF(BM$3="","",IF(AND(DivAs=2,BM$2&lt;ExDivPct),ExDivTree!BM53+DivAmount*EXP(IntRate*(BM$2-ExDivPct)),ExDivTree!BM53))</f>
        <v>30.603599698699998</v>
      </c>
      <c r="BN53" s="17">
        <f>IF(BN$3="","",IF(AND(DivAs=2,BN$2&lt;ExDivPct),ExDivTree!BN53+DivAmount*EXP(IntRate*(BN$2-ExDivPct)),ExDivTree!BN53))</f>
        <v>31.530049015900001</v>
      </c>
      <c r="BO53" s="17">
        <f>IF(BO$3="","",IF(AND(DivAs=2,BO$2&lt;ExDivPct),ExDivTree!BO53+DivAmount*EXP(IntRate*(BO$2-ExDivPct)),ExDivTree!BO53))</f>
        <v>32.484544325900004</v>
      </c>
      <c r="BP53" s="17">
        <f>IF(BP$3="","",IF(AND(DivAs=2,BP$2&lt;ExDivPct),ExDivTree!BP53+DivAmount*EXP(IntRate*(BP$2-ExDivPct)),ExDivTree!BP53))</f>
        <v>33.467934652700002</v>
      </c>
      <c r="BQ53" s="17">
        <f>IF(BQ$3="","",IF(AND(DivAs=2,BQ$2&lt;ExDivPct),ExDivTree!BQ53+DivAmount*EXP(IntRate*(BQ$2-ExDivPct)),ExDivTree!BQ53))</f>
        <v>34.481094722500004</v>
      </c>
      <c r="BR53" s="17">
        <f>IF(BR$3="","",IF(AND(DivAs=2,BR$2&lt;ExDivPct),ExDivTree!BR53+DivAmount*EXP(IntRate*(BR$2-ExDivPct)),ExDivTree!BR53))</f>
        <v>35.524925741600001</v>
      </c>
      <c r="BS53" s="17">
        <f>IF(BS$3="","",IF(AND(DivAs=2,BS$2&lt;ExDivPct),ExDivTree!BS53+DivAmount*EXP(IntRate*(BS$2-ExDivPct)),ExDivTree!BS53))</f>
        <v>36.600356198199997</v>
      </c>
      <c r="BT53" s="17">
        <f>IF(BT$3="","",IF(AND(DivAs=2,BT$2&lt;ExDivPct),ExDivTree!BT53+DivAmount*EXP(IntRate*(BT$2-ExDivPct)),ExDivTree!BT53))</f>
        <v>37.708342688099997</v>
      </c>
      <c r="BU53" s="17">
        <f>IF(BU$3="","",IF(AND(DivAs=2,BU$2&lt;ExDivPct),ExDivTree!BU53+DivAmount*EXP(IntRate*(BU$2-ExDivPct)),ExDivTree!BU53))</f>
        <v>38.849870765799999</v>
      </c>
      <c r="BV53" s="17">
        <f>IF(BV$3="","",IF(AND(DivAs=2,BV$2&lt;ExDivPct),ExDivTree!BV53+DivAmount*EXP(IntRate*(BV$2-ExDivPct)),ExDivTree!BV53))</f>
        <v>40.025955821099998</v>
      </c>
      <c r="BW53" s="17">
        <f>IF(BW$3="","",IF(AND(DivAs=2,BW$2&lt;ExDivPct),ExDivTree!BW53+DivAmount*EXP(IntRate*(BW$2-ExDivPct)),ExDivTree!BW53))</f>
        <v>41.237643982100003</v>
      </c>
      <c r="BX53" s="17">
        <f>IF(BX$3="","",IF(AND(DivAs=2,BX$2&lt;ExDivPct),ExDivTree!BX53+DivAmount*EXP(IntRate*(BX$2-ExDivPct)),ExDivTree!BX53))</f>
        <v>42.486013045999997</v>
      </c>
      <c r="BY53" s="17">
        <f>IF(BY$3="","",IF(AND(DivAs=2,BY$2&lt;ExDivPct),ExDivTree!BY53+DivAmount*EXP(IntRate*(BY$2-ExDivPct)),ExDivTree!BY53))</f>
        <v>43.772173437699998</v>
      </c>
      <c r="BZ53" s="17">
        <f>IF(BZ$3="","",IF(AND(DivAs=2,BZ$2&lt;ExDivPct),ExDivTree!BZ53+DivAmount*EXP(IntRate*(BZ$2-ExDivPct)),ExDivTree!BZ53))</f>
        <v>45.097269197400003</v>
      </c>
      <c r="CA53" s="17">
        <f>IF(CA$3="","",IF(AND(DivAs=2,CA$2&lt;ExDivPct),ExDivTree!CA53+DivAmount*EXP(IntRate*(CA$2-ExDivPct)),ExDivTree!CA53))</f>
        <v>46.462478998400002</v>
      </c>
      <c r="CB53" s="17">
        <f>IF(CB$3="","",IF(AND(DivAs=2,CB$2&lt;ExDivPct),ExDivTree!CB53+DivAmount*EXP(IntRate*(CB$2-ExDivPct)),ExDivTree!CB53))</f>
        <v>47.869017195399998</v>
      </c>
      <c r="CC53" s="17">
        <f>IF(CC$3="","",IF(AND(DivAs=2,CC$2&lt;ExDivPct),ExDivTree!CC53+DivAmount*EXP(IntRate*(CC$2-ExDivPct)),ExDivTree!CC53))</f>
        <v>49.318134904799997</v>
      </c>
      <c r="CD53" s="17">
        <f>IF(CD$3="","",IF(AND(DivAs=2,CD$2&lt;ExDivPct),ExDivTree!CD53+DivAmount*EXP(IntRate*(CD$2-ExDivPct)),ExDivTree!CD53))</f>
        <v>50.811121117399999</v>
      </c>
      <c r="CE53" s="17">
        <f>IF(CE$3="","",IF(AND(DivAs=2,CE$2&lt;ExDivPct),ExDivTree!CE53+DivAmount*EXP(IntRate*(CE$2-ExDivPct)),ExDivTree!CE53))</f>
        <v>52.349303845199998</v>
      </c>
      <c r="CF53" s="17">
        <f>IF(CF$3="","",IF(AND(DivAs=2,CF$2&lt;ExDivPct),ExDivTree!CF53+DivAmount*EXP(IntRate*(CF$2-ExDivPct)),ExDivTree!CF53))</f>
        <v>53.934051302299999</v>
      </c>
      <c r="CG53" s="17">
        <f>IF(CG$3="","",IF(AND(DivAs=2,CG$2&lt;ExDivPct),ExDivTree!CG53+DivAmount*EXP(IntRate*(CG$2-ExDivPct)),ExDivTree!CG53))</f>
        <v>55.566773122400001</v>
      </c>
      <c r="CH53" s="17">
        <f>IF(CH$3="","",IF(AND(DivAs=2,CH$2&lt;ExDivPct),ExDivTree!CH53+DivAmount*EXP(IntRate*(CH$2-ExDivPct)),ExDivTree!CH53))</f>
        <v>57.2489216122</v>
      </c>
      <c r="CI53" s="17">
        <f>IF(CI$3="","",IF(AND(DivAs=2,CI$2&lt;ExDivPct),ExDivTree!CI53+DivAmount*EXP(IntRate*(CI$2-ExDivPct)),ExDivTree!CI53))</f>
        <v>58.981993043599999</v>
      </c>
      <c r="CJ53" s="17">
        <f>IF(CJ$3="","",IF(AND(DivAs=2,CJ$2&lt;ExDivPct),ExDivTree!CJ53+DivAmount*EXP(IntRate*(CJ$2-ExDivPct)),ExDivTree!CJ53))</f>
        <v>60.767528984400002</v>
      </c>
      <c r="CK53" s="17">
        <f>IF(CK$3="","",IF(AND(DivAs=2,CK$2&lt;ExDivPct),ExDivTree!CK53+DivAmount*EXP(IntRate*(CK$2-ExDivPct)),ExDivTree!CK53))</f>
        <v>62.607117669700003</v>
      </c>
      <c r="CL53" s="17">
        <f>IF(CL$3="","",IF(AND(DivAs=2,CL$2&lt;ExDivPct),ExDivTree!CL53+DivAmount*EXP(IntRate*(CL$2-ExDivPct)),ExDivTree!CL53))</f>
        <v>64.502395414399999</v>
      </c>
      <c r="CM53" s="17">
        <f>IF(CM$3="","",IF(AND(DivAs=2,CM$2&lt;ExDivPct),ExDivTree!CM53+DivAmount*EXP(IntRate*(CM$2-ExDivPct)),ExDivTree!CM53))</f>
        <v>66.455048068899998</v>
      </c>
      <c r="CN53" s="17">
        <f>IF(CN$3="","",IF(AND(DivAs=2,CN$2&lt;ExDivPct),ExDivTree!CN53+DivAmount*EXP(IntRate*(CN$2-ExDivPct)),ExDivTree!CN53))</f>
        <v>68.466812518599994</v>
      </c>
      <c r="CO53" s="17">
        <f>IF(CO$3="","",IF(AND(DivAs=2,CO$2&lt;ExDivPct),ExDivTree!CO53+DivAmount*EXP(IntRate*(CO$2-ExDivPct)),ExDivTree!CO53))</f>
        <v>70.539478228899995</v>
      </c>
      <c r="CP53" s="17">
        <f>IF(CP$3="","",IF(AND(DivAs=2,CP$2&lt;ExDivPct),ExDivTree!CP53+DivAmount*EXP(IntRate*(CP$2-ExDivPct)),ExDivTree!CP53))</f>
        <v>72.674888836899996</v>
      </c>
      <c r="CQ53" s="17">
        <f>IF(CQ$3="","",IF(AND(DivAs=2,CQ$2&lt;ExDivPct),ExDivTree!CQ53+DivAmount*EXP(IntRate*(CQ$2-ExDivPct)),ExDivTree!CQ53))</f>
        <v>74.874943791299998</v>
      </c>
      <c r="CR53" s="17">
        <f>IF(CR$3="","",IF(AND(DivAs=2,CR$2&lt;ExDivPct),ExDivTree!CR53+DivAmount*EXP(IntRate*(CR$2-ExDivPct)),ExDivTree!CR53))</f>
        <v>77.141600041900006</v>
      </c>
      <c r="CS53" s="17">
        <f>IF(CS$3="","",IF(AND(DivAs=2,CS$2&lt;ExDivPct),ExDivTree!CS53+DivAmount*EXP(IntRate*(CS$2-ExDivPct)),ExDivTree!CS53))</f>
        <v>79.476873780600002</v>
      </c>
      <c r="CT53" s="17">
        <f>IF(CT$3="","",IF(AND(DivAs=2,CT$2&lt;ExDivPct),ExDivTree!CT53+DivAmount*EXP(IntRate*(CT$2-ExDivPct)),ExDivTree!CT53))</f>
        <v>81.8828422343</v>
      </c>
      <c r="CU53" s="17">
        <f>IF(CU$3="","",IF(AND(DivAs=2,CU$2&lt;ExDivPct),ExDivTree!CU53+DivAmount*EXP(IntRate*(CU$2-ExDivPct)),ExDivTree!CU53))</f>
        <v>84.361645513100001</v>
      </c>
      <c r="CV53" s="17">
        <f>IF(CV$3="","",IF(AND(DivAs=2,CV$2&lt;ExDivPct),ExDivTree!CV53+DivAmount*EXP(IntRate*(CV$2-ExDivPct)),ExDivTree!CV53))</f>
        <v>86.915488513599996</v>
      </c>
      <c r="CW53" s="17">
        <f>IF(CW$3="","",IF(AND(DivAs=2,CW$2&lt;ExDivPct),ExDivTree!CW53+DivAmount*EXP(IntRate*(CW$2-ExDivPct)),ExDivTree!CW53))</f>
        <v>89.5466428804</v>
      </c>
      <c r="CX53" s="17">
        <f>IF(CX$3="","",IF(AND(DivAs=2,CX$2&lt;ExDivPct),ExDivTree!CX53+DivAmount*EXP(IntRate*(CX$2-ExDivPct)),ExDivTree!CX53))</f>
        <v>92.257449026399996</v>
      </c>
      <c r="CY53" s="17">
        <f>IF(CY$3="","",IF(AND(DivAs=2,CY$2&lt;ExDivPct),ExDivTree!CY53+DivAmount*EXP(IntRate*(CY$2-ExDivPct)),ExDivTree!CY53))</f>
        <v>95.050318214900003</v>
      </c>
      <c r="CZ53" s="17">
        <f>IF(CZ$3="","",IF(AND(DivAs=2,CZ$2&lt;ExDivPct),ExDivTree!CZ53+DivAmount*EXP(IntRate*(CZ$2-ExDivPct)),ExDivTree!CZ53))</f>
        <v>97.927734704299993</v>
      </c>
      <c r="DA53" s="17">
        <f>IF(DA$3="","",IF(AND(DivAs=2,DA$2&lt;ExDivPct),ExDivTree!DA53+DivAmount*EXP(IntRate*(DA$2-ExDivPct)),ExDivTree!DA53))</f>
        <v>100.8922579579</v>
      </c>
      <c r="DB53" s="17">
        <f>IF(DB$3="","",IF(AND(DivAs=2,DB$2&lt;ExDivPct),ExDivTree!DB53+DivAmount*EXP(IntRate*(DB$2-ExDivPct)),ExDivTree!DB53))</f>
        <v>103.94652492039999</v>
      </c>
    </row>
    <row r="54" spans="1:106" x14ac:dyDescent="0.2">
      <c r="A54">
        <f>ExDivTree!A54</f>
        <v>1.9980442743337221E+29</v>
      </c>
      <c r="B54" s="71">
        <f>ExDivTree!B54</f>
        <v>7.8808950746127981E-2</v>
      </c>
      <c r="C54" s="71">
        <f>ExDivTree!C54</f>
        <v>7.8990081789659244E-2</v>
      </c>
      <c r="D54" s="177">
        <f>ExDivTree!D54</f>
        <v>50</v>
      </c>
      <c r="BC54" s="17">
        <f>IF(BC$3="","",IF(AND(DivAs=2,BC$2&lt;ExDivPct),ExDivTree!BC54+DivAmount*EXP(IntRate*(BC$2-ExDivPct)),ExDivTree!BC54))</f>
        <v>21.396817155099999</v>
      </c>
      <c r="BD54" s="17">
        <f>IF(BD$3="","",IF(AND(DivAs=2,BD$2&lt;ExDivPct),ExDivTree!BD54+DivAmount*EXP(IntRate*(BD$2-ExDivPct)),ExDivTree!BD54))</f>
        <v>22.0445535926</v>
      </c>
      <c r="BE54" s="17">
        <f>IF(BE$3="","",IF(AND(DivAs=2,BE$2&lt;ExDivPct),ExDivTree!BE54+DivAmount*EXP(IntRate*(BE$2-ExDivPct)),ExDivTree!BE54))</f>
        <v>22.7118986704</v>
      </c>
      <c r="BF54" s="17">
        <f>IF(BF$3="","",IF(AND(DivAs=2,BF$2&lt;ExDivPct),ExDivTree!BF54+DivAmount*EXP(IntRate*(BF$2-ExDivPct)),ExDivTree!BF54))</f>
        <v>23.3994459924</v>
      </c>
      <c r="BG54" s="17">
        <f>IF(BG$3="","",IF(AND(DivAs=2,BG$2&lt;ExDivPct),ExDivTree!BG54+DivAmount*EXP(IntRate*(BG$2-ExDivPct)),ExDivTree!BG54))</f>
        <v>24.1078071321</v>
      </c>
      <c r="BH54" s="17">
        <f>IF(BH$3="","",IF(AND(DivAs=2,BH$2&lt;ExDivPct),ExDivTree!BH54+DivAmount*EXP(IntRate*(BH$2-ExDivPct)),ExDivTree!BH54))</f>
        <v>24.837612177099999</v>
      </c>
      <c r="BI54" s="17">
        <f>IF(BI$3="","",IF(AND(DivAs=2,BI$2&lt;ExDivPct),ExDivTree!BI54+DivAmount*EXP(IntRate*(BI$2-ExDivPct)),ExDivTree!BI54))</f>
        <v>25.5895102894</v>
      </c>
      <c r="BJ54" s="17">
        <f>IF(BJ$3="","",IF(AND(DivAs=2,BJ$2&lt;ExDivPct),ExDivTree!BJ54+DivAmount*EXP(IntRate*(BJ$2-ExDivPct)),ExDivTree!BJ54))</f>
        <v>26.3641702826</v>
      </c>
      <c r="BK54" s="17">
        <f>IF(BK$3="","",IF(AND(DivAs=2,BK$2&lt;ExDivPct),ExDivTree!BK54+DivAmount*EXP(IntRate*(BK$2-ExDivPct)),ExDivTree!BK54))</f>
        <v>27.1622812172</v>
      </c>
      <c r="BL54" s="17">
        <f>IF(BL$3="","",IF(AND(DivAs=2,BL$2&lt;ExDivPct),ExDivTree!BL54+DivAmount*EXP(IntRate*(BL$2-ExDivPct)),ExDivTree!BL54))</f>
        <v>27.984553013100001</v>
      </c>
      <c r="BM54" s="17">
        <f>IF(BM$3="","",IF(AND(DivAs=2,BM$2&lt;ExDivPct),ExDivTree!BM54+DivAmount*EXP(IntRate*(BM$2-ExDivPct)),ExDivTree!BM54))</f>
        <v>28.831717081600001</v>
      </c>
      <c r="BN54" s="17">
        <f>IF(BN$3="","",IF(AND(DivAs=2,BN$2&lt;ExDivPct),ExDivTree!BN54+DivAmount*EXP(IntRate*(BN$2-ExDivPct)),ExDivTree!BN54))</f>
        <v>29.7045269754</v>
      </c>
      <c r="BO54" s="17">
        <f>IF(BO$3="","",IF(AND(DivAs=2,BO$2&lt;ExDivPct),ExDivTree!BO54+DivAmount*EXP(IntRate*(BO$2-ExDivPct)),ExDivTree!BO54))</f>
        <v>30.603759059400002</v>
      </c>
      <c r="BP54" s="17">
        <f>IF(BP$3="","",IF(AND(DivAs=2,BP$2&lt;ExDivPct),ExDivTree!BP54+DivAmount*EXP(IntRate*(BP$2-ExDivPct)),ExDivTree!BP54))</f>
        <v>31.530213200799999</v>
      </c>
      <c r="BQ54" s="17">
        <f>IF(BQ$3="","",IF(AND(DivAs=2,BQ$2&lt;ExDivPct),ExDivTree!BQ54+DivAmount*EXP(IntRate*(BQ$2-ExDivPct)),ExDivTree!BQ54))</f>
        <v>32.484713481100002</v>
      </c>
      <c r="BR54" s="17">
        <f>IF(BR$3="","",IF(AND(DivAs=2,BR$2&lt;ExDivPct),ExDivTree!BR54+DivAmount*EXP(IntRate*(BR$2-ExDivPct)),ExDivTree!BR54))</f>
        <v>33.468108928699998</v>
      </c>
      <c r="BS54" s="17">
        <f>IF(BS$3="","",IF(AND(DivAs=2,BS$2&lt;ExDivPct),ExDivTree!BS54+DivAmount*EXP(IntRate*(BS$2-ExDivPct)),ExDivTree!BS54))</f>
        <v>34.481274274299999</v>
      </c>
      <c r="BT54" s="17">
        <f>IF(BT$3="","",IF(AND(DivAs=2,BT$2&lt;ExDivPct),ExDivTree!BT54+DivAmount*EXP(IntRate*(BT$2-ExDivPct)),ExDivTree!BT54))</f>
        <v>35.525110728900003</v>
      </c>
      <c r="BU54" s="17">
        <f>IF(BU$3="","",IF(AND(DivAs=2,BU$2&lt;ExDivPct),ExDivTree!BU54+DivAmount*EXP(IntRate*(BU$2-ExDivPct)),ExDivTree!BU54))</f>
        <v>36.600546785500001</v>
      </c>
      <c r="BV54" s="17">
        <f>IF(BV$3="","",IF(AND(DivAs=2,BV$2&lt;ExDivPct),ExDivTree!BV54+DivAmount*EXP(IntRate*(BV$2-ExDivPct)),ExDivTree!BV54))</f>
        <v>37.708539045000002</v>
      </c>
      <c r="BW54" s="17">
        <f>IF(BW$3="","",IF(AND(DivAs=2,BW$2&lt;ExDivPct),ExDivTree!BW54+DivAmount*EXP(IntRate*(BW$2-ExDivPct)),ExDivTree!BW54))</f>
        <v>38.850073066900002</v>
      </c>
      <c r="BX54" s="17">
        <f>IF(BX$3="","",IF(AND(DivAs=2,BX$2&lt;ExDivPct),ExDivTree!BX54+DivAmount*EXP(IntRate*(BX$2-ExDivPct)),ExDivTree!BX54))</f>
        <v>40.0261642464</v>
      </c>
      <c r="BY54" s="17">
        <f>IF(BY$3="","",IF(AND(DivAs=2,BY$2&lt;ExDivPct),ExDivTree!BY54+DivAmount*EXP(IntRate*(BY$2-ExDivPct)),ExDivTree!BY54))</f>
        <v>41.237858717000002</v>
      </c>
      <c r="BZ54" s="17">
        <f>IF(BZ$3="","",IF(AND(DivAs=2,BZ$2&lt;ExDivPct),ExDivTree!BZ54+DivAmount*EXP(IntRate*(BZ$2-ExDivPct)),ExDivTree!BZ54))</f>
        <v>42.486234281500003</v>
      </c>
      <c r="CA54" s="17">
        <f>IF(CA$3="","",IF(AND(DivAs=2,CA$2&lt;ExDivPct),ExDivTree!CA54+DivAmount*EXP(IntRate*(CA$2-ExDivPct)),ExDivTree!CA54))</f>
        <v>43.772401370600001</v>
      </c>
      <c r="CB54" s="17">
        <f>IF(CB$3="","",IF(AND(DivAs=2,CB$2&lt;ExDivPct),ExDivTree!CB54+DivAmount*EXP(IntRate*(CB$2-ExDivPct)),ExDivTree!CB54))</f>
        <v>45.097504030400003</v>
      </c>
      <c r="CC54" s="17">
        <f>IF(CC$3="","",IF(AND(DivAs=2,CC$2&lt;ExDivPct),ExDivTree!CC54+DivAmount*EXP(IntRate*(CC$2-ExDivPct)),ExDivTree!CC54))</f>
        <v>46.462720940399997</v>
      </c>
      <c r="CD54" s="17">
        <f>IF(CD$3="","",IF(AND(DivAs=2,CD$2&lt;ExDivPct),ExDivTree!CD54+DivAmount*EXP(IntRate*(CD$2-ExDivPct)),ExDivTree!CD54))</f>
        <v>47.869266461599999</v>
      </c>
      <c r="CE54" s="17">
        <f>IF(CE$3="","",IF(AND(DivAs=2,CE$2&lt;ExDivPct),ExDivTree!CE54+DivAmount*EXP(IntRate*(CE$2-ExDivPct)),ExDivTree!CE54))</f>
        <v>49.318391716900003</v>
      </c>
      <c r="CF54" s="17">
        <f>IF(CF$3="","",IF(AND(DivAs=2,CF$2&lt;ExDivPct),ExDivTree!CF54+DivAmount*EXP(IntRate*(CF$2-ExDivPct)),ExDivTree!CF54))</f>
        <v>50.811385703900001</v>
      </c>
      <c r="CG54" s="17">
        <f>IF(CG$3="","",IF(AND(DivAs=2,CG$2&lt;ExDivPct),ExDivTree!CG54+DivAmount*EXP(IntRate*(CG$2-ExDivPct)),ExDivTree!CG54))</f>
        <v>52.349576441400004</v>
      </c>
      <c r="CH54" s="17">
        <f>IF(CH$3="","",IF(AND(DivAs=2,CH$2&lt;ExDivPct),ExDivTree!CH54+DivAmount*EXP(IntRate*(CH$2-ExDivPct)),ExDivTree!CH54))</f>
        <v>53.934332150700001</v>
      </c>
      <c r="CI54" s="17">
        <f>IF(CI$3="","",IF(AND(DivAs=2,CI$2&lt;ExDivPct),ExDivTree!CI54+DivAmount*EXP(IntRate*(CI$2-ExDivPct)),ExDivTree!CI54))</f>
        <v>55.567062472800004</v>
      </c>
      <c r="CJ54" s="17">
        <f>IF(CJ$3="","",IF(AND(DivAs=2,CJ$2&lt;ExDivPct),ExDivTree!CJ54+DivAmount*EXP(IntRate*(CJ$2-ExDivPct)),ExDivTree!CJ54))</f>
        <v>57.249219721999999</v>
      </c>
      <c r="CK54" s="17">
        <f>IF(CK$3="","",IF(AND(DivAs=2,CK$2&lt;ExDivPct),ExDivTree!CK54+DivAmount*EXP(IntRate*(CK$2-ExDivPct)),ExDivTree!CK54))</f>
        <v>58.982300178000003</v>
      </c>
      <c r="CL54" s="17">
        <f>IF(CL$3="","",IF(AND(DivAs=2,CL$2&lt;ExDivPct),ExDivTree!CL54+DivAmount*EXP(IntRate*(CL$2-ExDivPct)),ExDivTree!CL54))</f>
        <v>60.767845416599997</v>
      </c>
      <c r="CM54" s="17">
        <f>IF(CM$3="","",IF(AND(DivAs=2,CM$2&lt;ExDivPct),ExDivTree!CM54+DivAmount*EXP(IntRate*(CM$2-ExDivPct)),ExDivTree!CM54))</f>
        <v>62.607443681100001</v>
      </c>
      <c r="CN54" s="17">
        <f>IF(CN$3="","",IF(AND(DivAs=2,CN$2&lt;ExDivPct),ExDivTree!CN54+DivAmount*EXP(IntRate*(CN$2-ExDivPct)),ExDivTree!CN54))</f>
        <v>64.502731295000004</v>
      </c>
      <c r="CO54" s="17">
        <f>IF(CO$3="","",IF(AND(DivAs=2,CO$2&lt;ExDivPct),ExDivTree!CO54+DivAmount*EXP(IntRate*(CO$2-ExDivPct)),ExDivTree!CO54))</f>
        <v>66.455394117400004</v>
      </c>
      <c r="CP54" s="17">
        <f>IF(CP$3="","",IF(AND(DivAs=2,CP$2&lt;ExDivPct),ExDivTree!CP54+DivAmount*EXP(IntRate*(CP$2-ExDivPct)),ExDivTree!CP54))</f>
        <v>68.467169042899997</v>
      </c>
      <c r="CQ54" s="17">
        <f>IF(CQ$3="","",IF(AND(DivAs=2,CQ$2&lt;ExDivPct),ExDivTree!CQ54+DivAmount*EXP(IntRate*(CQ$2-ExDivPct)),ExDivTree!CQ54))</f>
        <v>70.539845546099997</v>
      </c>
      <c r="CR54" s="17">
        <f>IF(CR$3="","",IF(AND(DivAs=2,CR$2&lt;ExDivPct),ExDivTree!CR54+DivAmount*EXP(IntRate*(CR$2-ExDivPct)),ExDivTree!CR54))</f>
        <v>72.675267273700001</v>
      </c>
      <c r="CS54" s="17">
        <f>IF(CS$3="","",IF(AND(DivAs=2,CS$2&lt;ExDivPct),ExDivTree!CS54+DivAmount*EXP(IntRate*(CS$2-ExDivPct)),ExDivTree!CS54))</f>
        <v>74.875333684300003</v>
      </c>
      <c r="CT54" s="17">
        <f>IF(CT$3="","",IF(AND(DivAs=2,CT$2&lt;ExDivPct),ExDivTree!CT54+DivAmount*EXP(IntRate*(CT$2-ExDivPct)),ExDivTree!CT54))</f>
        <v>77.142001738000005</v>
      </c>
      <c r="CU54" s="17">
        <f>IF(CU$3="","",IF(AND(DivAs=2,CU$2&lt;ExDivPct),ExDivTree!CU54+DivAmount*EXP(IntRate*(CU$2-ExDivPct)),ExDivTree!CU54))</f>
        <v>79.477287637000003</v>
      </c>
      <c r="CV54" s="17">
        <f>IF(CV$3="","",IF(AND(DivAs=2,CV$2&lt;ExDivPct),ExDivTree!CV54+DivAmount*EXP(IntRate*(CV$2-ExDivPct)),ExDivTree!CV54))</f>
        <v>81.883268619199995</v>
      </c>
      <c r="CW54" s="17">
        <f>IF(CW$3="","",IF(AND(DivAs=2,CW$2&lt;ExDivPct),ExDivTree!CW54+DivAmount*EXP(IntRate*(CW$2-ExDivPct)),ExDivTree!CW54))</f>
        <v>84.362084805799995</v>
      </c>
      <c r="CX54" s="17">
        <f>IF(CX$3="","",IF(AND(DivAs=2,CX$2&lt;ExDivPct),ExDivTree!CX54+DivAmount*EXP(IntRate*(CX$2-ExDivPct)),ExDivTree!CX54))</f>
        <v>86.915941104799998</v>
      </c>
      <c r="CY54" s="17">
        <f>IF(CY$3="","",IF(AND(DivAs=2,CY$2&lt;ExDivPct),ExDivTree!CY54+DivAmount*EXP(IntRate*(CY$2-ExDivPct)),ExDivTree!CY54))</f>
        <v>89.547109172600003</v>
      </c>
      <c r="CZ54" s="17">
        <f>IF(CZ$3="","",IF(AND(DivAs=2,CZ$2&lt;ExDivPct),ExDivTree!CZ54+DivAmount*EXP(IntRate*(CZ$2-ExDivPct)),ExDivTree!CZ54))</f>
        <v>92.257929434399998</v>
      </c>
      <c r="DA54" s="17">
        <f>IF(DA$3="","",IF(AND(DivAs=2,DA$2&lt;ExDivPct),ExDivTree!DA54+DivAmount*EXP(IntRate*(DA$2-ExDivPct)),ExDivTree!DA54))</f>
        <v>95.050813166099999</v>
      </c>
      <c r="DB54" s="17">
        <f>IF(DB$3="","",IF(AND(DivAs=2,DB$2&lt;ExDivPct),ExDivTree!DB54+DivAmount*EXP(IntRate*(DB$2-ExDivPct)),ExDivTree!DB54))</f>
        <v>97.928244638899997</v>
      </c>
    </row>
    <row r="55" spans="1:106" x14ac:dyDescent="0.2">
      <c r="A55">
        <f>ExDivTree!A55</f>
        <v>1.9980442743337221E+29</v>
      </c>
      <c r="B55" s="71">
        <f>ExDivTree!B55</f>
        <v>7.8808950746127981E-2</v>
      </c>
      <c r="C55" s="71">
        <f>ExDivTree!C55</f>
        <v>7.8572465660599763E-2</v>
      </c>
      <c r="D55" s="177">
        <f>ExDivTree!D55</f>
        <v>51</v>
      </c>
      <c r="BD55" s="17">
        <f>IF(BD$3="","",IF(AND(DivAs=2,BD$2&lt;ExDivPct),ExDivTree!BD55+DivAmount*EXP(IntRate*(BD$2-ExDivPct)),ExDivTree!BD55))</f>
        <v>20.7682213408</v>
      </c>
      <c r="BE55" s="17">
        <f>IF(BE$3="","",IF(AND(DivAs=2,BE$2&lt;ExDivPct),ExDivTree!BE55+DivAmount*EXP(IntRate*(BE$2-ExDivPct)),ExDivTree!BE55))</f>
        <v>21.3969285736</v>
      </c>
      <c r="BF55" s="17">
        <f>IF(BF$3="","",IF(AND(DivAs=2,BF$2&lt;ExDivPct),ExDivTree!BF55+DivAmount*EXP(IntRate*(BF$2-ExDivPct)),ExDivTree!BF55))</f>
        <v>22.044668384000001</v>
      </c>
      <c r="BG55" s="17">
        <f>IF(BG$3="","",IF(AND(DivAs=2,BG$2&lt;ExDivPct),ExDivTree!BG55+DivAmount*EXP(IntRate*(BG$2-ExDivPct)),ExDivTree!BG55))</f>
        <v>22.7120169369</v>
      </c>
      <c r="BH55" s="17">
        <f>IF(BH$3="","",IF(AND(DivAs=2,BH$2&lt;ExDivPct),ExDivTree!BH55+DivAmount*EXP(IntRate*(BH$2-ExDivPct)),ExDivTree!BH55))</f>
        <v>23.399567839100001</v>
      </c>
      <c r="BI55" s="17">
        <f>IF(BI$3="","",IF(AND(DivAs=2,BI$2&lt;ExDivPct),ExDivTree!BI55+DivAmount*EXP(IntRate*(BI$2-ExDivPct)),ExDivTree!BI55))</f>
        <v>24.1079326674</v>
      </c>
      <c r="BJ55" s="17">
        <f>IF(BJ$3="","",IF(AND(DivAs=2,BJ$2&lt;ExDivPct),ExDivTree!BJ55+DivAmount*EXP(IntRate*(BJ$2-ExDivPct)),ExDivTree!BJ55))</f>
        <v>24.837741512699999</v>
      </c>
      <c r="BK55" s="17">
        <f>IF(BK$3="","",IF(AND(DivAs=2,BK$2&lt;ExDivPct),ExDivTree!BK55+DivAmount*EXP(IntRate*(BK$2-ExDivPct)),ExDivTree!BK55))</f>
        <v>25.589643540299999</v>
      </c>
      <c r="BL55" s="17">
        <f>IF(BL$3="","",IF(AND(DivAs=2,BL$2&lt;ExDivPct),ExDivTree!BL55+DivAmount*EXP(IntRate*(BL$2-ExDivPct)),ExDivTree!BL55))</f>
        <v>26.364307567299999</v>
      </c>
      <c r="BM55" s="17">
        <f>IF(BM$3="","",IF(AND(DivAs=2,BM$2&lt;ExDivPct),ExDivTree!BM55+DivAmount*EXP(IntRate*(BM$2-ExDivPct)),ExDivTree!BM55))</f>
        <v>27.162422657800001</v>
      </c>
      <c r="BN55" s="17">
        <f>IF(BN$3="","",IF(AND(DivAs=2,BN$2&lt;ExDivPct),ExDivTree!BN55+DivAmount*EXP(IntRate*(BN$2-ExDivPct)),ExDivTree!BN55))</f>
        <v>27.9846987355</v>
      </c>
      <c r="BO55" s="17">
        <f>IF(BO$3="","",IF(AND(DivAs=2,BO$2&lt;ExDivPct),ExDivTree!BO55+DivAmount*EXP(IntRate*(BO$2-ExDivPct)),ExDivTree!BO55))</f>
        <v>28.831867215399999</v>
      </c>
      <c r="BP55" s="17">
        <f>IF(BP$3="","",IF(AND(DivAs=2,BP$2&lt;ExDivPct),ExDivTree!BP55+DivAmount*EXP(IntRate*(BP$2-ExDivPct)),ExDivTree!BP55))</f>
        <v>29.7046816541</v>
      </c>
      <c r="BQ55" s="17">
        <f>IF(BQ$3="","",IF(AND(DivAs=2,BQ$2&lt;ExDivPct),ExDivTree!BQ55+DivAmount*EXP(IntRate*(BQ$2-ExDivPct)),ExDivTree!BQ55))</f>
        <v>30.603918420599999</v>
      </c>
      <c r="BR55" s="17">
        <f>IF(BR$3="","",IF(AND(DivAs=2,BR$2&lt;ExDivPct),ExDivTree!BR55+DivAmount*EXP(IntRate*(BR$2-ExDivPct)),ExDivTree!BR55))</f>
        <v>31.5303773863</v>
      </c>
      <c r="BS55" s="17">
        <f>IF(BS$3="","",IF(AND(DivAs=2,BS$2&lt;ExDivPct),ExDivTree!BS55+DivAmount*EXP(IntRate*(BS$2-ExDivPct)),ExDivTree!BS55))</f>
        <v>32.484882636899997</v>
      </c>
      <c r="BT55" s="17">
        <f>IF(BT$3="","",IF(AND(DivAs=2,BT$2&lt;ExDivPct),ExDivTree!BT55+DivAmount*EXP(IntRate*(BT$2-ExDivPct)),ExDivTree!BT55))</f>
        <v>33.468283205299997</v>
      </c>
      <c r="BU55" s="17">
        <f>IF(BU$3="","",IF(AND(DivAs=2,BU$2&lt;ExDivPct),ExDivTree!BU55+DivAmount*EXP(IntRate*(BU$2-ExDivPct)),ExDivTree!BU55))</f>
        <v>34.481453826699997</v>
      </c>
      <c r="BV55" s="17">
        <f>IF(BV$3="","",IF(AND(DivAs=2,BV$2&lt;ExDivPct),ExDivTree!BV55+DivAmount*EXP(IntRate*(BV$2-ExDivPct)),ExDivTree!BV55))</f>
        <v>35.525295716800002</v>
      </c>
      <c r="BW55" s="17">
        <f>IF(BW$3="","",IF(AND(DivAs=2,BW$2&lt;ExDivPct),ExDivTree!BW55+DivAmount*EXP(IntRate*(BW$2-ExDivPct)),ExDivTree!BW55))</f>
        <v>36.600737373400001</v>
      </c>
      <c r="BX55" s="17">
        <f>IF(BX$3="","",IF(AND(DivAs=2,BX$2&lt;ExDivPct),ExDivTree!BX55+DivAmount*EXP(IntRate*(BX$2-ExDivPct)),ExDivTree!BX55))</f>
        <v>37.708735402400002</v>
      </c>
      <c r="BY55" s="17">
        <f>IF(BY$3="","",IF(AND(DivAs=2,BY$2&lt;ExDivPct),ExDivTree!BY55+DivAmount*EXP(IntRate*(BY$2-ExDivPct)),ExDivTree!BY55))</f>
        <v>38.850275368600002</v>
      </c>
      <c r="BZ55" s="17">
        <f>IF(BZ$3="","",IF(AND(DivAs=2,BZ$2&lt;ExDivPct),ExDivTree!BZ55+DivAmount*EXP(IntRate*(BZ$2-ExDivPct)),ExDivTree!BZ55))</f>
        <v>40.026372672199997</v>
      </c>
      <c r="CA55" s="17">
        <f>IF(CA$3="","",IF(AND(DivAs=2,CA$2&lt;ExDivPct),ExDivTree!CA55+DivAmount*EXP(IntRate*(CA$2-ExDivPct)),ExDivTree!CA55))</f>
        <v>41.238073452400002</v>
      </c>
      <c r="CB55" s="17">
        <f>IF(CB$3="","",IF(AND(DivAs=2,CB$2&lt;ExDivPct),ExDivTree!CB55+DivAmount*EXP(IntRate*(CB$2-ExDivPct)),ExDivTree!CB55))</f>
        <v>42.486455517499998</v>
      </c>
      <c r="CC55" s="17">
        <f>IF(CC$3="","",IF(AND(DivAs=2,CC$2&lt;ExDivPct),ExDivTree!CC55+DivAmount*EXP(IntRate*(CC$2-ExDivPct)),ExDivTree!CC55))</f>
        <v>43.772629303999999</v>
      </c>
      <c r="CD55" s="17">
        <f>IF(CD$3="","",IF(AND(DivAs=2,CD$2&lt;ExDivPct),ExDivTree!CD55+DivAmount*EXP(IntRate*(CD$2-ExDivPct)),ExDivTree!CD55))</f>
        <v>45.097738864</v>
      </c>
      <c r="CE55" s="17">
        <f>IF(CE$3="","",IF(AND(DivAs=2,CE$2&lt;ExDivPct),ExDivTree!CE55+DivAmount*EXP(IntRate*(CE$2-ExDivPct)),ExDivTree!CE55))</f>
        <v>46.462962883000003</v>
      </c>
      <c r="CF55" s="17">
        <f>IF(CF$3="","",IF(AND(DivAs=2,CF$2&lt;ExDivPct),ExDivTree!CF55+DivAmount*EXP(IntRate*(CF$2-ExDivPct)),ExDivTree!CF55))</f>
        <v>47.869515728400003</v>
      </c>
      <c r="CG55" s="17">
        <f>IF(CG$3="","",IF(AND(DivAs=2,CG$2&lt;ExDivPct),ExDivTree!CG55+DivAmount*EXP(IntRate*(CG$2-ExDivPct)),ExDivTree!CG55))</f>
        <v>49.318648529699999</v>
      </c>
      <c r="CH55" s="17">
        <f>IF(CH$3="","",IF(AND(DivAs=2,CH$2&lt;ExDivPct),ExDivTree!CH55+DivAmount*EXP(IntRate*(CH$2-ExDivPct)),ExDivTree!CH55))</f>
        <v>50.811650291100001</v>
      </c>
      <c r="CI55" s="17">
        <f>IF(CI$3="","",IF(AND(DivAs=2,CI$2&lt;ExDivPct),ExDivTree!CI55+DivAmount*EXP(IntRate*(CI$2-ExDivPct)),ExDivTree!CI55))</f>
        <v>52.3498490383</v>
      </c>
      <c r="CJ55" s="17">
        <f>IF(CJ$3="","",IF(AND(DivAs=2,CJ$2&lt;ExDivPct),ExDivTree!CJ55+DivAmount*EXP(IntRate*(CJ$2-ExDivPct)),ExDivTree!CJ55))</f>
        <v>53.934612999800002</v>
      </c>
      <c r="CK55" s="17">
        <f>IF(CK$3="","",IF(AND(DivAs=2,CK$2&lt;ExDivPct),ExDivTree!CK55+DivAmount*EXP(IntRate*(CK$2-ExDivPct)),ExDivTree!CK55))</f>
        <v>55.567351823899997</v>
      </c>
      <c r="CL55" s="17">
        <f>IF(CL$3="","",IF(AND(DivAs=2,CL$2&lt;ExDivPct),ExDivTree!CL55+DivAmount*EXP(IntRate*(CL$2-ExDivPct)),ExDivTree!CL55))</f>
        <v>57.249517832499997</v>
      </c>
      <c r="CM55" s="17">
        <f>IF(CM$3="","",IF(AND(DivAs=2,CM$2&lt;ExDivPct),ExDivTree!CM55+DivAmount*EXP(IntRate*(CM$2-ExDivPct)),ExDivTree!CM55))</f>
        <v>58.982607313000003</v>
      </c>
      <c r="CN55" s="17">
        <f>IF(CN$3="","",IF(AND(DivAs=2,CN$2&lt;ExDivPct),ExDivTree!CN55+DivAmount*EXP(IntRate*(CN$2-ExDivPct)),ExDivTree!CN55))</f>
        <v>60.7681618493</v>
      </c>
      <c r="CO55" s="17">
        <f>IF(CO$3="","",IF(AND(DivAs=2,CO$2&lt;ExDivPct),ExDivTree!CO55+DivAmount*EXP(IntRate*(CO$2-ExDivPct)),ExDivTree!CO55))</f>
        <v>62.607769693000002</v>
      </c>
      <c r="CP55" s="17">
        <f>IF(CP$3="","",IF(AND(DivAs=2,CP$2&lt;ExDivPct),ExDivTree!CP55+DivAmount*EXP(IntRate*(CP$2-ExDivPct)),ExDivTree!CP55))</f>
        <v>64.503067176100004</v>
      </c>
      <c r="CQ55" s="17">
        <f>IF(CQ$3="","",IF(AND(DivAs=2,CQ$2&lt;ExDivPct),ExDivTree!CQ55+DivAmount*EXP(IntRate*(CQ$2-ExDivPct)),ExDivTree!CQ55))</f>
        <v>66.455740166499993</v>
      </c>
      <c r="CR55" s="17">
        <f>IF(CR$3="","",IF(AND(DivAs=2,CR$2&lt;ExDivPct),ExDivTree!CR55+DivAmount*EXP(IntRate*(CR$2-ExDivPct)),ExDivTree!CR55))</f>
        <v>68.467525567799996</v>
      </c>
      <c r="CS55" s="17">
        <f>IF(CS$3="","",IF(AND(DivAs=2,CS$2&lt;ExDivPct),ExDivTree!CS55+DivAmount*EXP(IntRate*(CS$2-ExDivPct)),ExDivTree!CS55))</f>
        <v>70.540212863899995</v>
      </c>
      <c r="CT55" s="17">
        <f>IF(CT$3="","",IF(AND(DivAs=2,CT$2&lt;ExDivPct),ExDivTree!CT55+DivAmount*EXP(IntRate*(CT$2-ExDivPct)),ExDivTree!CT55))</f>
        <v>72.675645711200005</v>
      </c>
      <c r="CU55" s="17">
        <f>IF(CU$3="","",IF(AND(DivAs=2,CU$2&lt;ExDivPct),ExDivTree!CU55+DivAmount*EXP(IntRate*(CU$2-ExDivPct)),ExDivTree!CU55))</f>
        <v>74.875723578099993</v>
      </c>
      <c r="CV55" s="17">
        <f>IF(CV$3="","",IF(AND(DivAs=2,CV$2&lt;ExDivPct),ExDivTree!CV55+DivAmount*EXP(IntRate*(CV$2-ExDivPct)),ExDivTree!CV55))</f>
        <v>77.142403434900004</v>
      </c>
      <c r="CW55" s="17">
        <f>IF(CW$3="","",IF(AND(DivAs=2,CW$2&lt;ExDivPct),ExDivTree!CW55+DivAmount*EXP(IntRate*(CW$2-ExDivPct)),ExDivTree!CW55))</f>
        <v>79.477701494300007</v>
      </c>
      <c r="CX55" s="17">
        <f>IF(CX$3="","",IF(AND(DivAs=2,CX$2&lt;ExDivPct),ExDivTree!CX55+DivAmount*EXP(IntRate*(CX$2-ExDivPct)),ExDivTree!CX55))</f>
        <v>81.883695005000007</v>
      </c>
      <c r="CY55" s="17">
        <f>IF(CY$3="","",IF(AND(DivAs=2,CY$2&lt;ExDivPct),ExDivTree!CY55+DivAmount*EXP(IntRate*(CY$2-ExDivPct)),ExDivTree!CY55))</f>
        <v>84.362524099400005</v>
      </c>
      <c r="CZ55" s="17">
        <f>IF(CZ$3="","",IF(AND(DivAs=2,CZ$2&lt;ExDivPct),ExDivTree!CZ55+DivAmount*EXP(IntRate*(CZ$2-ExDivPct)),ExDivTree!CZ55))</f>
        <v>86.916393697000004</v>
      </c>
      <c r="DA55" s="17">
        <f>IF(DA$3="","",IF(AND(DivAs=2,DA$2&lt;ExDivPct),ExDivTree!DA55+DivAmount*EXP(IntRate*(DA$2-ExDivPct)),ExDivTree!DA55))</f>
        <v>89.547575465999998</v>
      </c>
      <c r="DB55" s="17">
        <f>IF(DB$3="","",IF(AND(DivAs=2,DB$2&lt;ExDivPct),ExDivTree!DB55+DivAmount*EXP(IntRate*(DB$2-ExDivPct)),ExDivTree!DB55))</f>
        <v>92.258409843699994</v>
      </c>
    </row>
    <row r="56" spans="1:106" x14ac:dyDescent="0.2">
      <c r="A56">
        <f>ExDivTree!A56</f>
        <v>1.9211964176285804E+29</v>
      </c>
      <c r="B56" s="71">
        <f>ExDivTree!B56</f>
        <v>7.577783725589235E-2</v>
      </c>
      <c r="C56" s="71">
        <f>ExDivTree!C56</f>
        <v>7.5151016773630508E-2</v>
      </c>
      <c r="D56" s="177">
        <f>ExDivTree!D56</f>
        <v>52</v>
      </c>
      <c r="BE56" s="17">
        <f>IF(BE$3="","",IF(AND(DivAs=2,BE$2&lt;ExDivPct),ExDivTree!BE56+DivAmount*EXP(IntRate*(BE$2-ExDivPct)),ExDivTree!BE56))</f>
        <v>20.158092417900001</v>
      </c>
      <c r="BF56" s="17">
        <f>IF(BF$3="","",IF(AND(DivAs=2,BF$2&lt;ExDivPct),ExDivTree!BF56+DivAmount*EXP(IntRate*(BF$2-ExDivPct)),ExDivTree!BF56))</f>
        <v>20.768329486100001</v>
      </c>
      <c r="BG56" s="17">
        <f>IF(BG$3="","",IF(AND(DivAs=2,BG$2&lt;ExDivPct),ExDivTree!BG56+DivAmount*EXP(IntRate*(BG$2-ExDivPct)),ExDivTree!BG56))</f>
        <v>21.397039992700002</v>
      </c>
      <c r="BH56" s="17">
        <f>IF(BH$3="","",IF(AND(DivAs=2,BH$2&lt;ExDivPct),ExDivTree!BH56+DivAmount*EXP(IntRate*(BH$2-ExDivPct)),ExDivTree!BH56))</f>
        <v>22.044783176100001</v>
      </c>
      <c r="BI56" s="17">
        <f>IF(BI$3="","",IF(AND(DivAs=2,BI$2&lt;ExDivPct),ExDivTree!BI56+DivAmount*EXP(IntRate*(BI$2-ExDivPct)),ExDivTree!BI56))</f>
        <v>22.712135203999999</v>
      </c>
      <c r="BJ56" s="17">
        <f>IF(BJ$3="","",IF(AND(DivAs=2,BJ$2&lt;ExDivPct),ExDivTree!BJ56+DivAmount*EXP(IntRate*(BJ$2-ExDivPct)),ExDivTree!BJ56))</f>
        <v>23.399689686399999</v>
      </c>
      <c r="BK56" s="17">
        <f>IF(BK$3="","",IF(AND(DivAs=2,BK$2&lt;ExDivPct),ExDivTree!BK56+DivAmount*EXP(IntRate*(BK$2-ExDivPct)),ExDivTree!BK56))</f>
        <v>24.108058203399999</v>
      </c>
      <c r="BL56" s="17">
        <f>IF(BL$3="","",IF(AND(DivAs=2,BL$2&lt;ExDivPct),ExDivTree!BL56+DivAmount*EXP(IntRate*(BL$2-ExDivPct)),ExDivTree!BL56))</f>
        <v>24.837870849000002</v>
      </c>
      <c r="BM56" s="17">
        <f>IF(BM$3="","",IF(AND(DivAs=2,BM$2&lt;ExDivPct),ExDivTree!BM56+DivAmount*EXP(IntRate*(BM$2-ExDivPct)),ExDivTree!BM56))</f>
        <v>25.5897767919</v>
      </c>
      <c r="BN56" s="17">
        <f>IF(BN$3="","",IF(AND(DivAs=2,BN$2&lt;ExDivPct),ExDivTree!BN56+DivAmount*EXP(IntRate*(BN$2-ExDivPct)),ExDivTree!BN56))</f>
        <v>26.364444852799998</v>
      </c>
      <c r="BO56" s="17">
        <f>IF(BO$3="","",IF(AND(DivAs=2,BO$2&lt;ExDivPct),ExDivTree!BO56+DivAmount*EXP(IntRate*(BO$2-ExDivPct)),ExDivTree!BO56))</f>
        <v>27.162564099299999</v>
      </c>
      <c r="BP56" s="17">
        <f>IF(BP$3="","",IF(AND(DivAs=2,BP$2&lt;ExDivPct),ExDivTree!BP56+DivAmount*EXP(IntRate*(BP$2-ExDivPct)),ExDivTree!BP56))</f>
        <v>27.984844458800001</v>
      </c>
      <c r="BQ56" s="17">
        <f>IF(BQ$3="","",IF(AND(DivAs=2,BQ$2&lt;ExDivPct),ExDivTree!BQ56+DivAmount*EXP(IntRate*(BQ$2-ExDivPct)),ExDivTree!BQ56))</f>
        <v>28.832017350099999</v>
      </c>
      <c r="BR56" s="17">
        <f>IF(BR$3="","",IF(AND(DivAs=2,BR$2&lt;ExDivPct),ExDivTree!BR56+DivAmount*EXP(IntRate*(BR$2-ExDivPct)),ExDivTree!BR56))</f>
        <v>29.704836333799999</v>
      </c>
      <c r="BS56" s="17">
        <f>IF(BS$3="","",IF(AND(DivAs=2,BS$2&lt;ExDivPct),ExDivTree!BS56+DivAmount*EXP(IntRate*(BS$2-ExDivPct)),ExDivTree!BS56))</f>
        <v>30.604077782800001</v>
      </c>
      <c r="BT56" s="17">
        <f>IF(BT$3="","",IF(AND(DivAs=2,BT$2&lt;ExDivPct),ExDivTree!BT56+DivAmount*EXP(IntRate*(BT$2-ExDivPct)),ExDivTree!BT56))</f>
        <v>31.530541572800001</v>
      </c>
      <c r="BU56" s="17">
        <f>IF(BU$3="","",IF(AND(DivAs=2,BU$2&lt;ExDivPct),ExDivTree!BU56+DivAmount*EXP(IntRate*(BU$2-ExDivPct)),ExDivTree!BU56))</f>
        <v>32.485051793799997</v>
      </c>
      <c r="BV56" s="17">
        <f>IF(BV$3="","",IF(AND(DivAs=2,BV$2&lt;ExDivPct),ExDivTree!BV56+DivAmount*EXP(IntRate*(BV$2-ExDivPct)),ExDivTree!BV56))</f>
        <v>33.468457483000002</v>
      </c>
      <c r="BW56" s="17">
        <f>IF(BW$3="","",IF(AND(DivAs=2,BW$2&lt;ExDivPct),ExDivTree!BW56+DivAmount*EXP(IntRate*(BW$2-ExDivPct)),ExDivTree!BW56))</f>
        <v>34.481633380200002</v>
      </c>
      <c r="BX56" s="17">
        <f>IF(BX$3="","",IF(AND(DivAs=2,BX$2&lt;ExDivPct),ExDivTree!BX56+DivAmount*EXP(IntRate*(BX$2-ExDivPct)),ExDivTree!BX56))</f>
        <v>35.5254807058</v>
      </c>
      <c r="BY56" s="17">
        <f>IF(BY$3="","",IF(AND(DivAs=2,BY$2&lt;ExDivPct),ExDivTree!BY56+DivAmount*EXP(IntRate*(BY$2-ExDivPct)),ExDivTree!BY56))</f>
        <v>36.600927962500002</v>
      </c>
      <c r="BZ56" s="17">
        <f>IF(BZ$3="","",IF(AND(DivAs=2,BZ$2&lt;ExDivPct),ExDivTree!BZ56+DivAmount*EXP(IntRate*(BZ$2-ExDivPct)),ExDivTree!BZ56))</f>
        <v>37.708931761199999</v>
      </c>
      <c r="CA56" s="17">
        <f>IF(CA$3="","",IF(AND(DivAs=2,CA$2&lt;ExDivPct),ExDivTree!CA56+DivAmount*EXP(IntRate*(CA$2-ExDivPct)),ExDivTree!CA56))</f>
        <v>38.850477671699998</v>
      </c>
      <c r="CB56" s="17">
        <f>IF(CB$3="","",IF(AND(DivAs=2,CB$2&lt;ExDivPct),ExDivTree!CB56+DivAmount*EXP(IntRate*(CB$2-ExDivPct)),ExDivTree!CB56))</f>
        <v>40.026581099600001</v>
      </c>
      <c r="CC56" s="17">
        <f>IF(CC$3="","",IF(AND(DivAs=2,CC$2&lt;ExDivPct),ExDivTree!CC56+DivAmount*EXP(IntRate*(CC$2-ExDivPct)),ExDivTree!CC56))</f>
        <v>41.238288189400002</v>
      </c>
      <c r="CD56" s="17">
        <f>IF(CD$3="","",IF(AND(DivAs=2,CD$2&lt;ExDivPct),ExDivTree!CD56+DivAmount*EXP(IntRate*(CD$2-ExDivPct)),ExDivTree!CD56))</f>
        <v>42.4866767551</v>
      </c>
      <c r="CE56" s="17">
        <f>IF(CE$3="","",IF(AND(DivAs=2,CE$2&lt;ExDivPct),ExDivTree!CE56+DivAmount*EXP(IntRate*(CE$2-ExDivPct)),ExDivTree!CE56))</f>
        <v>43.772857238999997</v>
      </c>
      <c r="CF56" s="17">
        <f>IF(CF$3="","",IF(AND(DivAs=2,CF$2&lt;ExDivPct),ExDivTree!CF56+DivAmount*EXP(IntRate*(CF$2-ExDivPct)),ExDivTree!CF56))</f>
        <v>45.097973699100002</v>
      </c>
      <c r="CG56" s="17">
        <f>IF(CG$3="","",IF(AND(DivAs=2,CG$2&lt;ExDivPct),ExDivTree!CG56+DivAmount*EXP(IntRate*(CG$2-ExDivPct)),ExDivTree!CG56))</f>
        <v>46.463204827200002</v>
      </c>
      <c r="CH56" s="17">
        <f>IF(CH$3="","",IF(AND(DivAs=2,CH$2&lt;ExDivPct),ExDivTree!CH56+DivAmount*EXP(IntRate*(CH$2-ExDivPct)),ExDivTree!CH56))</f>
        <v>47.869764996900003</v>
      </c>
      <c r="CI56" s="17">
        <f>IF(CI$3="","",IF(AND(DivAs=2,CI$2&lt;ExDivPct),ExDivTree!CI56+DivAmount*EXP(IntRate*(CI$2-ExDivPct)),ExDivTree!CI56))</f>
        <v>49.318905344199997</v>
      </c>
      <c r="CJ56" s="17">
        <f>IF(CJ$3="","",IF(AND(DivAs=2,CJ$2&lt;ExDivPct),ExDivTree!CJ56+DivAmount*EXP(IntRate*(CJ$2-ExDivPct)),ExDivTree!CJ56))</f>
        <v>50.811914880000003</v>
      </c>
      <c r="CK56" s="17">
        <f>IF(CK$3="","",IF(AND(DivAs=2,CK$2&lt;ExDivPct),ExDivTree!CK56+DivAmount*EXP(IntRate*(CK$2-ExDivPct)),ExDivTree!CK56))</f>
        <v>52.350121637000001</v>
      </c>
      <c r="CL56" s="17">
        <f>IF(CL$3="","",IF(AND(DivAs=2,CL$2&lt;ExDivPct),ExDivTree!CL56+DivAmount*EXP(IntRate*(CL$2-ExDivPct)),ExDivTree!CL56))</f>
        <v>53.934893850800002</v>
      </c>
      <c r="CM56" s="17">
        <f>IF(CM$3="","",IF(AND(DivAs=2,CM$2&lt;ExDivPct),ExDivTree!CM56+DivAmount*EXP(IntRate*(CM$2-ExDivPct)),ExDivTree!CM56))</f>
        <v>55.567641176999999</v>
      </c>
      <c r="CN56" s="17">
        <f>IF(CN$3="","",IF(AND(DivAs=2,CN$2&lt;ExDivPct),ExDivTree!CN56+DivAmount*EXP(IntRate*(CN$2-ExDivPct)),ExDivTree!CN56))</f>
        <v>57.249815945100003</v>
      </c>
      <c r="CO56" s="17">
        <f>IF(CO$3="","",IF(AND(DivAs=2,CO$2&lt;ExDivPct),ExDivTree!CO56+DivAmount*EXP(IntRate*(CO$2-ExDivPct)),ExDivTree!CO56))</f>
        <v>58.982914450300001</v>
      </c>
      <c r="CP56" s="17">
        <f>IF(CP$3="","",IF(AND(DivAs=2,CP$2&lt;ExDivPct),ExDivTree!CP56+DivAmount*EXP(IntRate*(CP$2-ExDivPct)),ExDivTree!CP56))</f>
        <v>60.768478284499999</v>
      </c>
      <c r="CQ56" s="17">
        <f>IF(CQ$3="","",IF(AND(DivAs=2,CQ$2&lt;ExDivPct),ExDivTree!CQ56+DivAmount*EXP(IntRate*(CQ$2-ExDivPct)),ExDivTree!CQ56))</f>
        <v>62.608095707499999</v>
      </c>
      <c r="CR56" s="17">
        <f>IF(CR$3="","",IF(AND(DivAs=2,CR$2&lt;ExDivPct),ExDivTree!CR56+DivAmount*EXP(IntRate*(CR$2-ExDivPct)),ExDivTree!CR56))</f>
        <v>64.503403059899995</v>
      </c>
      <c r="CS56" s="17">
        <f>IF(CS$3="","",IF(AND(DivAs=2,CS$2&lt;ExDivPct),ExDivTree!CS56+DivAmount*EXP(IntRate*(CS$2-ExDivPct)),ExDivTree!CS56))</f>
        <v>66.456086218400003</v>
      </c>
      <c r="CT56" s="17">
        <f>IF(CT$3="","",IF(AND(DivAs=2,CT$2&lt;ExDivPct),ExDivTree!CT56+DivAmount*EXP(IntRate*(CT$2-ExDivPct)),ExDivTree!CT56))</f>
        <v>68.467882095500002</v>
      </c>
      <c r="CU56" s="17">
        <f>IF(CU$3="","",IF(AND(DivAs=2,CU$2&lt;ExDivPct),ExDivTree!CU56+DivAmount*EXP(IntRate*(CU$2-ExDivPct)),ExDivTree!CU56))</f>
        <v>70.540580184600003</v>
      </c>
      <c r="CV56" s="17">
        <f>IF(CV$3="","",IF(AND(DivAs=2,CV$2&lt;ExDivPct),ExDivTree!CV56+DivAmount*EXP(IntRate*(CV$2-ExDivPct)),ExDivTree!CV56))</f>
        <v>72.676024151600004</v>
      </c>
      <c r="CW56" s="17">
        <f>IF(CW$3="","",IF(AND(DivAs=2,CW$2&lt;ExDivPct),ExDivTree!CW56+DivAmount*EXP(IntRate*(CW$2-ExDivPct)),ExDivTree!CW56))</f>
        <v>74.876113474899995</v>
      </c>
      <c r="CX56" s="17">
        <f>IF(CX$3="","",IF(AND(DivAs=2,CX$2&lt;ExDivPct),ExDivTree!CX56+DivAmount*EXP(IntRate*(CX$2-ExDivPct)),ExDivTree!CX56))</f>
        <v>77.142805134900001</v>
      </c>
      <c r="CY56" s="17">
        <f>IF(CY$3="","",IF(AND(DivAs=2,CY$2&lt;ExDivPct),ExDivTree!CY56+DivAmount*EXP(IntRate*(CY$2-ExDivPct)),ExDivTree!CY56))</f>
        <v>79.478115354799996</v>
      </c>
      <c r="CZ56" s="17">
        <f>IF(CZ$3="","",IF(AND(DivAs=2,CZ$2&lt;ExDivPct),ExDivTree!CZ56+DivAmount*EXP(IntRate*(CZ$2-ExDivPct)),ExDivTree!CZ56))</f>
        <v>81.884121394199994</v>
      </c>
      <c r="DA56" s="17">
        <f>IF(DA$3="","",IF(AND(DivAs=2,DA$2&lt;ExDivPct),ExDivTree!DA56+DivAmount*EXP(IntRate*(DA$2-ExDivPct)),ExDivTree!DA56))</f>
        <v>84.362963396500007</v>
      </c>
      <c r="DB56" s="17">
        <f>IF(DB$3="","",IF(AND(DivAs=2,DB$2&lt;ExDivPct),ExDivTree!DB56+DivAmount*EXP(IntRate*(DB$2-ExDivPct)),ExDivTree!DB56))</f>
        <v>86.916846292700001</v>
      </c>
    </row>
    <row r="57" spans="1:106" x14ac:dyDescent="0.2">
      <c r="A57">
        <f>ExDivTree!A57</f>
        <v>1.7762004615811383E+29</v>
      </c>
      <c r="B57" s="71">
        <f>ExDivTree!B57</f>
        <v>7.0058755198843789E-2</v>
      </c>
      <c r="C57" s="71">
        <f>ExDivTree!C57</f>
        <v>6.911190907030583E-2</v>
      </c>
      <c r="D57" s="177">
        <f>ExDivTree!D57</f>
        <v>53</v>
      </c>
      <c r="BF57" s="17">
        <f>IF(BF$3="","",IF(AND(DivAs=2,BF$2&lt;ExDivPct),ExDivTree!BF57+DivAmount*EXP(IntRate*(BF$2-ExDivPct)),ExDivTree!BF57))</f>
        <v>19.565887865899999</v>
      </c>
      <c r="BG57" s="17">
        <f>IF(BG$3="","",IF(AND(DivAs=2,BG$2&lt;ExDivPct),ExDivTree!BG57+DivAmount*EXP(IntRate*(BG$2-ExDivPct)),ExDivTree!BG57))</f>
        <v>20.158197386099999</v>
      </c>
      <c r="BH57" s="17">
        <f>IF(BH$3="","",IF(AND(DivAs=2,BH$2&lt;ExDivPct),ExDivTree!BH57+DivAmount*EXP(IntRate*(BH$2-ExDivPct)),ExDivTree!BH57))</f>
        <v>20.768437631899999</v>
      </c>
      <c r="BI57" s="17">
        <f>IF(BI$3="","",IF(AND(DivAs=2,BI$2&lt;ExDivPct),ExDivTree!BI57+DivAmount*EXP(IntRate*(BI$2-ExDivPct)),ExDivTree!BI57))</f>
        <v>21.3971514124</v>
      </c>
      <c r="BJ57" s="17">
        <f>IF(BJ$3="","",IF(AND(DivAs=2,BJ$2&lt;ExDivPct),ExDivTree!BJ57+DivAmount*EXP(IntRate*(BJ$2-ExDivPct)),ExDivTree!BJ57))</f>
        <v>22.044897968699999</v>
      </c>
      <c r="BK57" s="17">
        <f>IF(BK$3="","",IF(AND(DivAs=2,BK$2&lt;ExDivPct),ExDivTree!BK57+DivAmount*EXP(IntRate*(BK$2-ExDivPct)),ExDivTree!BK57))</f>
        <v>22.712253471699999</v>
      </c>
      <c r="BL57" s="17">
        <f>IF(BL$3="","",IF(AND(DivAs=2,BL$2&lt;ExDivPct),ExDivTree!BL57+DivAmount*EXP(IntRate*(BL$2-ExDivPct)),ExDivTree!BL57))</f>
        <v>23.399811534400001</v>
      </c>
      <c r="BM57" s="17">
        <f>IF(BM$3="","",IF(AND(DivAs=2,BM$2&lt;ExDivPct),ExDivTree!BM57+DivAmount*EXP(IntRate*(BM$2-ExDivPct)),ExDivTree!BM57))</f>
        <v>24.108183740000001</v>
      </c>
      <c r="BN57" s="17">
        <f>IF(BN$3="","",IF(AND(DivAs=2,BN$2&lt;ExDivPct),ExDivTree!BN57+DivAmount*EXP(IntRate*(BN$2-ExDivPct)),ExDivTree!BN57))</f>
        <v>24.8380001859</v>
      </c>
      <c r="BO57" s="17">
        <f>IF(BO$3="","",IF(AND(DivAs=2,BO$2&lt;ExDivPct),ExDivTree!BO57+DivAmount*EXP(IntRate*(BO$2-ExDivPct)),ExDivTree!BO57))</f>
        <v>25.5899100442</v>
      </c>
      <c r="BP57" s="17">
        <f>IF(BP$3="","",IF(AND(DivAs=2,BP$2&lt;ExDivPct),ExDivTree!BP57+DivAmount*EXP(IntRate*(BP$2-ExDivPct)),ExDivTree!BP57))</f>
        <v>26.364582138999999</v>
      </c>
      <c r="BQ57" s="17">
        <f>IF(BQ$3="","",IF(AND(DivAs=2,BQ$2&lt;ExDivPct),ExDivTree!BQ57+DivAmount*EXP(IntRate*(BQ$2-ExDivPct)),ExDivTree!BQ57))</f>
        <v>27.162705541499999</v>
      </c>
      <c r="BR57" s="17">
        <f>IF(BR$3="","",IF(AND(DivAs=2,BR$2&lt;ExDivPct),ExDivTree!BR57+DivAmount*EXP(IntRate*(BR$2-ExDivPct)),ExDivTree!BR57))</f>
        <v>27.984990182800001</v>
      </c>
      <c r="BS57" s="17">
        <f>IF(BS$3="","",IF(AND(DivAs=2,BS$2&lt;ExDivPct),ExDivTree!BS57+DivAmount*EXP(IntRate*(BS$2-ExDivPct)),ExDivTree!BS57))</f>
        <v>28.832167485500001</v>
      </c>
      <c r="BT57" s="17">
        <f>IF(BT$3="","",IF(AND(DivAs=2,BT$2&lt;ExDivPct),ExDivTree!BT57+DivAmount*EXP(IntRate*(BT$2-ExDivPct)),ExDivTree!BT57))</f>
        <v>29.704991014200001</v>
      </c>
      <c r="BU57" s="17">
        <f>IF(BU$3="","",IF(AND(DivAs=2,BU$2&lt;ExDivPct),ExDivTree!BU57+DivAmount*EXP(IntRate*(BU$2-ExDivPct)),ExDivTree!BU57))</f>
        <v>30.604237145799999</v>
      </c>
      <c r="BV57" s="17">
        <f>IF(BV$3="","",IF(AND(DivAs=2,BV$2&lt;ExDivPct),ExDivTree!BV57+DivAmount*EXP(IntRate*(BV$2-ExDivPct)),ExDivTree!BV57))</f>
        <v>31.530705760099998</v>
      </c>
      <c r="BW57" s="17">
        <f>IF(BW$3="","",IF(AND(DivAs=2,BW$2&lt;ExDivPct),ExDivTree!BW57+DivAmount*EXP(IntRate*(BW$2-ExDivPct)),ExDivTree!BW57))</f>
        <v>32.485220951400002</v>
      </c>
      <c r="BX57" s="17">
        <f>IF(BX$3="","",IF(AND(DivAs=2,BX$2&lt;ExDivPct),ExDivTree!BX57+DivAmount*EXP(IntRate*(BX$2-ExDivPct)),ExDivTree!BX57))</f>
        <v>33.468631761399998</v>
      </c>
      <c r="BY57" s="17">
        <f>IF(BY$3="","",IF(AND(DivAs=2,BY$2&lt;ExDivPct),ExDivTree!BY57+DivAmount*EXP(IntRate*(BY$2-ExDivPct)),ExDivTree!BY57))</f>
        <v>34.481812934399997</v>
      </c>
      <c r="BZ57" s="17">
        <f>IF(BZ$3="","",IF(AND(DivAs=2,BZ$2&lt;ExDivPct),ExDivTree!BZ57+DivAmount*EXP(IntRate*(BZ$2-ExDivPct)),ExDivTree!BZ57))</f>
        <v>35.525665695599997</v>
      </c>
      <c r="CA57" s="17">
        <f>IF(CA$3="","",IF(AND(DivAs=2,CA$2&lt;ExDivPct),ExDivTree!CA57+DivAmount*EXP(IntRate*(CA$2-ExDivPct)),ExDivTree!CA57))</f>
        <v>36.601118552499997</v>
      </c>
      <c r="CB57" s="17">
        <f>IF(CB$3="","",IF(AND(DivAs=2,CB$2&lt;ExDivPct),ExDivTree!CB57+DivAmount*EXP(IntRate*(CB$2-ExDivPct)),ExDivTree!CB57))</f>
        <v>37.709128120800003</v>
      </c>
      <c r="CC57" s="17">
        <f>IF(CC$3="","",IF(AND(DivAs=2,CC$2&lt;ExDivPct),ExDivTree!CC57+DivAmount*EXP(IntRate*(CC$2-ExDivPct)),ExDivTree!CC57))</f>
        <v>38.850679975600002</v>
      </c>
      <c r="CD57" s="17">
        <f>IF(CD$3="","",IF(AND(DivAs=2,CD$2&lt;ExDivPct),ExDivTree!CD57+DivAmount*EXP(IntRate*(CD$2-ExDivPct)),ExDivTree!CD57))</f>
        <v>40.026789527699997</v>
      </c>
      <c r="CE57" s="17">
        <f>IF(CE$3="","",IF(AND(DivAs=2,CE$2&lt;ExDivPct),ExDivTree!CE57+DivAmount*EXP(IntRate*(CE$2-ExDivPct)),ExDivTree!CE57))</f>
        <v>41.238502927200003</v>
      </c>
      <c r="CF57" s="17">
        <f>IF(CF$3="","",IF(AND(DivAs=2,CF$2&lt;ExDivPct),ExDivTree!CF57+DivAmount*EXP(IntRate*(CF$2-ExDivPct)),ExDivTree!CF57))</f>
        <v>42.486897993600003</v>
      </c>
      <c r="CG57" s="17">
        <f>IF(CG$3="","",IF(AND(DivAs=2,CG$2&lt;ExDivPct),ExDivTree!CG57+DivAmount*EXP(IntRate*(CG$2-ExDivPct)),ExDivTree!CG57))</f>
        <v>43.773085174899997</v>
      </c>
      <c r="CH57" s="17">
        <f>IF(CH$3="","",IF(AND(DivAs=2,CH$2&lt;ExDivPct),ExDivTree!CH57+DivAmount*EXP(IntRate*(CH$2-ExDivPct)),ExDivTree!CH57))</f>
        <v>45.098208535200001</v>
      </c>
      <c r="CI57" s="17">
        <f>IF(CI$3="","",IF(AND(DivAs=2,CI$2&lt;ExDivPct),ExDivTree!CI57+DivAmount*EXP(IntRate*(CI$2-ExDivPct)),ExDivTree!CI57))</f>
        <v>46.463446772399998</v>
      </c>
      <c r="CJ57" s="17">
        <f>IF(CJ$3="","",IF(AND(DivAs=2,CJ$2&lt;ExDivPct),ExDivTree!CJ57+DivAmount*EXP(IntRate*(CJ$2-ExDivPct)),ExDivTree!CJ57))</f>
        <v>47.870014266399998</v>
      </c>
      <c r="CK57" s="17">
        <f>IF(CK$3="","",IF(AND(DivAs=2,CK$2&lt;ExDivPct),ExDivTree!CK57+DivAmount*EXP(IntRate*(CK$2-ExDivPct)),ExDivTree!CK57))</f>
        <v>49.319162159699999</v>
      </c>
      <c r="CL57" s="17">
        <f>IF(CL$3="","",IF(AND(DivAs=2,CL$2&lt;ExDivPct),ExDivTree!CL57+DivAmount*EXP(IntRate*(CL$2-ExDivPct)),ExDivTree!CL57))</f>
        <v>50.812179469999997</v>
      </c>
      <c r="CM57" s="17">
        <f>IF(CM$3="","",IF(AND(DivAs=2,CM$2&lt;ExDivPct),ExDivTree!CM57+DivAmount*EXP(IntRate*(CM$2-ExDivPct)),ExDivTree!CM57))</f>
        <v>52.3503942368</v>
      </c>
      <c r="CN57" s="17">
        <f>IF(CN$3="","",IF(AND(DivAs=2,CN$2&lt;ExDivPct),ExDivTree!CN57+DivAmount*EXP(IntRate*(CN$2-ExDivPct)),ExDivTree!CN57))</f>
        <v>53.935174702899999</v>
      </c>
      <c r="CO57" s="17">
        <f>IF(CO$3="","",IF(AND(DivAs=2,CO$2&lt;ExDivPct),ExDivTree!CO57+DivAmount*EXP(IntRate*(CO$2-ExDivPct)),ExDivTree!CO57))</f>
        <v>55.567930531199998</v>
      </c>
      <c r="CP57" s="17">
        <f>IF(CP$3="","",IF(AND(DivAs=2,CP$2&lt;ExDivPct),ExDivTree!CP57+DivAmount*EXP(IntRate*(CP$2-ExDivPct)),ExDivTree!CP57))</f>
        <v>57.250114058800001</v>
      </c>
      <c r="CQ57" s="17">
        <f>IF(CQ$3="","",IF(AND(DivAs=2,CQ$2&lt;ExDivPct),ExDivTree!CQ57+DivAmount*EXP(IntRate*(CQ$2-ExDivPct)),ExDivTree!CQ57))</f>
        <v>58.983221588600003</v>
      </c>
      <c r="CR57" s="17">
        <f>IF(CR$3="","",IF(AND(DivAs=2,CR$2&lt;ExDivPct),ExDivTree!CR57+DivAmount*EXP(IntRate*(CR$2-ExDivPct)),ExDivTree!CR57))</f>
        <v>60.768794720599999</v>
      </c>
      <c r="CS57" s="17">
        <f>IF(CS$3="","",IF(AND(DivAs=2,CS$2&lt;ExDivPct),ExDivTree!CS57+DivAmount*EXP(IntRate*(CS$2-ExDivPct)),ExDivTree!CS57))</f>
        <v>62.608421722899998</v>
      </c>
      <c r="CT57" s="17">
        <f>IF(CT$3="","",IF(AND(DivAs=2,CT$2&lt;ExDivPct),ExDivTree!CT57+DivAmount*EXP(IntRate*(CT$2-ExDivPct)),ExDivTree!CT57))</f>
        <v>64.503738944600002</v>
      </c>
      <c r="CU57" s="17">
        <f>IF(CU$3="","",IF(AND(DivAs=2,CU$2&lt;ExDivPct),ExDivTree!CU57+DivAmount*EXP(IntRate*(CU$2-ExDivPct)),ExDivTree!CU57))</f>
        <v>66.456432271200001</v>
      </c>
      <c r="CV57" s="17">
        <f>IF(CV$3="","",IF(AND(DivAs=2,CV$2&lt;ExDivPct),ExDivTree!CV57+DivAmount*EXP(IntRate*(CV$2-ExDivPct)),ExDivTree!CV57))</f>
        <v>68.468238624199998</v>
      </c>
      <c r="CW57" s="17">
        <f>IF(CW$3="","",IF(AND(DivAs=2,CW$2&lt;ExDivPct),ExDivTree!CW57+DivAmount*EXP(IntRate*(CW$2-ExDivPct)),ExDivTree!CW57))</f>
        <v>70.540947506400002</v>
      </c>
      <c r="CX57" s="17">
        <f>IF(CX$3="","",IF(AND(DivAs=2,CX$2&lt;ExDivPct),ExDivTree!CX57+DivAmount*EXP(IntRate*(CX$2-ExDivPct)),ExDivTree!CX57))</f>
        <v>72.676402593199995</v>
      </c>
      <c r="CY57" s="17">
        <f>IF(CY$3="","",IF(AND(DivAs=2,CY$2&lt;ExDivPct),ExDivTree!CY57+DivAmount*EXP(IntRate*(CY$2-ExDivPct)),ExDivTree!CY57))</f>
        <v>74.876503372900004</v>
      </c>
      <c r="CZ57" s="17">
        <f>IF(CZ$3="","",IF(AND(DivAs=2,CZ$2&lt;ExDivPct),ExDivTree!CZ57+DivAmount*EXP(IntRate*(CZ$2-ExDivPct)),ExDivTree!CZ57))</f>
        <v>77.143206836100006</v>
      </c>
      <c r="DA57" s="17">
        <f>IF(DA$3="","",IF(AND(DivAs=2,DA$2&lt;ExDivPct),ExDivTree!DA57+DivAmount*EXP(IntRate*(DA$2-ExDivPct)),ExDivTree!DA57))</f>
        <v>79.478529216499993</v>
      </c>
      <c r="DB57" s="17">
        <f>IF(DB$3="","",IF(AND(DivAs=2,DB$2&lt;ExDivPct),ExDivTree!DB57+DivAmount*EXP(IntRate*(DB$2-ExDivPct)),ExDivTree!DB57))</f>
        <v>81.8845477845</v>
      </c>
    </row>
    <row r="58" spans="1:106" x14ac:dyDescent="0.2">
      <c r="A58">
        <f>ExDivTree!A58</f>
        <v>1.5788448547387906E+29</v>
      </c>
      <c r="B58" s="71">
        <f>ExDivTree!B58</f>
        <v>6.2274449065638962E-2</v>
      </c>
      <c r="C58" s="71">
        <f>ExDivTree!C58</f>
        <v>6.1108016254218342E-2</v>
      </c>
      <c r="D58" s="177">
        <f>ExDivTree!D58</f>
        <v>54</v>
      </c>
      <c r="BG58" s="17">
        <f>IF(BG$3="","",IF(AND(DivAs=2,BG$2&lt;ExDivPct),ExDivTree!BG58+DivAmount*EXP(IntRate*(BG$2-ExDivPct)),ExDivTree!BG58))</f>
        <v>18.991081102599999</v>
      </c>
      <c r="BH58" s="17">
        <f>IF(BH$3="","",IF(AND(DivAs=2,BH$2&lt;ExDivPct),ExDivTree!BH58+DivAmount*EXP(IntRate*(BH$2-ExDivPct)),ExDivTree!BH58))</f>
        <v>19.5659897504</v>
      </c>
      <c r="BI58" s="17">
        <f>IF(BI$3="","",IF(AND(DivAs=2,BI$2&lt;ExDivPct),ExDivTree!BI58+DivAmount*EXP(IntRate*(BI$2-ExDivPct)),ExDivTree!BI58))</f>
        <v>20.158302354900002</v>
      </c>
      <c r="BJ58" s="17">
        <f>IF(BJ$3="","",IF(AND(DivAs=2,BJ$2&lt;ExDivPct),ExDivTree!BJ58+DivAmount*EXP(IntRate*(BJ$2-ExDivPct)),ExDivTree!BJ58))</f>
        <v>20.7685457784</v>
      </c>
      <c r="BK58" s="17">
        <f>IF(BK$3="","",IF(AND(DivAs=2,BK$2&lt;ExDivPct),ExDivTree!BK58+DivAmount*EXP(IntRate*(BK$2-ExDivPct)),ExDivTree!BK58))</f>
        <v>21.397262832799999</v>
      </c>
      <c r="BL58" s="17">
        <f>IF(BL$3="","",IF(AND(DivAs=2,BL$2&lt;ExDivPct),ExDivTree!BL58+DivAmount*EXP(IntRate*(BL$2-ExDivPct)),ExDivTree!BL58))</f>
        <v>22.045012762100001</v>
      </c>
      <c r="BM58" s="17">
        <f>IF(BM$3="","",IF(AND(DivAs=2,BM$2&lt;ExDivPct),ExDivTree!BM58+DivAmount*EXP(IntRate*(BM$2-ExDivPct)),ExDivTree!BM58))</f>
        <v>22.712371740199998</v>
      </c>
      <c r="BN58" s="17">
        <f>IF(BN$3="","",IF(AND(DivAs=2,BN$2&lt;ExDivPct),ExDivTree!BN58+DivAmount*EXP(IntRate*(BN$2-ExDivPct)),ExDivTree!BN58))</f>
        <v>23.3999333832</v>
      </c>
      <c r="BO58" s="17">
        <f>IF(BO$3="","",IF(AND(DivAs=2,BO$2&lt;ExDivPct),ExDivTree!BO58+DivAmount*EXP(IntRate*(BO$2-ExDivPct)),ExDivTree!BO58))</f>
        <v>24.108309277499998</v>
      </c>
      <c r="BP58" s="17">
        <f>IF(BP$3="","",IF(AND(DivAs=2,BP$2&lt;ExDivPct),ExDivTree!BP58+DivAmount*EXP(IntRate*(BP$2-ExDivPct)),ExDivTree!BP58))</f>
        <v>24.838129523799999</v>
      </c>
      <c r="BQ58" s="17">
        <f>IF(BQ$3="","",IF(AND(DivAs=2,BQ$2&lt;ExDivPct),ExDivTree!BQ58+DivAmount*EXP(IntRate*(BQ$2-ExDivPct)),ExDivTree!BQ58))</f>
        <v>25.590043297499999</v>
      </c>
      <c r="BR58" s="17">
        <f>IF(BR$3="","",IF(AND(DivAs=2,BR$2&lt;ExDivPct),ExDivTree!BR58+DivAmount*EXP(IntRate*(BR$2-ExDivPct)),ExDivTree!BR58))</f>
        <v>26.364719426200001</v>
      </c>
      <c r="BS58" s="17">
        <f>IF(BS$3="","",IF(AND(DivAs=2,BS$2&lt;ExDivPct),ExDivTree!BS58+DivAmount*EXP(IntRate*(BS$2-ExDivPct)),ExDivTree!BS58))</f>
        <v>27.1628469847</v>
      </c>
      <c r="BT58" s="17">
        <f>IF(BT$3="","",IF(AND(DivAs=2,BT$2&lt;ExDivPct),ExDivTree!BT58+DivAmount*EXP(IntRate*(BT$2-ExDivPct)),ExDivTree!BT58))</f>
        <v>27.985135907899998</v>
      </c>
      <c r="BU58" s="17">
        <f>IF(BU$3="","",IF(AND(DivAs=2,BU$2&lt;ExDivPct),ExDivTree!BU58+DivAmount*EXP(IntRate*(BU$2-ExDivPct)),ExDivTree!BU58))</f>
        <v>28.8323176221</v>
      </c>
      <c r="BV58" s="17">
        <f>IF(BV$3="","",IF(AND(DivAs=2,BV$2&lt;ExDivPct),ExDivTree!BV58+DivAmount*EXP(IntRate*(BV$2-ExDivPct)),ExDivTree!BV58))</f>
        <v>29.705145695799999</v>
      </c>
      <c r="BW58" s="17">
        <f>IF(BW$3="","",IF(AND(DivAs=2,BW$2&lt;ExDivPct),ExDivTree!BW58+DivAmount*EXP(IntRate*(BW$2-ExDivPct)),ExDivTree!BW58))</f>
        <v>30.604396510000001</v>
      </c>
      <c r="BX58" s="17">
        <f>IF(BX$3="","",IF(AND(DivAs=2,BX$2&lt;ExDivPct),ExDivTree!BX58+DivAmount*EXP(IntRate*(BX$2-ExDivPct)),ExDivTree!BX58))</f>
        <v>31.530869948700001</v>
      </c>
      <c r="BY58" s="17">
        <f>IF(BY$3="","",IF(AND(DivAs=2,BY$2&lt;ExDivPct),ExDivTree!BY58+DivAmount*EXP(IntRate*(BY$2-ExDivPct)),ExDivTree!BY58))</f>
        <v>32.485390110399997</v>
      </c>
      <c r="BZ58" s="17">
        <f>IF(BZ$3="","",IF(AND(DivAs=2,BZ$2&lt;ExDivPct),ExDivTree!BZ58+DivAmount*EXP(IntRate*(BZ$2-ExDivPct)),ExDivTree!BZ58))</f>
        <v>33.468806041299999</v>
      </c>
      <c r="CA58" s="17">
        <f>IF(CA$3="","",IF(AND(DivAs=2,CA$2&lt;ExDivPct),ExDivTree!CA58+DivAmount*EXP(IntRate*(CA$2-ExDivPct)),ExDivTree!CA58))</f>
        <v>34.4819924902</v>
      </c>
      <c r="CB58" s="17">
        <f>IF(CB$3="","",IF(AND(DivAs=2,CB$2&lt;ExDivPct),ExDivTree!CB58+DivAmount*EXP(IntRate*(CB$2-ExDivPct)),ExDivTree!CB58))</f>
        <v>35.525850687000002</v>
      </c>
      <c r="CC58" s="17">
        <f>IF(CC$3="","",IF(AND(DivAs=2,CC$2&lt;ExDivPct),ExDivTree!CC58+DivAmount*EXP(IntRate*(CC$2-ExDivPct)),ExDivTree!CC58))</f>
        <v>36.601309143999998</v>
      </c>
      <c r="CD58" s="17">
        <f>IF(CD$3="","",IF(AND(DivAs=2,CD$2&lt;ExDivPct),ExDivTree!CD58+DivAmount*EXP(IntRate*(CD$2-ExDivPct)),ExDivTree!CD58))</f>
        <v>37.709324482</v>
      </c>
      <c r="CE58" s="17">
        <f>IF(CE$3="","",IF(AND(DivAs=2,CE$2&lt;ExDivPct),ExDivTree!CE58+DivAmount*EXP(IntRate*(CE$2-ExDivPct)),ExDivTree!CE58))</f>
        <v>38.850882281099999</v>
      </c>
      <c r="CF58" s="17">
        <f>IF(CF$3="","",IF(AND(DivAs=2,CF$2&lt;ExDivPct),ExDivTree!CF58+DivAmount*EXP(IntRate*(CF$2-ExDivPct)),ExDivTree!CF58))</f>
        <v>40.026997957500001</v>
      </c>
      <c r="CG58" s="17">
        <f>IF(CG$3="","",IF(AND(DivAs=2,CG$2&lt;ExDivPct),ExDivTree!CG58+DivAmount*EXP(IntRate*(CG$2-ExDivPct)),ExDivTree!CG58))</f>
        <v>41.238717666699998</v>
      </c>
      <c r="CH58" s="17">
        <f>IF(CH$3="","",IF(AND(DivAs=2,CH$2&lt;ExDivPct),ExDivTree!CH58+DivAmount*EXP(IntRate*(CH$2-ExDivPct)),ExDivTree!CH58))</f>
        <v>42.487119233800001</v>
      </c>
      <c r="CI58" s="17">
        <f>IF(CI$3="","",IF(AND(DivAs=2,CI$2&lt;ExDivPct),ExDivTree!CI58+DivAmount*EXP(IntRate*(CI$2-ExDivPct)),ExDivTree!CI58))</f>
        <v>43.7733131126</v>
      </c>
      <c r="CJ58" s="17">
        <f>IF(CJ$3="","",IF(AND(DivAs=2,CJ$2&lt;ExDivPct),ExDivTree!CJ58+DivAmount*EXP(IntRate*(CJ$2-ExDivPct)),ExDivTree!CJ58))</f>
        <v>45.098443373199999</v>
      </c>
      <c r="CK58" s="17">
        <f>IF(CK$3="","",IF(AND(DivAs=2,CK$2&lt;ExDivPct),ExDivTree!CK58+DivAmount*EXP(IntRate*(CK$2-ExDivPct)),ExDivTree!CK58))</f>
        <v>46.463688719499999</v>
      </c>
      <c r="CL58" s="17">
        <f>IF(CL$3="","",IF(AND(DivAs=2,CL$2&lt;ExDivPct),ExDivTree!CL58+DivAmount*EXP(IntRate*(CL$2-ExDivPct)),ExDivTree!CL58))</f>
        <v>47.870263537900001</v>
      </c>
      <c r="CM58" s="17">
        <f>IF(CM$3="","",IF(AND(DivAs=2,CM$2&lt;ExDivPct),ExDivTree!CM58+DivAmount*EXP(IntRate*(CM$2-ExDivPct)),ExDivTree!CM58))</f>
        <v>49.319418977300003</v>
      </c>
      <c r="CN58" s="17">
        <f>IF(CN$3="","",IF(AND(DivAs=2,CN$2&lt;ExDivPct),ExDivTree!CN58+DivAmount*EXP(IntRate*(CN$2-ExDivPct)),ExDivTree!CN58))</f>
        <v>50.812444062099999</v>
      </c>
      <c r="CO58" s="17">
        <f>IF(CO$3="","",IF(AND(DivAs=2,CO$2&lt;ExDivPct),ExDivTree!CO58+DivAmount*EXP(IntRate*(CO$2-ExDivPct)),ExDivTree!CO58))</f>
        <v>52.350666838800002</v>
      </c>
      <c r="CP58" s="17">
        <f>IF(CP$3="","",IF(AND(DivAs=2,CP$2&lt;ExDivPct),ExDivTree!CP58+DivAmount*EXP(IntRate*(CP$2-ExDivPct)),ExDivTree!CP58))</f>
        <v>53.935455557300003</v>
      </c>
      <c r="CQ58" s="17">
        <f>IF(CQ$3="","",IF(AND(DivAs=2,CQ$2&lt;ExDivPct),ExDivTree!CQ58+DivAmount*EXP(IntRate*(CQ$2-ExDivPct)),ExDivTree!CQ58))</f>
        <v>55.568219887799998</v>
      </c>
      <c r="CR58" s="17">
        <f>IF(CR$3="","",IF(AND(DivAs=2,CR$2&lt;ExDivPct),ExDivTree!CR58+DivAmount*EXP(IntRate*(CR$2-ExDivPct)),ExDivTree!CR58))</f>
        <v>57.250412174899999</v>
      </c>
      <c r="CS58" s="17">
        <f>IF(CS$3="","",IF(AND(DivAs=2,CS$2&lt;ExDivPct),ExDivTree!CS58+DivAmount*EXP(IntRate*(CS$2-ExDivPct)),ExDivTree!CS58))</f>
        <v>58.983528729500001</v>
      </c>
      <c r="CT58" s="17">
        <f>IF(CT$3="","",IF(AND(DivAs=2,CT$2&lt;ExDivPct),ExDivTree!CT58+DivAmount*EXP(IntRate*(CT$2-ExDivPct)),ExDivTree!CT58))</f>
        <v>60.7691111595</v>
      </c>
      <c r="CU58" s="17">
        <f>IF(CU$3="","",IF(AND(DivAs=2,CU$2&lt;ExDivPct),ExDivTree!CU58+DivAmount*EXP(IntRate*(CU$2-ExDivPct)),ExDivTree!CU58))</f>
        <v>62.6087477413</v>
      </c>
      <c r="CV58" s="17">
        <f>IF(CV$3="","",IF(AND(DivAs=2,CV$2&lt;ExDivPct),ExDivTree!CV58+DivAmount*EXP(IntRate*(CV$2-ExDivPct)),ExDivTree!CV58))</f>
        <v>64.504074832399994</v>
      </c>
      <c r="CW58" s="17">
        <f>IF(CW$3="","",IF(AND(DivAs=2,CW$2&lt;ExDivPct),ExDivTree!CW58+DivAmount*EXP(IntRate*(CW$2-ExDivPct)),ExDivTree!CW58))</f>
        <v>66.456778327199999</v>
      </c>
      <c r="CX58" s="17">
        <f>IF(CX$3="","",IF(AND(DivAs=2,CX$2&lt;ExDivPct),ExDivTree!CX58+DivAmount*EXP(IntRate*(CX$2-ExDivPct)),ExDivTree!CX58))</f>
        <v>68.468595156199996</v>
      </c>
      <c r="CY58" s="17">
        <f>IF(CY$3="","",IF(AND(DivAs=2,CY$2&lt;ExDivPct),ExDivTree!CY58+DivAmount*EXP(IntRate*(CY$2-ExDivPct)),ExDivTree!CY58))</f>
        <v>70.541314831500003</v>
      </c>
      <c r="CZ58" s="17">
        <f>IF(CZ$3="","",IF(AND(DivAs=2,CZ$2&lt;ExDivPct),ExDivTree!CZ58+DivAmount*EXP(IntRate*(CZ$2-ExDivPct)),ExDivTree!CZ58))</f>
        <v>72.676781038200005</v>
      </c>
      <c r="DA58" s="17">
        <f>IF(DA$3="","",IF(AND(DivAs=2,DA$2&lt;ExDivPct),ExDivTree!DA58+DivAmount*EXP(IntRate*(DA$2-ExDivPct)),ExDivTree!DA58))</f>
        <v>74.876893274400004</v>
      </c>
      <c r="DB58" s="17">
        <f>IF(DB$3="","",IF(AND(DivAs=2,DB$2&lt;ExDivPct),ExDivTree!DB58+DivAmount*EXP(IntRate*(DB$2-ExDivPct)),ExDivTree!DB58))</f>
        <v>77.143608540900004</v>
      </c>
    </row>
    <row r="59" spans="1:106" x14ac:dyDescent="0.2">
      <c r="A59">
        <f>ExDivTree!A59</f>
        <v>1.3491946940495127E+29</v>
      </c>
      <c r="B59" s="71">
        <f>ExDivTree!B59</f>
        <v>5.3216347383364233E-2</v>
      </c>
      <c r="C59" s="71">
        <f>ExDivTree!C59</f>
        <v>5.1943495550803291E-2</v>
      </c>
      <c r="D59" s="177">
        <f>ExDivTree!D59</f>
        <v>55</v>
      </c>
      <c r="BH59" s="17">
        <f>IF(BH$3="","",IF(AND(DivAs=2,BH$2&lt;ExDivPct),ExDivTree!BH59+DivAmount*EXP(IntRate*(BH$2-ExDivPct)),ExDivTree!BH59))</f>
        <v>18.4331610156</v>
      </c>
      <c r="BI59" s="17">
        <f>IF(BI$3="","",IF(AND(DivAs=2,BI$2&lt;ExDivPct),ExDivTree!BI59+DivAmount*EXP(IntRate*(BI$2-ExDivPct)),ExDivTree!BI59))</f>
        <v>18.991179993900001</v>
      </c>
      <c r="BJ59" s="17">
        <f>IF(BJ$3="","",IF(AND(DivAs=2,BJ$2&lt;ExDivPct),ExDivTree!BJ59+DivAmount*EXP(IntRate*(BJ$2-ExDivPct)),ExDivTree!BJ59))</f>
        <v>19.566091635399999</v>
      </c>
      <c r="BK59" s="17">
        <f>IF(BK$3="","",IF(AND(DivAs=2,BK$2&lt;ExDivPct),ExDivTree!BK59+DivAmount*EXP(IntRate*(BK$2-ExDivPct)),ExDivTree!BK59))</f>
        <v>20.158407324199999</v>
      </c>
      <c r="BL59" s="17">
        <f>IF(BL$3="","",IF(AND(DivAs=2,BL$2&lt;ExDivPct),ExDivTree!BL59+DivAmount*EXP(IntRate*(BL$2-ExDivPct)),ExDivTree!BL59))</f>
        <v>20.768653925399999</v>
      </c>
      <c r="BM59" s="17">
        <f>IF(BM$3="","",IF(AND(DivAs=2,BM$2&lt;ExDivPct),ExDivTree!BM59+DivAmount*EXP(IntRate*(BM$2-ExDivPct)),ExDivTree!BM59))</f>
        <v>21.397374253599999</v>
      </c>
      <c r="BN59" s="17">
        <f>IF(BN$3="","",IF(AND(DivAs=2,BN$2&lt;ExDivPct),ExDivTree!BN59+DivAmount*EXP(IntRate*(BN$2-ExDivPct)),ExDivTree!BN59))</f>
        <v>22.045127555899999</v>
      </c>
      <c r="BO59" s="17">
        <f>IF(BO$3="","",IF(AND(DivAs=2,BO$2&lt;ExDivPct),ExDivTree!BO59+DivAmount*EXP(IntRate*(BO$2-ExDivPct)),ExDivTree!BO59))</f>
        <v>22.712490009100001</v>
      </c>
      <c r="BP59" s="17">
        <f>IF(BP$3="","",IF(AND(DivAs=2,BP$2&lt;ExDivPct),ExDivTree!BP59+DivAmount*EXP(IntRate*(BP$2-ExDivPct)),ExDivTree!BP59))</f>
        <v>23.4000552324</v>
      </c>
      <c r="BQ59" s="17">
        <f>IF(BQ$3="","",IF(AND(DivAs=2,BQ$2&lt;ExDivPct),ExDivTree!BQ59+DivAmount*EXP(IntRate*(BQ$2-ExDivPct)),ExDivTree!BQ59))</f>
        <v>24.108434815399999</v>
      </c>
      <c r="BR59" s="17">
        <f>IF(BR$3="","",IF(AND(DivAs=2,BR$2&lt;ExDivPct),ExDivTree!BR59+DivAmount*EXP(IntRate*(BR$2-ExDivPct)),ExDivTree!BR59))</f>
        <v>24.838258862</v>
      </c>
      <c r="BS59" s="17">
        <f>IF(BS$3="","",IF(AND(DivAs=2,BS$2&lt;ExDivPct),ExDivTree!BS59+DivAmount*EXP(IntRate*(BS$2-ExDivPct)),ExDivTree!BS59))</f>
        <v>25.590176551100001</v>
      </c>
      <c r="BT59" s="17">
        <f>IF(BT$3="","",IF(AND(DivAs=2,BT$2&lt;ExDivPct),ExDivTree!BT59+DivAmount*EXP(IntRate*(BT$2-ExDivPct)),ExDivTree!BT59))</f>
        <v>26.3648567137</v>
      </c>
      <c r="BU59" s="17">
        <f>IF(BU$3="","",IF(AND(DivAs=2,BU$2&lt;ExDivPct),ExDivTree!BU59+DivAmount*EXP(IntRate*(BU$2-ExDivPct)),ExDivTree!BU59))</f>
        <v>27.1629884283</v>
      </c>
      <c r="BV59" s="17">
        <f>IF(BV$3="","",IF(AND(DivAs=2,BV$2&lt;ExDivPct),ExDivTree!BV59+DivAmount*EXP(IntRate*(BV$2-ExDivPct)),ExDivTree!BV59))</f>
        <v>27.985281633300001</v>
      </c>
      <c r="BW59" s="17">
        <f>IF(BW$3="","",IF(AND(DivAs=2,BW$2&lt;ExDivPct),ExDivTree!BW59+DivAmount*EXP(IntRate*(BW$2-ExDivPct)),ExDivTree!BW59))</f>
        <v>28.832467759</v>
      </c>
      <c r="BX59" s="17">
        <f>IF(BX$3="","",IF(AND(DivAs=2,BX$2&lt;ExDivPct),ExDivTree!BX59+DivAmount*EXP(IntRate*(BX$2-ExDivPct)),ExDivTree!BX59))</f>
        <v>29.705300377699999</v>
      </c>
      <c r="BY59" s="17">
        <f>IF(BY$3="","",IF(AND(DivAs=2,BY$2&lt;ExDivPct),ExDivTree!BY59+DivAmount*EXP(IntRate*(BY$2-ExDivPct)),ExDivTree!BY59))</f>
        <v>30.604555874500001</v>
      </c>
      <c r="BZ59" s="17">
        <f>IF(BZ$3="","",IF(AND(DivAs=2,BZ$2&lt;ExDivPct),ExDivTree!BZ59+DivAmount*EXP(IntRate*(BZ$2-ExDivPct)),ExDivTree!BZ59))</f>
        <v>31.531034137599999</v>
      </c>
      <c r="CA59" s="17">
        <f>IF(CA$3="","",IF(AND(DivAs=2,CA$2&lt;ExDivPct),ExDivTree!CA59+DivAmount*EXP(IntRate*(CA$2-ExDivPct)),ExDivTree!CA59))</f>
        <v>32.4855592698</v>
      </c>
      <c r="CB59" s="17">
        <f>IF(CB$3="","",IF(AND(DivAs=2,CB$2&lt;ExDivPct),ExDivTree!CB59+DivAmount*EXP(IntRate*(CB$2-ExDivPct)),ExDivTree!CB59))</f>
        <v>33.4689803216</v>
      </c>
      <c r="CC59" s="17">
        <f>IF(CC$3="","",IF(AND(DivAs=2,CC$2&lt;ExDivPct),ExDivTree!CC59+DivAmount*EXP(IntRate*(CC$2-ExDivPct)),ExDivTree!CC59))</f>
        <v>34.482172046499997</v>
      </c>
      <c r="CD59" s="17">
        <f>IF(CD$3="","",IF(AND(DivAs=2,CD$2&lt;ExDivPct),ExDivTree!CD59+DivAmount*EXP(IntRate*(CD$2-ExDivPct)),ExDivTree!CD59))</f>
        <v>35.526035678900001</v>
      </c>
      <c r="CE59" s="17">
        <f>IF(CE$3="","",IF(AND(DivAs=2,CE$2&lt;ExDivPct),ExDivTree!CE59+DivAmount*EXP(IntRate*(CE$2-ExDivPct)),ExDivTree!CE59))</f>
        <v>36.601499736100003</v>
      </c>
      <c r="CF59" s="17">
        <f>IF(CF$3="","",IF(AND(DivAs=2,CF$2&lt;ExDivPct),ExDivTree!CF59+DivAmount*EXP(IntRate*(CF$2-ExDivPct)),ExDivTree!CF59))</f>
        <v>37.7095208438</v>
      </c>
      <c r="CG59" s="17">
        <f>IF(CG$3="","",IF(AND(DivAs=2,CG$2&lt;ExDivPct),ExDivTree!CG59+DivAmount*EXP(IntRate*(CG$2-ExDivPct)),ExDivTree!CG59))</f>
        <v>38.851084587300001</v>
      </c>
      <c r="CH59" s="17">
        <f>IF(CH$3="","",IF(AND(DivAs=2,CH$2&lt;ExDivPct),ExDivTree!CH59+DivAmount*EXP(IntRate*(CH$2-ExDivPct)),ExDivTree!CH59))</f>
        <v>40.027206388099998</v>
      </c>
      <c r="CI59" s="17">
        <f>IF(CI$3="","",IF(AND(DivAs=2,CI$2&lt;ExDivPct),ExDivTree!CI59+DivAmount*EXP(IntRate*(CI$2-ExDivPct)),ExDivTree!CI59))</f>
        <v>41.238932407</v>
      </c>
      <c r="CJ59" s="17">
        <f>IF(CJ$3="","",IF(AND(DivAs=2,CJ$2&lt;ExDivPct),ExDivTree!CJ59+DivAmount*EXP(IntRate*(CJ$2-ExDivPct)),ExDivTree!CJ59))</f>
        <v>42.487340474900002</v>
      </c>
      <c r="CK59" s="17">
        <f>IF(CK$3="","",IF(AND(DivAs=2,CK$2&lt;ExDivPct),ExDivTree!CK59+DivAmount*EXP(IntRate*(CK$2-ExDivPct)),ExDivTree!CK59))</f>
        <v>43.773541051300001</v>
      </c>
      <c r="CL59" s="17">
        <f>IF(CL$3="","",IF(AND(DivAs=2,CL$2&lt;ExDivPct),ExDivTree!CL59+DivAmount*EXP(IntRate*(CL$2-ExDivPct)),ExDivTree!CL59))</f>
        <v>45.098678212199999</v>
      </c>
      <c r="CM59" s="17">
        <f>IF(CM$3="","",IF(AND(DivAs=2,CM$2&lt;ExDivPct),ExDivTree!CM59+DivAmount*EXP(IntRate*(CM$2-ExDivPct)),ExDivTree!CM59))</f>
        <v>46.463930667699998</v>
      </c>
      <c r="CN59" s="17">
        <f>IF(CN$3="","",IF(AND(DivAs=2,CN$2&lt;ExDivPct),ExDivTree!CN59+DivAmount*EXP(IntRate*(CN$2-ExDivPct)),ExDivTree!CN59))</f>
        <v>47.870512810500003</v>
      </c>
      <c r="CO59" s="17">
        <f>IF(CO$3="","",IF(AND(DivAs=2,CO$2&lt;ExDivPct),ExDivTree!CO59+DivAmount*EXP(IntRate*(CO$2-ExDivPct)),ExDivTree!CO59))</f>
        <v>49.319675795999999</v>
      </c>
      <c r="CP59" s="17">
        <f>IF(CP$3="","",IF(AND(DivAs=2,CP$2&lt;ExDivPct),ExDivTree!CP59+DivAmount*EXP(IntRate*(CP$2-ExDivPct)),ExDivTree!CP59))</f>
        <v>50.812708655400002</v>
      </c>
      <c r="CQ59" s="17">
        <f>IF(CQ$3="","",IF(AND(DivAs=2,CQ$2&lt;ExDivPct),ExDivTree!CQ59+DivAmount*EXP(IntRate*(CQ$2-ExDivPct)),ExDivTree!CQ59))</f>
        <v>52.350939441999998</v>
      </c>
      <c r="CR59" s="17">
        <f>IF(CR$3="","",IF(AND(DivAs=2,CR$2&lt;ExDivPct),ExDivTree!CR59+DivAmount*EXP(IntRate*(CR$2-ExDivPct)),ExDivTree!CR59))</f>
        <v>53.935736412899999</v>
      </c>
      <c r="CS59" s="17">
        <f>IF(CS$3="","",IF(AND(DivAs=2,CS$2&lt;ExDivPct),ExDivTree!CS59+DivAmount*EXP(IntRate*(CS$2-ExDivPct)),ExDivTree!CS59))</f>
        <v>55.568509245599998</v>
      </c>
      <c r="CT59" s="17">
        <f>IF(CT$3="","",IF(AND(DivAs=2,CT$2&lt;ExDivPct),ExDivTree!CT59+DivAmount*EXP(IntRate*(CT$2-ExDivPct)),ExDivTree!CT59))</f>
        <v>57.250710292299999</v>
      </c>
      <c r="CU59" s="17">
        <f>IF(CU$3="","",IF(AND(DivAs=2,CU$2&lt;ExDivPct),ExDivTree!CU59+DivAmount*EXP(IntRate*(CU$2-ExDivPct)),ExDivTree!CU59))</f>
        <v>58.983835871700002</v>
      </c>
      <c r="CV59" s="17">
        <f>IF(CV$3="","",IF(AND(DivAs=2,CV$2&lt;ExDivPct),ExDivTree!CV59+DivAmount*EXP(IntRate*(CV$2-ExDivPct)),ExDivTree!CV59))</f>
        <v>60.769427599700002</v>
      </c>
      <c r="CW59" s="17">
        <f>IF(CW$3="","",IF(AND(DivAs=2,CW$2&lt;ExDivPct),ExDivTree!CW59+DivAmount*EXP(IntRate*(CW$2-ExDivPct)),ExDivTree!CW59))</f>
        <v>62.609073760900003</v>
      </c>
      <c r="CX59" s="17">
        <f>IF(CX$3="","",IF(AND(DivAs=2,CX$2&lt;ExDivPct),ExDivTree!CX59+DivAmount*EXP(IntRate*(CX$2-ExDivPct)),ExDivTree!CX59))</f>
        <v>64.504410721499994</v>
      </c>
      <c r="CY59" s="17">
        <f>IF(CY$3="","",IF(AND(DivAs=2,CY$2&lt;ExDivPct),ExDivTree!CY59+DivAmount*EXP(IntRate*(CY$2-ExDivPct)),ExDivTree!CY59))</f>
        <v>66.457124384500005</v>
      </c>
      <c r="CZ59" s="17">
        <f>IF(CZ$3="","",IF(AND(DivAs=2,CZ$2&lt;ExDivPct),ExDivTree!CZ59+DivAmount*EXP(IntRate*(CZ$2-ExDivPct)),ExDivTree!CZ59))</f>
        <v>68.468951689600004</v>
      </c>
      <c r="DA59" s="17">
        <f>IF(DA$3="","",IF(AND(DivAs=2,DA$2&lt;ExDivPct),ExDivTree!DA59+DivAmount*EXP(IntRate*(DA$2-ExDivPct)),ExDivTree!DA59))</f>
        <v>70.541682158100002</v>
      </c>
      <c r="DB59" s="17">
        <f>IF(DB$3="","",IF(AND(DivAs=2,DB$2&lt;ExDivPct),ExDivTree!DB59+DivAmount*EXP(IntRate*(DB$2-ExDivPct)),ExDivTree!DB59))</f>
        <v>72.677159484699999</v>
      </c>
    </row>
    <row r="60" spans="1:106" x14ac:dyDescent="0.2">
      <c r="A60">
        <f>ExDivTree!A60</f>
        <v>1.1082670701120991E+29</v>
      </c>
      <c r="B60" s="71">
        <f>ExDivTree!B60</f>
        <v>4.3713428207763451E-2</v>
      </c>
      <c r="C60" s="71">
        <f>ExDivTree!C60</f>
        <v>4.2442288704258167E-2</v>
      </c>
      <c r="D60" s="177">
        <f>ExDivTree!D60</f>
        <v>56</v>
      </c>
      <c r="BI60" s="17">
        <f>IF(BI$3="","",IF(AND(DivAs=2,BI$2&lt;ExDivPct),ExDivTree!BI60+DivAmount*EXP(IntRate*(BI$2-ExDivPct)),ExDivTree!BI60))</f>
        <v>17.891631508</v>
      </c>
      <c r="BJ60" s="17">
        <f>IF(BJ$3="","",IF(AND(DivAs=2,BJ$2&lt;ExDivPct),ExDivTree!BJ60+DivAmount*EXP(IntRate*(BJ$2-ExDivPct)),ExDivTree!BJ60))</f>
        <v>18.433257001600001</v>
      </c>
      <c r="BK60" s="17">
        <f>IF(BK$3="","",IF(AND(DivAs=2,BK$2&lt;ExDivPct),ExDivTree!BK60+DivAmount*EXP(IntRate*(BK$2-ExDivPct)),ExDivTree!BK60))</f>
        <v>18.9912788856</v>
      </c>
      <c r="BL60" s="17">
        <f>IF(BL$3="","",IF(AND(DivAs=2,BL$2&lt;ExDivPct),ExDivTree!BL60+DivAmount*EXP(IntRate*(BL$2-ExDivPct)),ExDivTree!BL60))</f>
        <v>19.566193520799999</v>
      </c>
      <c r="BM60" s="17">
        <f>IF(BM$3="","",IF(AND(DivAs=2,BM$2&lt;ExDivPct),ExDivTree!BM60+DivAmount*EXP(IntRate*(BM$2-ExDivPct)),ExDivTree!BM60))</f>
        <v>20.158512293899999</v>
      </c>
      <c r="BN60" s="17">
        <f>IF(BN$3="","",IF(AND(DivAs=2,BN$2&lt;ExDivPct),ExDivTree!BN60+DivAmount*EXP(IntRate*(BN$2-ExDivPct)),ExDivTree!BN60))</f>
        <v>20.768762072800001</v>
      </c>
      <c r="BO60" s="17">
        <f>IF(BO$3="","",IF(AND(DivAs=2,BO$2&lt;ExDivPct),ExDivTree!BO60+DivAmount*EXP(IntRate*(BO$2-ExDivPct)),ExDivTree!BO60))</f>
        <v>21.3974856749</v>
      </c>
      <c r="BP60" s="17">
        <f>IF(BP$3="","",IF(AND(DivAs=2,BP$2&lt;ExDivPct),ExDivTree!BP60+DivAmount*EXP(IntRate*(BP$2-ExDivPct)),ExDivTree!BP60))</f>
        <v>22.045242350199999</v>
      </c>
      <c r="BQ60" s="17">
        <f>IF(BQ$3="","",IF(AND(DivAs=2,BQ$2&lt;ExDivPct),ExDivTree!BQ60+DivAmount*EXP(IntRate*(BQ$2-ExDivPct)),ExDivTree!BQ60))</f>
        <v>22.712608278499999</v>
      </c>
      <c r="BR60" s="17">
        <f>IF(BR$3="","",IF(AND(DivAs=2,BR$2&lt;ExDivPct),ExDivTree!BR60+DivAmount*EXP(IntRate*(BR$2-ExDivPct)),ExDivTree!BR60))</f>
        <v>23.400177082100001</v>
      </c>
      <c r="BS60" s="17">
        <f>IF(BS$3="","",IF(AND(DivAs=2,BS$2&lt;ExDivPct),ExDivTree!BS60+DivAmount*EXP(IntRate*(BS$2-ExDivPct)),ExDivTree!BS60))</f>
        <v>24.108560353800002</v>
      </c>
      <c r="BT60" s="17">
        <f>IF(BT$3="","",IF(AND(DivAs=2,BT$2&lt;ExDivPct),ExDivTree!BT60+DivAmount*EXP(IntRate*(BT$2-ExDivPct)),ExDivTree!BT60))</f>
        <v>24.838388200800001</v>
      </c>
      <c r="BU60" s="17">
        <f>IF(BU$3="","",IF(AND(DivAs=2,BU$2&lt;ExDivPct),ExDivTree!BU60+DivAmount*EXP(IntRate*(BU$2-ExDivPct)),ExDivTree!BU60))</f>
        <v>25.590309805299999</v>
      </c>
      <c r="BV60" s="17">
        <f>IF(BV$3="","",IF(AND(DivAs=2,BV$2&lt;ExDivPct),ExDivTree!BV60+DivAmount*EXP(IntRate*(BV$2-ExDivPct)),ExDivTree!BV60))</f>
        <v>26.364994001900001</v>
      </c>
      <c r="BW60" s="17">
        <f>IF(BW$3="","",IF(AND(DivAs=2,BW$2&lt;ExDivPct),ExDivTree!BW60+DivAmount*EXP(IntRate*(BW$2-ExDivPct)),ExDivTree!BW60))</f>
        <v>27.163129872500001</v>
      </c>
      <c r="BX60" s="17">
        <f>IF(BX$3="","",IF(AND(DivAs=2,BX$2&lt;ExDivPct),ExDivTree!BX60+DivAmount*EXP(IntRate*(BX$2-ExDivPct)),ExDivTree!BX60))</f>
        <v>27.985427359399999</v>
      </c>
      <c r="BY60" s="17">
        <f>IF(BY$3="","",IF(AND(DivAs=2,BY$2&lt;ExDivPct),ExDivTree!BY60+DivAmount*EXP(IntRate*(BY$2-ExDivPct)),ExDivTree!BY60))</f>
        <v>28.832617896599999</v>
      </c>
      <c r="BZ60" s="17">
        <f>IF(BZ$3="","",IF(AND(DivAs=2,BZ$2&lt;ExDivPct),ExDivTree!BZ60+DivAmount*EXP(IntRate*(BZ$2-ExDivPct)),ExDivTree!BZ60))</f>
        <v>29.705455060399999</v>
      </c>
      <c r="CA60" s="17">
        <f>IF(CA$3="","",IF(AND(DivAs=2,CA$2&lt;ExDivPct),ExDivTree!CA60+DivAmount*EXP(IntRate*(CA$2-ExDivPct)),ExDivTree!CA60))</f>
        <v>30.604715239899999</v>
      </c>
      <c r="CB60" s="17">
        <f>IF(CB$3="","",IF(AND(DivAs=2,CB$2&lt;ExDivPct),ExDivTree!CB60+DivAmount*EXP(IntRate*(CB$2-ExDivPct)),ExDivTree!CB60))</f>
        <v>31.531198327399999</v>
      </c>
      <c r="CC60" s="17">
        <f>IF(CC$3="","",IF(AND(DivAs=2,CC$2&lt;ExDivPct),ExDivTree!CC60+DivAmount*EXP(IntRate*(CC$2-ExDivPct)),ExDivTree!CC60))</f>
        <v>32.485728430000002</v>
      </c>
      <c r="CD60" s="17">
        <f>IF(CD$3="","",IF(AND(DivAs=2,CD$2&lt;ExDivPct),ExDivTree!CD60+DivAmount*EXP(IntRate*(CD$2-ExDivPct)),ExDivTree!CD60))</f>
        <v>33.469154602700002</v>
      </c>
      <c r="CE60" s="17">
        <f>IF(CE$3="","",IF(AND(DivAs=2,CE$2&lt;ExDivPct),ExDivTree!CE60+DivAmount*EXP(IntRate*(CE$2-ExDivPct)),ExDivTree!CE60))</f>
        <v>34.4823516035</v>
      </c>
      <c r="CF60" s="17">
        <f>IF(CF$3="","",IF(AND(DivAs=2,CF$2&lt;ExDivPct),ExDivTree!CF60+DivAmount*EXP(IntRate*(CF$2-ExDivPct)),ExDivTree!CF60))</f>
        <v>35.526220671600001</v>
      </c>
      <c r="CG60" s="17">
        <f>IF(CG$3="","",IF(AND(DivAs=2,CG$2&lt;ExDivPct),ExDivTree!CG60+DivAmount*EXP(IntRate*(CG$2-ExDivPct)),ExDivTree!CG60))</f>
        <v>36.601690329</v>
      </c>
      <c r="CH60" s="17">
        <f>IF(CH$3="","",IF(AND(DivAs=2,CH$2&lt;ExDivPct),ExDivTree!CH60+DivAmount*EXP(IntRate*(CH$2-ExDivPct)),ExDivTree!CH60))</f>
        <v>37.709717206400001</v>
      </c>
      <c r="CI60" s="17">
        <f>IF(CI$3="","",IF(AND(DivAs=2,CI$2&lt;ExDivPct),ExDivTree!CI60+DivAmount*EXP(IntRate*(CI$2-ExDivPct)),ExDivTree!CI60))</f>
        <v>38.851286894300003</v>
      </c>
      <c r="CJ60" s="17">
        <f>IF(CJ$3="","",IF(AND(DivAs=2,CJ$2&lt;ExDivPct),ExDivTree!CJ60+DivAmount*EXP(IntRate*(CJ$2-ExDivPct)),ExDivTree!CJ60))</f>
        <v>40.027414819400001</v>
      </c>
      <c r="CK60" s="17">
        <f>IF(CK$3="","",IF(AND(DivAs=2,CK$2&lt;ExDivPct),ExDivTree!CK60+DivAmount*EXP(IntRate*(CK$2-ExDivPct)),ExDivTree!CK60))</f>
        <v>41.239147148000001</v>
      </c>
      <c r="CL60" s="17">
        <f>IF(CL$3="","",IF(AND(DivAs=2,CL$2&lt;ExDivPct),ExDivTree!CL60+DivAmount*EXP(IntRate*(CL$2-ExDivPct)),ExDivTree!CL60))</f>
        <v>42.487561716599998</v>
      </c>
      <c r="CM60" s="17">
        <f>IF(CM$3="","",IF(AND(DivAs=2,CM$2&lt;ExDivPct),ExDivTree!CM60+DivAmount*EXP(IntRate*(CM$2-ExDivPct)),ExDivTree!CM60))</f>
        <v>43.773768990500002</v>
      </c>
      <c r="CN60" s="17">
        <f>IF(CN$3="","",IF(AND(DivAs=2,CN$2&lt;ExDivPct),ExDivTree!CN60+DivAmount*EXP(IntRate*(CN$2-ExDivPct)),ExDivTree!CN60))</f>
        <v>45.098913051700002</v>
      </c>
      <c r="CO60" s="17">
        <f>IF(CO$3="","",IF(AND(DivAs=2,CO$2&lt;ExDivPct),ExDivTree!CO60+DivAmount*EXP(IntRate*(CO$2-ExDivPct)),ExDivTree!CO60))</f>
        <v>46.464172616399999</v>
      </c>
      <c r="CP60" s="17">
        <f>IF(CP$3="","",IF(AND(DivAs=2,CP$2&lt;ExDivPct),ExDivTree!CP60+DivAmount*EXP(IntRate*(CP$2-ExDivPct)),ExDivTree!CP60))</f>
        <v>47.870762083599999</v>
      </c>
      <c r="CQ60" s="17">
        <f>IF(CQ$3="","",IF(AND(DivAs=2,CQ$2&lt;ExDivPct),ExDivTree!CQ60+DivAmount*EXP(IntRate*(CQ$2-ExDivPct)),ExDivTree!CQ60))</f>
        <v>49.319932615200003</v>
      </c>
      <c r="CR60" s="17">
        <f>IF(CR$3="","",IF(AND(DivAs=2,CR$2&lt;ExDivPct),ExDivTree!CR60+DivAmount*EXP(IntRate*(CR$2-ExDivPct)),ExDivTree!CR60))</f>
        <v>50.812973249099997</v>
      </c>
      <c r="CS60" s="17">
        <f>IF(CS$3="","",IF(AND(DivAs=2,CS$2&lt;ExDivPct),ExDivTree!CS60+DivAmount*EXP(IntRate*(CS$2-ExDivPct)),ExDivTree!CS60))</f>
        <v>52.351212045600001</v>
      </c>
      <c r="CT60" s="17">
        <f>IF(CT$3="","",IF(AND(DivAs=2,CT$2&lt;ExDivPct),ExDivTree!CT60+DivAmount*EXP(IntRate*(CT$2-ExDivPct)),ExDivTree!CT60))</f>
        <v>53.936017268900002</v>
      </c>
      <c r="CU60" s="17">
        <f>IF(CU$3="","",IF(AND(DivAs=2,CU$2&lt;ExDivPct),ExDivTree!CU60+DivAmount*EXP(IntRate*(CU$2-ExDivPct)),ExDivTree!CU60))</f>
        <v>55.568798603799998</v>
      </c>
      <c r="CV60" s="17">
        <f>IF(CV$3="","",IF(AND(DivAs=2,CV$2&lt;ExDivPct),ExDivTree!CV60+DivAmount*EXP(IntRate*(CV$2-ExDivPct)),ExDivTree!CV60))</f>
        <v>57.251008410200001</v>
      </c>
      <c r="CW60" s="17">
        <f>IF(CW$3="","",IF(AND(DivAs=2,CW$2&lt;ExDivPct),ExDivTree!CW60+DivAmount*EXP(IntRate*(CW$2-ExDivPct)),ExDivTree!CW60))</f>
        <v>58.984143014300003</v>
      </c>
      <c r="CX60" s="17">
        <f>IF(CX$3="","",IF(AND(DivAs=2,CX$2&lt;ExDivPct),ExDivTree!CX60+DivAmount*EXP(IntRate*(CX$2-ExDivPct)),ExDivTree!CX60))</f>
        <v>60.769744040299997</v>
      </c>
      <c r="CY60" s="17">
        <f>IF(CY$3="","",IF(AND(DivAs=2,CY$2&lt;ExDivPct),ExDivTree!CY60+DivAmount*EXP(IntRate*(CY$2-ExDivPct)),ExDivTree!CY60))</f>
        <v>62.609399781</v>
      </c>
      <c r="CZ60" s="17">
        <f>IF(CZ$3="","",IF(AND(DivAs=2,CZ$2&lt;ExDivPct),ExDivTree!CZ60+DivAmount*EXP(IntRate*(CZ$2-ExDivPct)),ExDivTree!CZ60))</f>
        <v>64.504746611000002</v>
      </c>
      <c r="DA60" s="17">
        <f>IF(DA$3="","",IF(AND(DivAs=2,DA$2&lt;ExDivPct),ExDivTree!DA60+DivAmount*EXP(IntRate*(DA$2-ExDivPct)),ExDivTree!DA60))</f>
        <v>66.457470442200005</v>
      </c>
      <c r="DB60" s="17">
        <f>IF(DB$3="","",IF(AND(DivAs=2,DB$2&lt;ExDivPct),ExDivTree!DB60+DivAmount*EXP(IntRate*(DB$2-ExDivPct)),ExDivTree!DB60))</f>
        <v>68.469308223300004</v>
      </c>
    </row>
    <row r="61" spans="1:106" x14ac:dyDescent="0.2">
      <c r="A61">
        <f>ExDivTree!A61</f>
        <v>8.7494768693060485E+28</v>
      </c>
      <c r="B61" s="71">
        <f>ExDivTree!B61</f>
        <v>3.4510601216655369E-2</v>
      </c>
      <c r="C61" s="71">
        <f>ExDivTree!C61</f>
        <v>3.3329920031033619E-2</v>
      </c>
      <c r="D61" s="177">
        <f>ExDivTree!D61</f>
        <v>57</v>
      </c>
      <c r="BJ61" s="17">
        <f>IF(BJ$3="","",IF(AND(DivAs=2,BJ$2&lt;ExDivPct),ExDivTree!BJ61+DivAmount*EXP(IntRate*(BJ$2-ExDivPct)),ExDivTree!BJ61))</f>
        <v>17.3660110573</v>
      </c>
      <c r="BK61" s="17">
        <f>IF(BK$3="","",IF(AND(DivAs=2,BK$2&lt;ExDivPct),ExDivTree!BK61+DivAmount*EXP(IntRate*(BK$2-ExDivPct)),ExDivTree!BK61))</f>
        <v>17.891724674100001</v>
      </c>
      <c r="BL61" s="17">
        <f>IF(BL$3="","",IF(AND(DivAs=2,BL$2&lt;ExDivPct),ExDivTree!BL61+DivAmount*EXP(IntRate*(BL$2-ExDivPct)),ExDivTree!BL61))</f>
        <v>18.433352988100001</v>
      </c>
      <c r="BM61" s="17">
        <f>IF(BM$3="","",IF(AND(DivAs=2,BM$2&lt;ExDivPct),ExDivTree!BM61+DivAmount*EXP(IntRate*(BM$2-ExDivPct)),ExDivTree!BM61))</f>
        <v>18.991377777899999</v>
      </c>
      <c r="BN61" s="17">
        <f>IF(BN$3="","",IF(AND(DivAs=2,BN$2&lt;ExDivPct),ExDivTree!BN61+DivAmount*EXP(IntRate*(BN$2-ExDivPct)),ExDivTree!BN61))</f>
        <v>19.566295406799998</v>
      </c>
      <c r="BO61" s="17">
        <f>IF(BO$3="","",IF(AND(DivAs=2,BO$2&lt;ExDivPct),ExDivTree!BO61+DivAmount*EXP(IntRate*(BO$2-ExDivPct)),ExDivTree!BO61))</f>
        <v>20.158617264299998</v>
      </c>
      <c r="BP61" s="17">
        <f>IF(BP$3="","",IF(AND(DivAs=2,BP$2&lt;ExDivPct),ExDivTree!BP61+DivAmount*EXP(IntRate*(BP$2-ExDivPct)),ExDivTree!BP61))</f>
        <v>20.768870220899998</v>
      </c>
      <c r="BQ61" s="17">
        <f>IF(BQ$3="","",IF(AND(DivAs=2,BQ$2&lt;ExDivPct),ExDivTree!BQ61+DivAmount*EXP(IntRate*(BQ$2-ExDivPct)),ExDivTree!BQ61))</f>
        <v>21.397597096999998</v>
      </c>
      <c r="BR61" s="17">
        <f>IF(BR$3="","",IF(AND(DivAs=2,BR$2&lt;ExDivPct),ExDivTree!BR61+DivAmount*EXP(IntRate*(BR$2-ExDivPct)),ExDivTree!BR61))</f>
        <v>22.045357145299999</v>
      </c>
      <c r="BS61" s="17">
        <f>IF(BS$3="","",IF(AND(DivAs=2,BS$2&lt;ExDivPct),ExDivTree!BS61+DivAmount*EXP(IntRate*(BS$2-ExDivPct)),ExDivTree!BS61))</f>
        <v>22.712726548700001</v>
      </c>
      <c r="BT61" s="17">
        <f>IF(BT$3="","",IF(AND(DivAs=2,BT$2&lt;ExDivPct),ExDivTree!BT61+DivAmount*EXP(IntRate*(BT$2-ExDivPct)),ExDivTree!BT61))</f>
        <v>23.400298932599998</v>
      </c>
      <c r="BU61" s="17">
        <f>IF(BU$3="","",IF(AND(DivAs=2,BU$2&lt;ExDivPct),ExDivTree!BU61+DivAmount*EXP(IntRate*(BU$2-ExDivPct)),ExDivTree!BU61))</f>
        <v>24.108685893000001</v>
      </c>
      <c r="BV61" s="17">
        <f>IF(BV$3="","",IF(AND(DivAs=2,BV$2&lt;ExDivPct),ExDivTree!BV61+DivAmount*EXP(IntRate*(BV$2-ExDivPct)),ExDivTree!BV61))</f>
        <v>24.838517540400002</v>
      </c>
      <c r="BW61" s="17">
        <f>IF(BW$3="","",IF(AND(DivAs=2,BW$2&lt;ExDivPct),ExDivTree!BW61+DivAmount*EXP(IntRate*(BW$2-ExDivPct)),ExDivTree!BW61))</f>
        <v>25.5904430603</v>
      </c>
      <c r="BX61" s="17">
        <f>IF(BX$3="","",IF(AND(DivAs=2,BX$2&lt;ExDivPct),ExDivTree!BX61+DivAmount*EXP(IntRate*(BX$2-ExDivPct)),ExDivTree!BX61))</f>
        <v>26.365131290899999</v>
      </c>
      <c r="BY61" s="17">
        <f>IF(BY$3="","",IF(AND(DivAs=2,BY$2&lt;ExDivPct),ExDivTree!BY61+DivAmount*EXP(IntRate*(BY$2-ExDivPct)),ExDivTree!BY61))</f>
        <v>27.1632713176</v>
      </c>
      <c r="BZ61" s="17">
        <f>IF(BZ$3="","",IF(AND(DivAs=2,BZ$2&lt;ExDivPct),ExDivTree!BZ61+DivAmount*EXP(IntRate*(BZ$2-ExDivPct)),ExDivTree!BZ61))</f>
        <v>27.985573086399999</v>
      </c>
      <c r="CA61" s="17">
        <f>IF(CA$3="","",IF(AND(DivAs=2,CA$2&lt;ExDivPct),ExDivTree!CA61+DivAmount*EXP(IntRate*(CA$2-ExDivPct)),ExDivTree!CA61))</f>
        <v>28.832768035099999</v>
      </c>
      <c r="CB61" s="17">
        <f>IF(CB$3="","",IF(AND(DivAs=2,CB$2&lt;ExDivPct),ExDivTree!CB61+DivAmount*EXP(IntRate*(CB$2-ExDivPct)),ExDivTree!CB61))</f>
        <v>29.705609744</v>
      </c>
      <c r="CC61" s="17">
        <f>IF(CC$3="","",IF(AND(DivAs=2,CC$2&lt;ExDivPct),ExDivTree!CC61+DivAmount*EXP(IntRate*(CC$2-ExDivPct)),ExDivTree!CC61))</f>
        <v>30.604874606100001</v>
      </c>
      <c r="CD61" s="17">
        <f>IF(CD$3="","",IF(AND(DivAs=2,CD$2&lt;ExDivPct),ExDivTree!CD61+DivAmount*EXP(IntRate*(CD$2-ExDivPct)),ExDivTree!CD61))</f>
        <v>31.531362518000002</v>
      </c>
      <c r="CE61" s="17">
        <f>IF(CE$3="","",IF(AND(DivAs=2,CE$2&lt;ExDivPct),ExDivTree!CE61+DivAmount*EXP(IntRate*(CE$2-ExDivPct)),ExDivTree!CE61))</f>
        <v>32.485897591099999</v>
      </c>
      <c r="CF61" s="17">
        <f>IF(CF$3="","",IF(AND(DivAs=2,CF$2&lt;ExDivPct),ExDivTree!CF61+DivAmount*EXP(IntRate*(CF$2-ExDivPct)),ExDivTree!CF61))</f>
        <v>33.469328884699998</v>
      </c>
      <c r="CG61" s="17">
        <f>IF(CG$3="","",IF(AND(DivAs=2,CG$2&lt;ExDivPct),ExDivTree!CG61+DivAmount*EXP(IntRate*(CG$2-ExDivPct)),ExDivTree!CG61))</f>
        <v>34.482531161499999</v>
      </c>
      <c r="CH61" s="17">
        <f>IF(CH$3="","",IF(AND(DivAs=2,CH$2&lt;ExDivPct),ExDivTree!CH61+DivAmount*EXP(IntRate*(CH$2-ExDivPct)),ExDivTree!CH61))</f>
        <v>35.526405665299997</v>
      </c>
      <c r="CI61" s="17">
        <f>IF(CI$3="","",IF(AND(DivAs=2,CI$2&lt;ExDivPct),ExDivTree!CI61+DivAmount*EXP(IntRate*(CI$2-ExDivPct)),ExDivTree!CI61))</f>
        <v>36.601880922900001</v>
      </c>
      <c r="CJ61" s="17">
        <f>IF(CJ$3="","",IF(AND(DivAs=2,CJ$2&lt;ExDivPct),ExDivTree!CJ61+DivAmount*EXP(IntRate*(CJ$2-ExDivPct)),ExDivTree!CJ61))</f>
        <v>37.709913570099999</v>
      </c>
      <c r="CK61" s="17">
        <f>IF(CK$3="","",IF(AND(DivAs=2,CK$2&lt;ExDivPct),ExDivTree!CK61+DivAmount*EXP(IntRate*(CK$2-ExDivPct)),ExDivTree!CK61))</f>
        <v>38.851489202400003</v>
      </c>
      <c r="CL61" s="17">
        <f>IF(CL$3="","",IF(AND(DivAs=2,CL$2&lt;ExDivPct),ExDivTree!CL61+DivAmount*EXP(IntRate*(CL$2-ExDivPct)),ExDivTree!CL61))</f>
        <v>40.027623251900003</v>
      </c>
      <c r="CM61" s="17">
        <f>IF(CM$3="","",IF(AND(DivAs=2,CM$2&lt;ExDivPct),ExDivTree!CM61+DivAmount*EXP(IntRate*(CM$2-ExDivPct)),ExDivTree!CM61))</f>
        <v>41.239361890300003</v>
      </c>
      <c r="CN61" s="17">
        <f>IF(CN$3="","",IF(AND(DivAs=2,CN$2&lt;ExDivPct),ExDivTree!CN61+DivAmount*EXP(IntRate*(CN$2-ExDivPct)),ExDivTree!CN61))</f>
        <v>42.487782959699999</v>
      </c>
      <c r="CO61" s="17">
        <f>IF(CO$3="","",IF(AND(DivAs=2,CO$2&lt;ExDivPct),ExDivTree!CO61+DivAmount*EXP(IntRate*(CO$2-ExDivPct)),ExDivTree!CO61))</f>
        <v>43.773996931200003</v>
      </c>
      <c r="CP61" s="17">
        <f>IF(CP$3="","",IF(AND(DivAs=2,CP$2&lt;ExDivPct),ExDivTree!CP61+DivAmount*EXP(IntRate*(CP$2-ExDivPct)),ExDivTree!CP61))</f>
        <v>45.099147892700003</v>
      </c>
      <c r="CQ61" s="17">
        <f>IF(CQ$3="","",IF(AND(DivAs=2,CQ$2&lt;ExDivPct),ExDivTree!CQ61+DivAmount*EXP(IntRate*(CQ$2-ExDivPct)),ExDivTree!CQ61))</f>
        <v>46.464414566599999</v>
      </c>
      <c r="CR61" s="17">
        <f>IF(CR$3="","",IF(AND(DivAs=2,CR$2&lt;ExDivPct),ExDivTree!CR61+DivAmount*EXP(IntRate*(CR$2-ExDivPct)),ExDivTree!CR61))</f>
        <v>47.871011358200001</v>
      </c>
      <c r="CS61" s="17">
        <f>IF(CS$3="","",IF(AND(DivAs=2,CS$2&lt;ExDivPct),ExDivTree!CS61+DivAmount*EXP(IntRate*(CS$2-ExDivPct)),ExDivTree!CS61))</f>
        <v>49.320189436</v>
      </c>
      <c r="CT61" s="17">
        <f>IF(CT$3="","",IF(AND(DivAs=2,CT$2&lt;ExDivPct),ExDivTree!CT61+DivAmount*EXP(IntRate*(CT$2-ExDivPct)),ExDivTree!CT61))</f>
        <v>50.813237844600003</v>
      </c>
      <c r="CU61" s="17">
        <f>IF(CU$3="","",IF(AND(DivAs=2,CU$2&lt;ExDivPct),ExDivTree!CU61+DivAmount*EXP(IntRate*(CU$2-ExDivPct)),ExDivTree!CU61))</f>
        <v>52.351484651100002</v>
      </c>
      <c r="CV61" s="17">
        <f>IF(CV$3="","",IF(AND(DivAs=2,CV$2&lt;ExDivPct),ExDivTree!CV61+DivAmount*EXP(IntRate*(CV$2-ExDivPct)),ExDivTree!CV61))</f>
        <v>53.936298126799997</v>
      </c>
      <c r="CW61" s="17">
        <f>IF(CW$3="","",IF(AND(DivAs=2,CW$2&lt;ExDivPct),ExDivTree!CW61+DivAmount*EXP(IntRate*(CW$2-ExDivPct)),ExDivTree!CW61))</f>
        <v>55.569087963999998</v>
      </c>
      <c r="CX61" s="17">
        <f>IF(CX$3="","",IF(AND(DivAs=2,CX$2&lt;ExDivPct),ExDivTree!CX61+DivAmount*EXP(IntRate*(CX$2-ExDivPct)),ExDivTree!CX61))</f>
        <v>57.251306530000001</v>
      </c>
      <c r="CY61" s="17">
        <f>IF(CY$3="","",IF(AND(DivAs=2,CY$2&lt;ExDivPct),ExDivTree!CY61+DivAmount*EXP(IntRate*(CY$2-ExDivPct)),ExDivTree!CY61))</f>
        <v>58.984450158999998</v>
      </c>
      <c r="CZ61" s="17">
        <f>IF(CZ$3="","",IF(AND(DivAs=2,CZ$2&lt;ExDivPct),ExDivTree!CZ61+DivAmount*EXP(IntRate*(CZ$2-ExDivPct)),ExDivTree!CZ61))</f>
        <v>60.770060483000002</v>
      </c>
      <c r="DA61" s="17">
        <f>IF(DA$3="","",IF(AND(DivAs=2,DA$2&lt;ExDivPct),ExDivTree!DA61+DivAmount*EXP(IntRate*(DA$2-ExDivPct)),ExDivTree!DA61))</f>
        <v>62.6097258032</v>
      </c>
      <c r="DB61" s="17">
        <f>IF(DB$3="","",IF(AND(DivAs=2,DB$2&lt;ExDivPct),ExDivTree!DB61+DivAmount*EXP(IntRate*(DB$2-ExDivPct)),ExDivTree!DB61))</f>
        <v>64.505082502700006</v>
      </c>
    </row>
    <row r="62" spans="1:106" x14ac:dyDescent="0.2">
      <c r="A62">
        <f>ExDivTree!A62</f>
        <v>6.63753417671493E+28</v>
      </c>
      <c r="B62" s="71">
        <f>ExDivTree!B62</f>
        <v>2.6180456095393715E-2</v>
      </c>
      <c r="C62" s="71">
        <f>ExDivTree!C62</f>
        <v>2.5151087776509578E-2</v>
      </c>
      <c r="D62" s="177">
        <f>ExDivTree!D62</f>
        <v>58</v>
      </c>
      <c r="BK62" s="17">
        <f>IF(BK$3="","",IF(AND(DivAs=2,BK$2&lt;ExDivPct),ExDivTree!BK62+DivAmount*EXP(IntRate*(BK$2-ExDivPct)),ExDivTree!BK62))</f>
        <v>16.855832287199998</v>
      </c>
      <c r="BL62" s="17">
        <f>IF(BL$3="","",IF(AND(DivAs=2,BL$2&lt;ExDivPct),ExDivTree!BL62+DivAmount*EXP(IntRate*(BL$2-ExDivPct)),ExDivTree!BL62))</f>
        <v>17.3661014865</v>
      </c>
      <c r="BM62" s="17">
        <f>IF(BM$3="","",IF(AND(DivAs=2,BM$2&lt;ExDivPct),ExDivTree!BM62+DivAmount*EXP(IntRate*(BM$2-ExDivPct)),ExDivTree!BM62))</f>
        <v>17.8918178409</v>
      </c>
      <c r="BN62" s="17">
        <f>IF(BN$3="","",IF(AND(DivAs=2,BN$2&lt;ExDivPct),ExDivTree!BN62+DivAmount*EXP(IntRate*(BN$2-ExDivPct)),ExDivTree!BN62))</f>
        <v>18.433448975299999</v>
      </c>
      <c r="BO62" s="17">
        <f>IF(BO$3="","",IF(AND(DivAs=2,BO$2&lt;ExDivPct),ExDivTree!BO62+DivAmount*EXP(IntRate*(BO$2-ExDivPct)),ExDivTree!BO62))</f>
        <v>18.991476670899999</v>
      </c>
      <c r="BP62" s="17">
        <f>IF(BP$3="","",IF(AND(DivAs=2,BP$2&lt;ExDivPct),ExDivTree!BP62+DivAmount*EXP(IntRate*(BP$2-ExDivPct)),ExDivTree!BP62))</f>
        <v>19.5663972935</v>
      </c>
      <c r="BQ62" s="17">
        <f>IF(BQ$3="","",IF(AND(DivAs=2,BQ$2&lt;ExDivPct),ExDivTree!BQ62+DivAmount*EXP(IntRate*(BQ$2-ExDivPct)),ExDivTree!BQ62))</f>
        <v>20.158722235399999</v>
      </c>
      <c r="BR62" s="17">
        <f>IF(BR$3="","",IF(AND(DivAs=2,BR$2&lt;ExDivPct),ExDivTree!BR62+DivAmount*EXP(IntRate*(BR$2-ExDivPct)),ExDivTree!BR62))</f>
        <v>20.768978369799999</v>
      </c>
      <c r="BS62" s="17">
        <f>IF(BS$3="","",IF(AND(DivAs=2,BS$2&lt;ExDivPct),ExDivTree!BS62+DivAmount*EXP(IntRate*(BS$2-ExDivPct)),ExDivTree!BS62))</f>
        <v>21.397708519799998</v>
      </c>
      <c r="BT62" s="17">
        <f>IF(BT$3="","",IF(AND(DivAs=2,BT$2&lt;ExDivPct),ExDivTree!BT62+DivAmount*EXP(IntRate*(BT$2-ExDivPct)),ExDivTree!BT62))</f>
        <v>22.045471941199999</v>
      </c>
      <c r="BU62" s="17">
        <f>IF(BU$3="","",IF(AND(DivAs=2,BU$2&lt;ExDivPct),ExDivTree!BU62+DivAmount*EXP(IntRate*(BU$2-ExDivPct)),ExDivTree!BU62))</f>
        <v>22.712844819800001</v>
      </c>
      <c r="BV62" s="17">
        <f>IF(BV$3="","",IF(AND(DivAs=2,BV$2&lt;ExDivPct),ExDivTree!BV62+DivAmount*EXP(IntRate*(BV$2-ExDivPct)),ExDivTree!BV62))</f>
        <v>23.4004207841</v>
      </c>
      <c r="BW62" s="17">
        <f>IF(BW$3="","",IF(AND(DivAs=2,BW$2&lt;ExDivPct),ExDivTree!BW62+DivAmount*EXP(IntRate*(BW$2-ExDivPct)),ExDivTree!BW62))</f>
        <v>24.108811433300001</v>
      </c>
      <c r="BX62" s="17">
        <f>IF(BX$3="","",IF(AND(DivAs=2,BX$2&lt;ExDivPct),ExDivTree!BX62+DivAmount*EXP(IntRate*(BX$2-ExDivPct)),ExDivTree!BX62))</f>
        <v>24.838646881100001</v>
      </c>
      <c r="BY62" s="17">
        <f>IF(BY$3="","",IF(AND(DivAs=2,BY$2&lt;ExDivPct),ExDivTree!BY62+DivAmount*EXP(IntRate*(BY$2-ExDivPct)),ExDivTree!BY62))</f>
        <v>25.590576316500002</v>
      </c>
      <c r="BZ62" s="17">
        <f>IF(BZ$3="","",IF(AND(DivAs=2,BZ$2&lt;ExDivPct),ExDivTree!BZ62+DivAmount*EXP(IntRate*(BZ$2-ExDivPct)),ExDivTree!BZ62))</f>
        <v>26.3652685811</v>
      </c>
      <c r="CA62" s="17">
        <f>IF(CA$3="","",IF(AND(DivAs=2,CA$2&lt;ExDivPct),ExDivTree!CA62+DivAmount*EXP(IntRate*(CA$2-ExDivPct)),ExDivTree!CA62))</f>
        <v>27.163412764</v>
      </c>
      <c r="CB62" s="17">
        <f>IF(CB$3="","",IF(AND(DivAs=2,CB$2&lt;ExDivPct),ExDivTree!CB62+DivAmount*EXP(IntRate*(CB$2-ExDivPct)),ExDivTree!CB62))</f>
        <v>27.985718814799998</v>
      </c>
      <c r="CC62" s="17">
        <f>IF(CC$3="","",IF(AND(DivAs=2,CC$2&lt;ExDivPct),ExDivTree!CC62+DivAmount*EXP(IntRate*(CC$2-ExDivPct)),ExDivTree!CC62))</f>
        <v>28.832918175100001</v>
      </c>
      <c r="CD62" s="17">
        <f>IF(CD$3="","",IF(AND(DivAs=2,CD$2&lt;ExDivPct),ExDivTree!CD62+DivAmount*EXP(IntRate*(CD$2-ExDivPct)),ExDivTree!CD62))</f>
        <v>29.7057644291</v>
      </c>
      <c r="CE62" s="17">
        <f>IF(CE$3="","",IF(AND(DivAs=2,CE$2&lt;ExDivPct),ExDivTree!CE62+DivAmount*EXP(IntRate*(CE$2-ExDivPct)),ExDivTree!CE62))</f>
        <v>30.605033973899999</v>
      </c>
      <c r="CF62" s="17">
        <f>IF(CF$3="","",IF(AND(DivAs=2,CF$2&lt;ExDivPct),ExDivTree!CF62+DivAmount*EXP(IntRate*(CF$2-ExDivPct)),ExDivTree!CF62))</f>
        <v>31.5315267103</v>
      </c>
      <c r="CG62" s="17">
        <f>IF(CG$3="","",IF(AND(DivAs=2,CG$2&lt;ExDivPct),ExDivTree!CG62+DivAmount*EXP(IntRate*(CG$2-ExDivPct)),ExDivTree!CG62))</f>
        <v>32.486066753899998</v>
      </c>
      <c r="CH62" s="17">
        <f>IF(CH$3="","",IF(AND(DivAs=2,CH$2&lt;ExDivPct),ExDivTree!CH62+DivAmount*EXP(IntRate*(CH$2-ExDivPct)),ExDivTree!CH62))</f>
        <v>33.469503168499998</v>
      </c>
      <c r="CI62" s="17">
        <f>IF(CI$3="","",IF(AND(DivAs=2,CI$2&lt;ExDivPct),ExDivTree!CI62+DivAmount*EXP(IntRate*(CI$2-ExDivPct)),ExDivTree!CI62))</f>
        <v>34.482710721300002</v>
      </c>
      <c r="CJ62" s="17">
        <f>IF(CJ$3="","",IF(AND(DivAs=2,CJ$2&lt;ExDivPct),ExDivTree!CJ62+DivAmount*EXP(IntRate*(CJ$2-ExDivPct)),ExDivTree!CJ62))</f>
        <v>35.526590660799997</v>
      </c>
      <c r="CK62" s="17">
        <f>IF(CK$3="","",IF(AND(DivAs=2,CK$2&lt;ExDivPct),ExDivTree!CK62+DivAmount*EXP(IntRate*(CK$2-ExDivPct)),ExDivTree!CK62))</f>
        <v>36.602071518700001</v>
      </c>
      <c r="CL62" s="17">
        <f>IF(CL$3="","",IF(AND(DivAs=2,CL$2&lt;ExDivPct),ExDivTree!CL62+DivAmount*EXP(IntRate*(CL$2-ExDivPct)),ExDivTree!CL62))</f>
        <v>37.710109935699997</v>
      </c>
      <c r="CM62" s="17">
        <f>IF(CM$3="","",IF(AND(DivAs=2,CM$2&lt;ExDivPct),ExDivTree!CM62+DivAmount*EXP(IntRate*(CM$2-ExDivPct)),ExDivTree!CM62))</f>
        <v>38.851691512499997</v>
      </c>
      <c r="CN62" s="17">
        <f>IF(CN$3="","",IF(AND(DivAs=2,CN$2&lt;ExDivPct),ExDivTree!CN62+DivAmount*EXP(IntRate*(CN$2-ExDivPct)),ExDivTree!CN62))</f>
        <v>40.027831686399999</v>
      </c>
      <c r="CO62" s="17">
        <f>IF(CO$3="","",IF(AND(DivAs=2,CO$2&lt;ExDivPct),ExDivTree!CO62+DivAmount*EXP(IntRate*(CO$2-ExDivPct)),ExDivTree!CO62))</f>
        <v>41.239576634700001</v>
      </c>
      <c r="CP62" s="17">
        <f>IF(CP$3="","",IF(AND(DivAs=2,CP$2&lt;ExDivPct),ExDivTree!CP62+DivAmount*EXP(IntRate*(CP$2-ExDivPct)),ExDivTree!CP62))</f>
        <v>42.488004205000003</v>
      </c>
      <c r="CQ62" s="17">
        <f>IF(CQ$3="","",IF(AND(DivAs=2,CQ$2&lt;ExDivPct),ExDivTree!CQ62+DivAmount*EXP(IntRate*(CQ$2-ExDivPct)),ExDivTree!CQ62))</f>
        <v>43.774224874200002</v>
      </c>
      <c r="CR62" s="17">
        <f>IF(CR$3="","",IF(AND(DivAs=2,CR$2&lt;ExDivPct),ExDivTree!CR62+DivAmount*EXP(IntRate*(CR$2-ExDivPct)),ExDivTree!CR62))</f>
        <v>45.099382736099997</v>
      </c>
      <c r="CS62" s="17">
        <f>IF(CS$3="","",IF(AND(DivAs=2,CS$2&lt;ExDivPct),ExDivTree!CS62+DivAmount*EXP(IntRate*(CS$2-ExDivPct)),ExDivTree!CS62))</f>
        <v>46.4646565193</v>
      </c>
      <c r="CT62" s="17">
        <f>IF(CT$3="","",IF(AND(DivAs=2,CT$2&lt;ExDivPct),ExDivTree!CT62+DivAmount*EXP(IntRate*(CT$2-ExDivPct)),ExDivTree!CT62))</f>
        <v>47.871260635399999</v>
      </c>
      <c r="CU62" s="17">
        <f>IF(CU$3="","",IF(AND(DivAs=2,CU$2&lt;ExDivPct),ExDivTree!CU62+DivAmount*EXP(IntRate*(CU$2-ExDivPct)),ExDivTree!CU62))</f>
        <v>49.320446259500002</v>
      </c>
      <c r="CV62" s="17">
        <f>IF(CV$3="","",IF(AND(DivAs=2,CV$2&lt;ExDivPct),ExDivTree!CV62+DivAmount*EXP(IntRate*(CV$2-ExDivPct)),ExDivTree!CV62))</f>
        <v>50.813502442800001</v>
      </c>
      <c r="CW62" s="17">
        <f>IF(CW$3="","",IF(AND(DivAs=2,CW$2&lt;ExDivPct),ExDivTree!CW62+DivAmount*EXP(IntRate*(CW$2-ExDivPct)),ExDivTree!CW62))</f>
        <v>52.351757259400003</v>
      </c>
      <c r="CX62" s="17">
        <f>IF(CX$3="","",IF(AND(DivAs=2,CX$2&lt;ExDivPct),ExDivTree!CX62+DivAmount*EXP(IntRate*(CX$2-ExDivPct)),ExDivTree!CX62))</f>
        <v>53.936578987700003</v>
      </c>
      <c r="CY62" s="17">
        <f>IF(CY$3="","",IF(AND(DivAs=2,CY$2&lt;ExDivPct),ExDivTree!CY62+DivAmount*EXP(IntRate*(CY$2-ExDivPct)),ExDivTree!CY62))</f>
        <v>55.569377327300003</v>
      </c>
      <c r="CZ62" s="17">
        <f>IF(CZ$3="","",IF(AND(DivAs=2,CZ$2&lt;ExDivPct),ExDivTree!CZ62+DivAmount*EXP(IntRate*(CZ$2-ExDivPct)),ExDivTree!CZ62))</f>
        <v>57.251604653100003</v>
      </c>
      <c r="DA62" s="17">
        <f>IF(DA$3="","",IF(AND(DivAs=2,DA$2&lt;ExDivPct),ExDivTree!DA62+DivAmount*EXP(IntRate*(DA$2-ExDivPct)),ExDivTree!DA62))</f>
        <v>58.984757307000002</v>
      </c>
      <c r="DB62" s="17">
        <f>IF(DB$3="","",IF(AND(DivAs=2,DB$2&lt;ExDivPct),ExDivTree!DB62+DivAmount*EXP(IntRate*(DB$2-ExDivPct)),ExDivTree!DB62))</f>
        <v>60.770376929199998</v>
      </c>
    </row>
    <row r="63" spans="1:106" x14ac:dyDescent="0.2">
      <c r="A63">
        <f>ExDivTree!A63</f>
        <v>4.8375249084532529E+28</v>
      </c>
      <c r="B63" s="71">
        <f>ExDivTree!B63</f>
        <v>1.9080671391558127E-2</v>
      </c>
      <c r="C63" s="71">
        <f>ExDivTree!C63</f>
        <v>1.8233541722768174E-2</v>
      </c>
      <c r="D63" s="177">
        <f>ExDivTree!D63</f>
        <v>59</v>
      </c>
      <c r="BL63" s="17">
        <f>IF(BL$3="","",IF(AND(DivAs=2,BL$2&lt;ExDivPct),ExDivTree!BL63+DivAmount*EXP(IntRate*(BL$2-ExDivPct)),ExDivTree!BL63))</f>
        <v>16.360641551800001</v>
      </c>
      <c r="BM63" s="17">
        <f>IF(BM$3="","",IF(AND(DivAs=2,BM$2&lt;ExDivPct),ExDivTree!BM63+DivAmount*EXP(IntRate*(BM$2-ExDivPct)),ExDivTree!BM63))</f>
        <v>16.855920059700001</v>
      </c>
      <c r="BN63" s="17">
        <f>IF(BN$3="","",IF(AND(DivAs=2,BN$2&lt;ExDivPct),ExDivTree!BN63+DivAmount*EXP(IntRate*(BN$2-ExDivPct)),ExDivTree!BN63))</f>
        <v>17.3661919161</v>
      </c>
      <c r="BO63" s="17">
        <f>IF(BO$3="","",IF(AND(DivAs=2,BO$2&lt;ExDivPct),ExDivTree!BO63+DivAmount*EXP(IntRate*(BO$2-ExDivPct)),ExDivTree!BO63))</f>
        <v>17.891911008000001</v>
      </c>
      <c r="BP63" s="17">
        <f>IF(BP$3="","",IF(AND(DivAs=2,BP$2&lt;ExDivPct),ExDivTree!BP63+DivAmount*EXP(IntRate*(BP$2-ExDivPct)),ExDivTree!BP63))</f>
        <v>18.433544962799999</v>
      </c>
      <c r="BQ63" s="17">
        <f>IF(BQ$3="","",IF(AND(DivAs=2,BQ$2&lt;ExDivPct),ExDivTree!BQ63+DivAmount*EXP(IntRate*(BQ$2-ExDivPct)),ExDivTree!BQ63))</f>
        <v>18.991575564200001</v>
      </c>
      <c r="BR63" s="17">
        <f>IF(BR$3="","",IF(AND(DivAs=2,BR$2&lt;ExDivPct),ExDivTree!BR63+DivAmount*EXP(IntRate*(BR$2-ExDivPct)),ExDivTree!BR63))</f>
        <v>19.566499180600001</v>
      </c>
      <c r="BS63" s="17">
        <f>IF(BS$3="","",IF(AND(DivAs=2,BS$2&lt;ExDivPct),ExDivTree!BS63+DivAmount*EXP(IntRate*(BS$2-ExDivPct)),ExDivTree!BS63))</f>
        <v>20.158827206800002</v>
      </c>
      <c r="BT63" s="17">
        <f>IF(BT$3="","",IF(AND(DivAs=2,BT$2&lt;ExDivPct),ExDivTree!BT63+DivAmount*EXP(IntRate*(BT$2-ExDivPct)),ExDivTree!BT63))</f>
        <v>20.7690865189</v>
      </c>
      <c r="BU63" s="17">
        <f>IF(BU$3="","",IF(AND(DivAs=2,BU$2&lt;ExDivPct),ExDivTree!BU63+DivAmount*EXP(IntRate*(BU$2-ExDivPct)),ExDivTree!BU63))</f>
        <v>21.3978199429</v>
      </c>
      <c r="BV63" s="17">
        <f>IF(BV$3="","",IF(AND(DivAs=2,BV$2&lt;ExDivPct),ExDivTree!BV63+DivAmount*EXP(IntRate*(BV$2-ExDivPct)),ExDivTree!BV63))</f>
        <v>22.045586737299999</v>
      </c>
      <c r="BW63" s="17">
        <f>IF(BW$3="","",IF(AND(DivAs=2,BW$2&lt;ExDivPct),ExDivTree!BW63+DivAmount*EXP(IntRate*(BW$2-ExDivPct)),ExDivTree!BW63))</f>
        <v>22.712963091100001</v>
      </c>
      <c r="BX63" s="17">
        <f>IF(BX$3="","",IF(AND(DivAs=2,BX$2&lt;ExDivPct),ExDivTree!BX63+DivAmount*EXP(IntRate*(BX$2-ExDivPct)),ExDivTree!BX63))</f>
        <v>23.400542635800001</v>
      </c>
      <c r="BY63" s="17">
        <f>IF(BY$3="","",IF(AND(DivAs=2,BY$2&lt;ExDivPct),ExDivTree!BY63+DivAmount*EXP(IntRate*(BY$2-ExDivPct)),ExDivTree!BY63))</f>
        <v>24.108936973700001</v>
      </c>
      <c r="BZ63" s="17">
        <f>IF(BZ$3="","",IF(AND(DivAs=2,BZ$2&lt;ExDivPct),ExDivTree!BZ63+DivAmount*EXP(IntRate*(BZ$2-ExDivPct)),ExDivTree!BZ63))</f>
        <v>24.838776221900002</v>
      </c>
      <c r="CA63" s="17">
        <f>IF(CA$3="","",IF(AND(DivAs=2,CA$2&lt;ExDivPct),ExDivTree!CA63+DivAmount*EXP(IntRate*(CA$2-ExDivPct)),ExDivTree!CA63))</f>
        <v>25.590709572800002</v>
      </c>
      <c r="CB63" s="17">
        <f>IF(CB$3="","",IF(AND(DivAs=2,CB$2&lt;ExDivPct),ExDivTree!CB63+DivAmount*EXP(IntRate*(CB$2-ExDivPct)),ExDivTree!CB63))</f>
        <v>26.3654058714</v>
      </c>
      <c r="CC63" s="17">
        <f>IF(CC$3="","",IF(AND(DivAs=2,CC$2&lt;ExDivPct),ExDivTree!CC63+DivAmount*EXP(IntRate*(CC$2-ExDivPct)),ExDivTree!CC63))</f>
        <v>27.163554210400001</v>
      </c>
      <c r="CD63" s="17">
        <f>IF(CD$3="","",IF(AND(DivAs=2,CD$2&lt;ExDivPct),ExDivTree!CD63+DivAmount*EXP(IntRate*(CD$2-ExDivPct)),ExDivTree!CD63))</f>
        <v>27.9858645431</v>
      </c>
      <c r="CE63" s="17">
        <f>IF(CE$3="","",IF(AND(DivAs=2,CE$2&lt;ExDivPct),ExDivTree!CE63+DivAmount*EXP(IntRate*(CE$2-ExDivPct)),ExDivTree!CE63))</f>
        <v>28.8330683149</v>
      </c>
      <c r="CF63" s="17">
        <f>IF(CF$3="","",IF(AND(DivAs=2,CF$2&lt;ExDivPct),ExDivTree!CF63+DivAmount*EXP(IntRate*(CF$2-ExDivPct)),ExDivTree!CF63))</f>
        <v>29.705919114</v>
      </c>
      <c r="CG63" s="17">
        <f>IF(CG$3="","",IF(AND(DivAs=2,CG$2&lt;ExDivPct),ExDivTree!CG63+DivAmount*EXP(IntRate*(CG$2-ExDivPct)),ExDivTree!CG63))</f>
        <v>30.6051933416</v>
      </c>
      <c r="CH63" s="17">
        <f>IF(CH$3="","",IF(AND(DivAs=2,CH$2&lt;ExDivPct),ExDivTree!CH63+DivAmount*EXP(IntRate*(CH$2-ExDivPct)),ExDivTree!CH63))</f>
        <v>31.531690902400001</v>
      </c>
      <c r="CI63" s="17">
        <f>IF(CI$3="","",IF(AND(DivAs=2,CI$2&lt;ExDivPct),ExDivTree!CI63+DivAmount*EXP(IntRate*(CI$2-ExDivPct)),ExDivTree!CI63))</f>
        <v>32.4862359165</v>
      </c>
      <c r="CJ63" s="17">
        <f>IF(CJ$3="","",IF(AND(DivAs=2,CJ$2&lt;ExDivPct),ExDivTree!CJ63+DivAmount*EXP(IntRate*(CJ$2-ExDivPct)),ExDivTree!CJ63))</f>
        <v>33.469677452100001</v>
      </c>
      <c r="CK63" s="17">
        <f>IF(CK$3="","",IF(AND(DivAs=2,CK$2&lt;ExDivPct),ExDivTree!CK63+DivAmount*EXP(IntRate*(CK$2-ExDivPct)),ExDivTree!CK63))</f>
        <v>34.482890280900001</v>
      </c>
      <c r="CL63" s="17">
        <f>IF(CL$3="","",IF(AND(DivAs=2,CL$2&lt;ExDivPct),ExDivTree!CL63+DivAmount*EXP(IntRate*(CL$2-ExDivPct)),ExDivTree!CL63))</f>
        <v>35.5267756561</v>
      </c>
      <c r="CM63" s="17">
        <f>IF(CM$3="","",IF(AND(DivAs=2,CM$2&lt;ExDivPct),ExDivTree!CM63+DivAmount*EXP(IntRate*(CM$2-ExDivPct)),ExDivTree!CM63))</f>
        <v>36.602262114299997</v>
      </c>
      <c r="CN63" s="17">
        <f>IF(CN$3="","",IF(AND(DivAs=2,CN$2&lt;ExDivPct),ExDivTree!CN63+DivAmount*EXP(IntRate*(CN$2-ExDivPct)),ExDivTree!CN63))</f>
        <v>37.710306301199999</v>
      </c>
      <c r="CO63" s="17">
        <f>IF(CO$3="","",IF(AND(DivAs=2,CO$2&lt;ExDivPct),ExDivTree!CO63+DivAmount*EXP(IntRate*(CO$2-ExDivPct)),ExDivTree!CO63))</f>
        <v>38.851893822500003</v>
      </c>
      <c r="CP63" s="17">
        <f>IF(CP$3="","",IF(AND(DivAs=2,CP$2&lt;ExDivPct),ExDivTree!CP63+DivAmount*EXP(IntRate*(CP$2-ExDivPct)),ExDivTree!CP63))</f>
        <v>40.028040120900002</v>
      </c>
      <c r="CQ63" s="17">
        <f>IF(CQ$3="","",IF(AND(DivAs=2,CQ$2&lt;ExDivPct),ExDivTree!CQ63+DivAmount*EXP(IntRate*(CQ$2-ExDivPct)),ExDivTree!CQ63))</f>
        <v>41.239791379000003</v>
      </c>
      <c r="CR63" s="17">
        <f>IF(CR$3="","",IF(AND(DivAs=2,CR$2&lt;ExDivPct),ExDivTree!CR63+DivAmount*EXP(IntRate*(CR$2-ExDivPct)),ExDivTree!CR63))</f>
        <v>42.488225450100003</v>
      </c>
      <c r="CS63" s="17">
        <f>IF(CS$3="","",IF(AND(DivAs=2,CS$2&lt;ExDivPct),ExDivTree!CS63+DivAmount*EXP(IntRate*(CS$2-ExDivPct)),ExDivTree!CS63))</f>
        <v>43.774452816900002</v>
      </c>
      <c r="CT63" s="17">
        <f>IF(CT$3="","",IF(AND(DivAs=2,CT$2&lt;ExDivPct),ExDivTree!CT63+DivAmount*EXP(IntRate*(CT$2-ExDivPct)),ExDivTree!CT63))</f>
        <v>45.099617579300002</v>
      </c>
      <c r="CU63" s="17">
        <f>IF(CU$3="","",IF(AND(DivAs=2,CU$2&lt;ExDivPct),ExDivTree!CU63+DivAmount*EXP(IntRate*(CU$2-ExDivPct)),ExDivTree!CU63))</f>
        <v>46.464898471799998</v>
      </c>
      <c r="CV63" s="17">
        <f>IF(CV$3="","",IF(AND(DivAs=2,CV$2&lt;ExDivPct),ExDivTree!CV63+DivAmount*EXP(IntRate*(CV$2-ExDivPct)),ExDivTree!CV63))</f>
        <v>47.871509912500002</v>
      </c>
      <c r="CW63" s="17">
        <f>IF(CW$3="","",IF(AND(DivAs=2,CW$2&lt;ExDivPct),ExDivTree!CW63+DivAmount*EXP(IntRate*(CW$2-ExDivPct)),ExDivTree!CW63))</f>
        <v>49.320703082800001</v>
      </c>
      <c r="CX63" s="17">
        <f>IF(CX$3="","",IF(AND(DivAs=2,CX$2&lt;ExDivPct),ExDivTree!CX63+DivAmount*EXP(IntRate*(CX$2-ExDivPct)),ExDivTree!CX63))</f>
        <v>50.813767040800002</v>
      </c>
      <c r="CY63" s="17">
        <f>IF(CY$3="","",IF(AND(DivAs=2,CY$2&lt;ExDivPct),ExDivTree!CY63+DivAmount*EXP(IntRate*(CY$2-ExDivPct)),ExDivTree!CY63))</f>
        <v>52.352029867399999</v>
      </c>
      <c r="CZ63" s="17">
        <f>IF(CZ$3="","",IF(AND(DivAs=2,CZ$2&lt;ExDivPct),ExDivTree!CZ63+DivAmount*EXP(IntRate*(CZ$2-ExDivPct)),ExDivTree!CZ63))</f>
        <v>53.936859848200001</v>
      </c>
      <c r="DA63" s="17">
        <f>IF(DA$3="","",IF(AND(DivAs=2,DA$2&lt;ExDivPct),ExDivTree!DA63+DivAmount*EXP(IntRate*(DA$2-ExDivPct)),ExDivTree!DA63))</f>
        <v>55.569666690200002</v>
      </c>
      <c r="DB63" s="17">
        <f>IF(DB$3="","",IF(AND(DivAs=2,DB$2&lt;ExDivPct),ExDivTree!DB63+DivAmount*EXP(IntRate*(DB$2-ExDivPct)),ExDivTree!DB63))</f>
        <v>57.251902775799998</v>
      </c>
    </row>
    <row r="64" spans="1:106" x14ac:dyDescent="0.2">
      <c r="A64">
        <f>ExDivTree!A64</f>
        <v>3.3862674359172785E+28</v>
      </c>
      <c r="B64" s="71">
        <f>ExDivTree!B64</f>
        <v>1.3356469974090695E-2</v>
      </c>
      <c r="C64" s="71">
        <f>ExDivTree!C64</f>
        <v>1.2695999407733331E-2</v>
      </c>
      <c r="D64" s="177">
        <f>ExDivTree!D64</f>
        <v>60</v>
      </c>
      <c r="BM64" s="17">
        <f>IF(BM$3="","",IF(AND(DivAs=2,BM$2&lt;ExDivPct),ExDivTree!BM64+DivAmount*EXP(IntRate*(BM$2-ExDivPct)),ExDivTree!BM64))</f>
        <v>15.8799985326</v>
      </c>
      <c r="BN64" s="17">
        <f>IF(BN$3="","",IF(AND(DivAs=2,BN$2&lt;ExDivPct),ExDivTree!BN64+DivAmount*EXP(IntRate*(BN$2-ExDivPct)),ExDivTree!BN64))</f>
        <v>16.360726745699999</v>
      </c>
      <c r="BO64" s="17">
        <f>IF(BO$3="","",IF(AND(DivAs=2,BO$2&lt;ExDivPct),ExDivTree!BO64+DivAmount*EXP(IntRate*(BO$2-ExDivPct)),ExDivTree!BO64))</f>
        <v>16.8560078326</v>
      </c>
      <c r="BP64" s="17">
        <f>IF(BP$3="","",IF(AND(DivAs=2,BP$2&lt;ExDivPct),ExDivTree!BP64+DivAmount*EXP(IntRate*(BP$2-ExDivPct)),ExDivTree!BP64))</f>
        <v>17.3662823461</v>
      </c>
      <c r="BQ64" s="17">
        <f>IF(BQ$3="","",IF(AND(DivAs=2,BQ$2&lt;ExDivPct),ExDivTree!BQ64+DivAmount*EXP(IntRate*(BQ$2-ExDivPct)),ExDivTree!BQ64))</f>
        <v>17.8920041756</v>
      </c>
      <c r="BR64" s="17">
        <f>IF(BR$3="","",IF(AND(DivAs=2,BR$2&lt;ExDivPct),ExDivTree!BR64+DivAmount*EXP(IntRate*(BR$2-ExDivPct)),ExDivTree!BR64))</f>
        <v>18.433640950800001</v>
      </c>
      <c r="BS64" s="17">
        <f>IF(BS$3="","",IF(AND(DivAs=2,BS$2&lt;ExDivPct),ExDivTree!BS64+DivAmount*EXP(IntRate*(BS$2-ExDivPct)),ExDivTree!BS64))</f>
        <v>18.991674457999999</v>
      </c>
      <c r="BT64" s="17">
        <f>IF(BT$3="","",IF(AND(DivAs=2,BT$2&lt;ExDivPct),ExDivTree!BT64+DivAmount*EXP(IntRate*(BT$2-ExDivPct)),ExDivTree!BT64))</f>
        <v>19.566601068200001</v>
      </c>
      <c r="BU64" s="17">
        <f>IF(BU$3="","",IF(AND(DivAs=2,BU$2&lt;ExDivPct),ExDivTree!BU64+DivAmount*EXP(IntRate*(BU$2-ExDivPct)),ExDivTree!BU64))</f>
        <v>20.158932178800001</v>
      </c>
      <c r="BV64" s="17">
        <f>IF(BV$3="","",IF(AND(DivAs=2,BV$2&lt;ExDivPct),ExDivTree!BV64+DivAmount*EXP(IntRate*(BV$2-ExDivPct)),ExDivTree!BV64))</f>
        <v>20.769194668699999</v>
      </c>
      <c r="BW64" s="17">
        <f>IF(BW$3="","",IF(AND(DivAs=2,BW$2&lt;ExDivPct),ExDivTree!BW64+DivAmount*EXP(IntRate*(BW$2-ExDivPct)),ExDivTree!BW64))</f>
        <v>21.397931366600002</v>
      </c>
      <c r="BX64" s="17">
        <f>IF(BX$3="","",IF(AND(DivAs=2,BX$2&lt;ExDivPct),ExDivTree!BX64+DivAmount*EXP(IntRate*(BX$2-ExDivPct)),ExDivTree!BX64))</f>
        <v>22.045701534100001</v>
      </c>
      <c r="BY64" s="17">
        <f>IF(BY$3="","",IF(AND(DivAs=2,BY$2&lt;ExDivPct),ExDivTree!BY64+DivAmount*EXP(IntRate*(BY$2-ExDivPct)),ExDivTree!BY64))</f>
        <v>22.713081363099999</v>
      </c>
      <c r="BZ64" s="17">
        <f>IF(BZ$3="","",IF(AND(DivAs=2,BZ$2&lt;ExDivPct),ExDivTree!BZ64+DivAmount*EXP(IntRate*(BZ$2-ExDivPct)),ExDivTree!BZ64))</f>
        <v>23.4006644882</v>
      </c>
      <c r="CA64" s="17">
        <f>IF(CA$3="","",IF(AND(DivAs=2,CA$2&lt;ExDivPct),ExDivTree!CA64+DivAmount*EXP(IntRate*(CA$2-ExDivPct)),ExDivTree!CA64))</f>
        <v>24.1090625149</v>
      </c>
      <c r="CB64" s="17">
        <f>IF(CB$3="","",IF(AND(DivAs=2,CB$2&lt;ExDivPct),ExDivTree!CB64+DivAmount*EXP(IntRate*(CB$2-ExDivPct)),ExDivTree!CB64))</f>
        <v>24.838905563600001</v>
      </c>
      <c r="CC64" s="17">
        <f>IF(CC$3="","",IF(AND(DivAs=2,CC$2&lt;ExDivPct),ExDivTree!CC64+DivAmount*EXP(IntRate*(CC$2-ExDivPct)),ExDivTree!CC64))</f>
        <v>25.59084283</v>
      </c>
      <c r="CD64" s="17">
        <f>IF(CD$3="","",IF(AND(DivAs=2,CD$2&lt;ExDivPct),ExDivTree!CD64+DivAmount*EXP(IntRate*(CD$2-ExDivPct)),ExDivTree!CD64))</f>
        <v>26.365543162600002</v>
      </c>
      <c r="CE64" s="17">
        <f>IF(CE$3="","",IF(AND(DivAs=2,CE$2&lt;ExDivPct),ExDivTree!CE64+DivAmount*EXP(IntRate*(CE$2-ExDivPct)),ExDivTree!CE64))</f>
        <v>27.1636956577</v>
      </c>
      <c r="CF64" s="17">
        <f>IF(CF$3="","",IF(AND(DivAs=2,CF$2&lt;ExDivPct),ExDivTree!CF64+DivAmount*EXP(IntRate*(CF$2-ExDivPct)),ExDivTree!CF64))</f>
        <v>27.986010272400001</v>
      </c>
      <c r="CG64" s="17">
        <f>IF(CG$3="","",IF(AND(DivAs=2,CG$2&lt;ExDivPct),ExDivTree!CG64+DivAmount*EXP(IntRate*(CG$2-ExDivPct)),ExDivTree!CG64))</f>
        <v>28.833218455800001</v>
      </c>
      <c r="CH64" s="17">
        <f>IF(CH$3="","",IF(AND(DivAs=2,CH$2&lt;ExDivPct),ExDivTree!CH64+DivAmount*EXP(IntRate*(CH$2-ExDivPct)),ExDivTree!CH64))</f>
        <v>29.7060738001</v>
      </c>
      <c r="CI64" s="17">
        <f>IF(CI$3="","",IF(AND(DivAs=2,CI$2&lt;ExDivPct),ExDivTree!CI64+DivAmount*EXP(IntRate*(CI$2-ExDivPct)),ExDivTree!CI64))</f>
        <v>30.605352710399998</v>
      </c>
      <c r="CJ64" s="17">
        <f>IF(CJ$3="","",IF(AND(DivAs=2,CJ$2&lt;ExDivPct),ExDivTree!CJ64+DivAmount*EXP(IntRate*(CJ$2-ExDivPct)),ExDivTree!CJ64))</f>
        <v>31.531855095699999</v>
      </c>
      <c r="CK64" s="17">
        <f>IF(CK$3="","",IF(AND(DivAs=2,CK$2&lt;ExDivPct),ExDivTree!CK64+DivAmount*EXP(IntRate*(CK$2-ExDivPct)),ExDivTree!CK64))</f>
        <v>32.486405080399997</v>
      </c>
      <c r="CL64" s="17">
        <f>IF(CL$3="","",IF(AND(DivAs=2,CL$2&lt;ExDivPct),ExDivTree!CL64+DivAmount*EXP(IntRate*(CL$2-ExDivPct)),ExDivTree!CL64))</f>
        <v>33.469851736999999</v>
      </c>
      <c r="CM64" s="17">
        <f>IF(CM$3="","",IF(AND(DivAs=2,CM$2&lt;ExDivPct),ExDivTree!CM64+DivAmount*EXP(IntRate*(CM$2-ExDivPct)),ExDivTree!CM64))</f>
        <v>34.483069841800003</v>
      </c>
      <c r="CN64" s="17">
        <f>IF(CN$3="","",IF(AND(DivAs=2,CN$2&lt;ExDivPct),ExDivTree!CN64+DivAmount*EXP(IntRate*(CN$2-ExDivPct)),ExDivTree!CN64))</f>
        <v>35.5269606528</v>
      </c>
      <c r="CO64" s="17">
        <f>IF(CO$3="","",IF(AND(DivAs=2,CO$2&lt;ExDivPct),ExDivTree!CO64+DivAmount*EXP(IntRate*(CO$2-ExDivPct)),ExDivTree!CO64))</f>
        <v>36.602452711300003</v>
      </c>
      <c r="CP64" s="17">
        <f>IF(CP$3="","",IF(AND(DivAs=2,CP$2&lt;ExDivPct),ExDivTree!CP64+DivAmount*EXP(IntRate*(CP$2-ExDivPct)),ExDivTree!CP64))</f>
        <v>37.710502667999997</v>
      </c>
      <c r="CQ64" s="17">
        <f>IF(CQ$3="","",IF(AND(DivAs=2,CQ$2&lt;ExDivPct),ExDivTree!CQ64+DivAmount*EXP(IntRate*(CQ$2-ExDivPct)),ExDivTree!CQ64))</f>
        <v>38.852096133800003</v>
      </c>
      <c r="CR64" s="17">
        <f>IF(CR$3="","",IF(AND(DivAs=2,CR$2&lt;ExDivPct),ExDivTree!CR64+DivAmount*EXP(IntRate*(CR$2-ExDivPct)),ExDivTree!CR64))</f>
        <v>40.028248556699999</v>
      </c>
      <c r="CS64" s="17">
        <f>IF(CS$3="","",IF(AND(DivAs=2,CS$2&lt;ExDivPct),ExDivTree!CS64+DivAmount*EXP(IntRate*(CS$2-ExDivPct)),ExDivTree!CS64))</f>
        <v>41.240006124700002</v>
      </c>
      <c r="CT64" s="17">
        <f>IF(CT$3="","",IF(AND(DivAs=2,CT$2&lt;ExDivPct),ExDivTree!CT64+DivAmount*EXP(IntRate*(CT$2-ExDivPct)),ExDivTree!CT64))</f>
        <v>42.488446696700002</v>
      </c>
      <c r="CU64" s="17">
        <f>IF(CU$3="","",IF(AND(DivAs=2,CU$2&lt;ExDivPct),ExDivTree!CU64+DivAmount*EXP(IntRate*(CU$2-ExDivPct)),ExDivTree!CU64))</f>
        <v>43.774680761200003</v>
      </c>
      <c r="CV64" s="17">
        <f>IF(CV$3="","",IF(AND(DivAs=2,CV$2&lt;ExDivPct),ExDivTree!CV64+DivAmount*EXP(IntRate*(CV$2-ExDivPct)),ExDivTree!CV64))</f>
        <v>45.099852423999998</v>
      </c>
      <c r="CW64" s="17">
        <f>IF(CW$3="","",IF(AND(DivAs=2,CW$2&lt;ExDivPct),ExDivTree!CW64+DivAmount*EXP(IntRate*(CW$2-ExDivPct)),ExDivTree!CW64))</f>
        <v>46.465140425900003</v>
      </c>
      <c r="CX64" s="17">
        <f>IF(CX$3="","",IF(AND(DivAs=2,CX$2&lt;ExDivPct),ExDivTree!CX64+DivAmount*EXP(IntRate*(CX$2-ExDivPct)),ExDivTree!CX64))</f>
        <v>47.871759191099997</v>
      </c>
      <c r="CY64" s="17">
        <f>IF(CY$3="","",IF(AND(DivAs=2,CY$2&lt;ExDivPct),ExDivTree!CY64+DivAmount*EXP(IntRate*(CY$2-ExDivPct)),ExDivTree!CY64))</f>
        <v>49.320959907700001</v>
      </c>
      <c r="CZ64" s="17">
        <f>IF(CZ$3="","",IF(AND(DivAs=2,CZ$2&lt;ExDivPct),ExDivTree!CZ64+DivAmount*EXP(IntRate*(CZ$2-ExDivPct)),ExDivTree!CZ64))</f>
        <v>50.814031640400003</v>
      </c>
      <c r="DA64" s="17">
        <f>IF(DA$3="","",IF(AND(DivAs=2,DA$2&lt;ExDivPct),ExDivTree!DA64+DivAmount*EXP(IntRate*(DA$2-ExDivPct)),ExDivTree!DA64))</f>
        <v>52.352302477199999</v>
      </c>
      <c r="DB64" s="17">
        <f>IF(DB$3="","",IF(AND(DivAs=2,DB$2&lt;ExDivPct),ExDivTree!DB64+DivAmount*EXP(IntRate*(DB$2-ExDivPct)),ExDivTree!DB64))</f>
        <v>53.937140710599998</v>
      </c>
    </row>
    <row r="65" spans="1:106" x14ac:dyDescent="0.2">
      <c r="A65">
        <f>ExDivTree!A65</f>
        <v>2.276015817583745E+28</v>
      </c>
      <c r="B65" s="71">
        <f>ExDivTree!B65</f>
        <v>8.9772994907822718E-3</v>
      </c>
      <c r="C65" s="71">
        <f>ExDivTree!C65</f>
        <v>8.4882611676856175E-3</v>
      </c>
      <c r="D65" s="177">
        <f>ExDivTree!D65</f>
        <v>61</v>
      </c>
      <c r="BN65" s="17">
        <f>IF(BN$3="","",IF(AND(DivAs=2,BN$2&lt;ExDivPct),ExDivTree!BN65+DivAmount*EXP(IntRate*(BN$2-ExDivPct)),ExDivTree!BN65))</f>
        <v>15.413475846700001</v>
      </c>
      <c r="BO65" s="17">
        <f>IF(BO$3="","",IF(AND(DivAs=2,BO$2&lt;ExDivPct),ExDivTree!BO65+DivAmount*EXP(IntRate*(BO$2-ExDivPct)),ExDivTree!BO65))</f>
        <v>15.8800812237</v>
      </c>
      <c r="BP65" s="17">
        <f>IF(BP$3="","",IF(AND(DivAs=2,BP$2&lt;ExDivPct),ExDivTree!BP65+DivAmount*EXP(IntRate*(BP$2-ExDivPct)),ExDivTree!BP65))</f>
        <v>16.3608119401</v>
      </c>
      <c r="BQ65" s="17">
        <f>IF(BQ$3="","",IF(AND(DivAs=2,BQ$2&lt;ExDivPct),ExDivTree!BQ65+DivAmount*EXP(IntRate*(BQ$2-ExDivPct)),ExDivTree!BQ65))</f>
        <v>16.856095606099998</v>
      </c>
      <c r="BR65" s="17">
        <f>IF(BR$3="","",IF(AND(DivAs=2,BR$2&lt;ExDivPct),ExDivTree!BR65+DivAmount*EXP(IntRate*(BR$2-ExDivPct)),ExDivTree!BR65))</f>
        <v>17.3663727767</v>
      </c>
      <c r="BS65" s="17">
        <f>IF(BS$3="","",IF(AND(DivAs=2,BS$2&lt;ExDivPct),ExDivTree!BS65+DivAmount*EXP(IntRate*(BS$2-ExDivPct)),ExDivTree!BS65))</f>
        <v>17.892097343700001</v>
      </c>
      <c r="BT65" s="17">
        <f>IF(BT$3="","",IF(AND(DivAs=2,BT$2&lt;ExDivPct),ExDivTree!BT65+DivAmount*EXP(IntRate*(BT$2-ExDivPct)),ExDivTree!BT65))</f>
        <v>18.433736939399999</v>
      </c>
      <c r="BU65" s="17">
        <f>IF(BU$3="","",IF(AND(DivAs=2,BU$2&lt;ExDivPct),ExDivTree!BU65+DivAmount*EXP(IntRate*(BU$2-ExDivPct)),ExDivTree!BU65))</f>
        <v>18.991773352399999</v>
      </c>
      <c r="BV65" s="17">
        <f>IF(BV$3="","",IF(AND(DivAs=2,BV$2&lt;ExDivPct),ExDivTree!BV65+DivAmount*EXP(IntRate*(BV$2-ExDivPct)),ExDivTree!BV65))</f>
        <v>19.5667029564</v>
      </c>
      <c r="BW65" s="17">
        <f>IF(BW$3="","",IF(AND(DivAs=2,BW$2&lt;ExDivPct),ExDivTree!BW65+DivAmount*EXP(IntRate*(BW$2-ExDivPct)),ExDivTree!BW65))</f>
        <v>20.159037151500002</v>
      </c>
      <c r="BX65" s="17">
        <f>IF(BX$3="","",IF(AND(DivAs=2,BX$2&lt;ExDivPct),ExDivTree!BX65+DivAmount*EXP(IntRate*(BX$2-ExDivPct)),ExDivTree!BX65))</f>
        <v>20.7693028192</v>
      </c>
      <c r="BY65" s="17">
        <f>IF(BY$3="","",IF(AND(DivAs=2,BY$2&lt;ExDivPct),ExDivTree!BY65+DivAmount*EXP(IntRate*(BY$2-ExDivPct)),ExDivTree!BY65))</f>
        <v>21.3980427911</v>
      </c>
      <c r="BZ65" s="17">
        <f>IF(BZ$3="","",IF(AND(DivAs=2,BZ$2&lt;ExDivPct),ExDivTree!BZ65+DivAmount*EXP(IntRate*(BZ$2-ExDivPct)),ExDivTree!BZ65))</f>
        <v>22.045816331699999</v>
      </c>
      <c r="CA65" s="17">
        <f>IF(CA$3="","",IF(AND(DivAs=2,CA$2&lt;ExDivPct),ExDivTree!CA65+DivAmount*EXP(IntRate*(CA$2-ExDivPct)),ExDivTree!CA65))</f>
        <v>22.713199635900001</v>
      </c>
      <c r="CB65" s="17">
        <f>IF(CB$3="","",IF(AND(DivAs=2,CB$2&lt;ExDivPct),ExDivTree!CB65+DivAmount*EXP(IntRate*(CB$2-ExDivPct)),ExDivTree!CB65))</f>
        <v>23.4007863414</v>
      </c>
      <c r="CC65" s="17">
        <f>IF(CC$3="","",IF(AND(DivAs=2,CC$2&lt;ExDivPct),ExDivTree!CC65+DivAmount*EXP(IntRate*(CC$2-ExDivPct)),ExDivTree!CC65))</f>
        <v>24.109188056899999</v>
      </c>
      <c r="CD65" s="17">
        <f>IF(CD$3="","",IF(AND(DivAs=2,CD$2&lt;ExDivPct),ExDivTree!CD65+DivAmount*EXP(IntRate*(CD$2-ExDivPct)),ExDivTree!CD65))</f>
        <v>24.8390349061</v>
      </c>
      <c r="CE65" s="17">
        <f>IF(CE$3="","",IF(AND(DivAs=2,CE$2&lt;ExDivPct),ExDivTree!CE65+DivAmount*EXP(IntRate*(CE$2-ExDivPct)),ExDivTree!CE65))</f>
        <v>25.590976088000001</v>
      </c>
      <c r="CF65" s="17">
        <f>IF(CF$3="","",IF(AND(DivAs=2,CF$2&lt;ExDivPct),ExDivTree!CF65+DivAmount*EXP(IntRate*(CF$2-ExDivPct)),ExDivTree!CF65))</f>
        <v>26.365680454700001</v>
      </c>
      <c r="CG65" s="17">
        <f>IF(CG$3="","",IF(AND(DivAs=2,CG$2&lt;ExDivPct),ExDivTree!CG65+DivAmount*EXP(IntRate*(CG$2-ExDivPct)),ExDivTree!CG65))</f>
        <v>27.163837105999999</v>
      </c>
      <c r="CH65" s="17">
        <f>IF(CH$3="","",IF(AND(DivAs=2,CH$2&lt;ExDivPct),ExDivTree!CH65+DivAmount*EXP(IntRate*(CH$2-ExDivPct)),ExDivTree!CH65))</f>
        <v>27.9861560027</v>
      </c>
      <c r="CI65" s="17">
        <f>IF(CI$3="","",IF(AND(DivAs=2,CI$2&lt;ExDivPct),ExDivTree!CI65+DivAmount*EXP(IntRate*(CI$2-ExDivPct)),ExDivTree!CI65))</f>
        <v>28.8333685978</v>
      </c>
      <c r="CJ65" s="17">
        <f>IF(CJ$3="","",IF(AND(DivAs=2,CJ$2&lt;ExDivPct),ExDivTree!CJ65+DivAmount*EXP(IntRate*(CJ$2-ExDivPct)),ExDivTree!CJ65))</f>
        <v>29.706228487200001</v>
      </c>
      <c r="CK65" s="17">
        <f>IF(CK$3="","",IF(AND(DivAs=2,CK$2&lt;ExDivPct),ExDivTree!CK65+DivAmount*EXP(IntRate*(CK$2-ExDivPct)),ExDivTree!CK65))</f>
        <v>30.605512080299999</v>
      </c>
      <c r="CL65" s="17">
        <f>IF(CL$3="","",IF(AND(DivAs=2,CL$2&lt;ExDivPct),ExDivTree!CL65+DivAmount*EXP(IntRate*(CL$2-ExDivPct)),ExDivTree!CL65))</f>
        <v>31.532019290200001</v>
      </c>
      <c r="CM65" s="17">
        <f>IF(CM$3="","",IF(AND(DivAs=2,CM$2&lt;ExDivPct),ExDivTree!CM65+DivAmount*EXP(IntRate*(CM$2-ExDivPct)),ExDivTree!CM65))</f>
        <v>32.4865742454</v>
      </c>
      <c r="CN65" s="17">
        <f>IF(CN$3="","",IF(AND(DivAs=2,CN$2&lt;ExDivPct),ExDivTree!CN65+DivAmount*EXP(IntRate*(CN$2-ExDivPct)),ExDivTree!CN65))</f>
        <v>33.470026023099997</v>
      </c>
      <c r="CO65" s="17">
        <f>IF(CO$3="","",IF(AND(DivAs=2,CO$2&lt;ExDivPct),ExDivTree!CO65+DivAmount*EXP(IntRate*(CO$2-ExDivPct)),ExDivTree!CO65))</f>
        <v>34.483249403999999</v>
      </c>
      <c r="CP65" s="17">
        <f>IF(CP$3="","",IF(AND(DivAs=2,CP$2&lt;ExDivPct),ExDivTree!CP65+DivAmount*EXP(IntRate*(CP$2-ExDivPct)),ExDivTree!CP65))</f>
        <v>35.527145650800001</v>
      </c>
      <c r="CQ65" s="17">
        <f>IF(CQ$3="","",IF(AND(DivAs=2,CQ$2&lt;ExDivPct),ExDivTree!CQ65+DivAmount*EXP(IntRate*(CQ$2-ExDivPct)),ExDivTree!CQ65))</f>
        <v>36.602643309699999</v>
      </c>
      <c r="CR65" s="17">
        <f>IF(CR$3="","",IF(AND(DivAs=2,CR$2&lt;ExDivPct),ExDivTree!CR65+DivAmount*EXP(IntRate*(CR$2-ExDivPct)),ExDivTree!CR65))</f>
        <v>37.710699036299999</v>
      </c>
      <c r="CS65" s="17">
        <f>IF(CS$3="","",IF(AND(DivAs=2,CS$2&lt;ExDivPct),ExDivTree!CS65+DivAmount*EXP(IntRate*(CS$2-ExDivPct)),ExDivTree!CS65))</f>
        <v>38.852298446699997</v>
      </c>
      <c r="CT65" s="17">
        <f>IF(CT$3="","",IF(AND(DivAs=2,CT$2&lt;ExDivPct),ExDivTree!CT65+DivAmount*EXP(IntRate*(CT$2-ExDivPct)),ExDivTree!CT65))</f>
        <v>40.028456994099997</v>
      </c>
      <c r="CU65" s="17">
        <f>IF(CU$3="","",IF(AND(DivAs=2,CU$2&lt;ExDivPct),ExDivTree!CU65+DivAmount*EXP(IntRate*(CU$2-ExDivPct)),ExDivTree!CU65))</f>
        <v>41.240220872000002</v>
      </c>
      <c r="CV65" s="17">
        <f>IF(CV$3="","",IF(AND(DivAs=2,CV$2&lt;ExDivPct),ExDivTree!CV65+DivAmount*EXP(IntRate*(CV$2-ExDivPct)),ExDivTree!CV65))</f>
        <v>42.488667945000003</v>
      </c>
      <c r="CW65" s="17">
        <f>IF(CW$3="","",IF(AND(DivAs=2,CW$2&lt;ExDivPct),ExDivTree!CW65+DivAmount*EXP(IntRate*(CW$2-ExDivPct)),ExDivTree!CW65))</f>
        <v>43.7749087073</v>
      </c>
      <c r="CX65" s="17">
        <f>IF(CX$3="","",IF(AND(DivAs=2,CX$2&lt;ExDivPct),ExDivTree!CX65+DivAmount*EXP(IntRate*(CX$2-ExDivPct)),ExDivTree!CX65))</f>
        <v>45.1000872706</v>
      </c>
      <c r="CY65" s="17">
        <f>IF(CY$3="","",IF(AND(DivAs=2,CY$2&lt;ExDivPct),ExDivTree!CY65+DivAmount*EXP(IntRate*(CY$2-ExDivPct)),ExDivTree!CY65))</f>
        <v>46.4653823819</v>
      </c>
      <c r="CZ65" s="17">
        <f>IF(CZ$3="","",IF(AND(DivAs=2,CZ$2&lt;ExDivPct),ExDivTree!CZ65+DivAmount*EXP(IntRate*(CZ$2-ExDivPct)),ExDivTree!CZ65))</f>
        <v>47.872008471800001</v>
      </c>
      <c r="DA65" s="17">
        <f>IF(DA$3="","",IF(AND(DivAs=2,DA$2&lt;ExDivPct),ExDivTree!DA65+DivAmount*EXP(IntRate*(DA$2-ExDivPct)),ExDivTree!DA65))</f>
        <v>49.321216734799997</v>
      </c>
      <c r="DB65" s="17">
        <f>IF(DB$3="","",IF(AND(DivAs=2,DB$2&lt;ExDivPct),ExDivTree!DB65+DivAmount*EXP(IntRate*(DB$2-ExDivPct)),ExDivTree!DB65))</f>
        <v>50.814296242300003</v>
      </c>
    </row>
    <row r="66" spans="1:106" x14ac:dyDescent="0.2">
      <c r="A66">
        <f>ExDivTree!A66</f>
        <v>1.4683973016669308E+28</v>
      </c>
      <c r="B66" s="71">
        <f>ExDivTree!B66</f>
        <v>5.791806123085331E-3</v>
      </c>
      <c r="C66" s="71">
        <f>ExDivTree!C66</f>
        <v>5.4473446498712582E-3</v>
      </c>
      <c r="D66" s="177">
        <f>ExDivTree!D66</f>
        <v>62</v>
      </c>
      <c r="BO66" s="17">
        <f>IF(BO$3="","",IF(AND(DivAs=2,BO$2&lt;ExDivPct),ExDivTree!BO66+DivAmount*EXP(IntRate*(BO$2-ExDivPct)),ExDivTree!BO66))</f>
        <v>14.960658666900001</v>
      </c>
      <c r="BP66" s="17">
        <f>IF(BP$3="","",IF(AND(DivAs=2,BP$2&lt;ExDivPct),ExDivTree!BP66+DivAmount*EXP(IntRate*(BP$2-ExDivPct)),ExDivTree!BP66))</f>
        <v>15.4135561085</v>
      </c>
      <c r="BQ66" s="17">
        <f>IF(BQ$3="","",IF(AND(DivAs=2,BQ$2&lt;ExDivPct),ExDivTree!BQ66+DivAmount*EXP(IntRate*(BQ$2-ExDivPct)),ExDivTree!BQ66))</f>
        <v>15.880163915200001</v>
      </c>
      <c r="BR66" s="17">
        <f>IF(BR$3="","",IF(AND(DivAs=2,BR$2&lt;ExDivPct),ExDivTree!BR66+DivAmount*EXP(IntRate*(BR$2-ExDivPct)),ExDivTree!BR66))</f>
        <v>16.360897134799998</v>
      </c>
      <c r="BS66" s="17">
        <f>IF(BS$3="","",IF(AND(DivAs=2,BS$2&lt;ExDivPct),ExDivTree!BS66+DivAmount*EXP(IntRate*(BS$2-ExDivPct)),ExDivTree!BS66))</f>
        <v>16.856183379800001</v>
      </c>
      <c r="BT66" s="17">
        <f>IF(BT$3="","",IF(AND(DivAs=2,BT$2&lt;ExDivPct),ExDivTree!BT66+DivAmount*EXP(IntRate*(BT$2-ExDivPct)),ExDivTree!BT66))</f>
        <v>17.366463207500001</v>
      </c>
      <c r="BU66" s="17">
        <f>IF(BU$3="","",IF(AND(DivAs=2,BU$2&lt;ExDivPct),ExDivTree!BU66+DivAmount*EXP(IntRate*(BU$2-ExDivPct)),ExDivTree!BU66))</f>
        <v>17.892190512100001</v>
      </c>
      <c r="BV66" s="17">
        <f>IF(BV$3="","",IF(AND(DivAs=2,BV$2&lt;ExDivPct),ExDivTree!BV66+DivAmount*EXP(IntRate*(BV$2-ExDivPct)),ExDivTree!BV66))</f>
        <v>18.433832928200001</v>
      </c>
      <c r="BW66" s="17">
        <f>IF(BW$3="","",IF(AND(DivAs=2,BW$2&lt;ExDivPct),ExDivTree!BW66+DivAmount*EXP(IntRate*(BW$2-ExDivPct)),ExDivTree!BW66))</f>
        <v>18.991872247</v>
      </c>
      <c r="BX66" s="17">
        <f>IF(BX$3="","",IF(AND(DivAs=2,BX$2&lt;ExDivPct),ExDivTree!BX66+DivAmount*EXP(IntRate*(BX$2-ExDivPct)),ExDivTree!BX66))</f>
        <v>19.566804844699998</v>
      </c>
      <c r="BY66" s="17">
        <f>IF(BY$3="","",IF(AND(DivAs=2,BY$2&lt;ExDivPct),ExDivTree!BY66+DivAmount*EXP(IntRate*(BY$2-ExDivPct)),ExDivTree!BY66))</f>
        <v>20.159142124199999</v>
      </c>
      <c r="BZ66" s="17">
        <f>IF(BZ$3="","",IF(AND(DivAs=2,BZ$2&lt;ExDivPct),ExDivTree!BZ66+DivAmount*EXP(IntRate*(BZ$2-ExDivPct)),ExDivTree!BZ66))</f>
        <v>20.769410969700001</v>
      </c>
      <c r="CA66" s="17">
        <f>IF(CA$3="","",IF(AND(DivAs=2,CA$2&lt;ExDivPct),ExDivTree!CA66+DivAmount*EXP(IntRate*(CA$2-ExDivPct)),ExDivTree!CA66))</f>
        <v>21.398154215600002</v>
      </c>
      <c r="CB66" s="17">
        <f>IF(CB$3="","",IF(AND(DivAs=2,CB$2&lt;ExDivPct),ExDivTree!CB66+DivAmount*EXP(IntRate*(CB$2-ExDivPct)),ExDivTree!CB66))</f>
        <v>22.045931129300001</v>
      </c>
      <c r="CC66" s="17">
        <f>IF(CC$3="","",IF(AND(DivAs=2,CC$2&lt;ExDivPct),ExDivTree!CC66+DivAmount*EXP(IntRate*(CC$2-ExDivPct)),ExDivTree!CC66))</f>
        <v>22.713317908699999</v>
      </c>
      <c r="CD66" s="17">
        <f>IF(CD$3="","",IF(AND(DivAs=2,CD$2&lt;ExDivPct),ExDivTree!CD66+DivAmount*EXP(IntRate*(CD$2-ExDivPct)),ExDivTree!CD66))</f>
        <v>23.400908194599999</v>
      </c>
      <c r="CE66" s="17">
        <f>IF(CE$3="","",IF(AND(DivAs=2,CE$2&lt;ExDivPct),ExDivTree!CE66+DivAmount*EXP(IntRate*(CE$2-ExDivPct)),ExDivTree!CE66))</f>
        <v>24.109313598899998</v>
      </c>
      <c r="CF66" s="17">
        <f>IF(CF$3="","",IF(AND(DivAs=2,CF$2&lt;ExDivPct),ExDivTree!CF66+DivAmount*EXP(IntRate*(CF$2-ExDivPct)),ExDivTree!CF66))</f>
        <v>24.839164248500001</v>
      </c>
      <c r="CG66" s="17">
        <f>IF(CG$3="","",IF(AND(DivAs=2,CG$2&lt;ExDivPct),ExDivTree!CG66+DivAmount*EXP(IntRate*(CG$2-ExDivPct)),ExDivTree!CG66))</f>
        <v>25.591109345900001</v>
      </c>
      <c r="CH66" s="17">
        <f>IF(CH$3="","",IF(AND(DivAs=2,CH$2&lt;ExDivPct),ExDivTree!CH66+DivAmount*EXP(IntRate*(CH$2-ExDivPct)),ExDivTree!CH66))</f>
        <v>26.365817746600001</v>
      </c>
      <c r="CI66" s="17">
        <f>IF(CI$3="","",IF(AND(DivAs=2,CI$2&lt;ExDivPct),ExDivTree!CI66+DivAmount*EXP(IntRate*(CI$2-ExDivPct)),ExDivTree!CI66))</f>
        <v>27.163978554100002</v>
      </c>
      <c r="CJ66" s="17">
        <f>IF(CJ$3="","",IF(AND(DivAs=2,CJ$2&lt;ExDivPct),ExDivTree!CJ66+DivAmount*EXP(IntRate*(CJ$2-ExDivPct)),ExDivTree!CJ66))</f>
        <v>27.986301732800001</v>
      </c>
      <c r="CK66" s="17">
        <f>IF(CK$3="","",IF(AND(DivAs=2,CK$2&lt;ExDivPct),ExDivTree!CK66+DivAmount*EXP(IntRate*(CK$2-ExDivPct)),ExDivTree!CK66))</f>
        <v>28.833518739500001</v>
      </c>
      <c r="CL66" s="17">
        <f>IF(CL$3="","",IF(AND(DivAs=2,CL$2&lt;ExDivPct),ExDivTree!CL66+DivAmount*EXP(IntRate*(CL$2-ExDivPct)),ExDivTree!CL66))</f>
        <v>29.706383174100001</v>
      </c>
      <c r="CM66" s="17">
        <f>IF(CM$3="","",IF(AND(DivAs=2,CM$2&lt;ExDivPct),ExDivTree!CM66+DivAmount*EXP(IntRate*(CM$2-ExDivPct)),ExDivTree!CM66))</f>
        <v>30.605671449900001</v>
      </c>
      <c r="CN66" s="17">
        <f>IF(CN$3="","",IF(AND(DivAs=2,CN$2&lt;ExDivPct),ExDivTree!CN66+DivAmount*EXP(IntRate*(CN$2-ExDivPct)),ExDivTree!CN66))</f>
        <v>31.532183484299999</v>
      </c>
      <c r="CO66" s="17">
        <f>IF(CO$3="","",IF(AND(DivAs=2,CO$2&lt;ExDivPct),ExDivTree!CO66+DivAmount*EXP(IntRate*(CO$2-ExDivPct)),ExDivTree!CO66))</f>
        <v>32.486743410099997</v>
      </c>
      <c r="CP66" s="17">
        <f>IF(CP$3="","",IF(AND(DivAs=2,CP$2&lt;ExDivPct),ExDivTree!CP66+DivAmount*EXP(IntRate*(CP$2-ExDivPct)),ExDivTree!CP66))</f>
        <v>33.470200308800003</v>
      </c>
      <c r="CQ66" s="17">
        <f>IF(CQ$3="","",IF(AND(DivAs=2,CQ$2&lt;ExDivPct),ExDivTree!CQ66+DivAmount*EXP(IntRate*(CQ$2-ExDivPct)),ExDivTree!CQ66))</f>
        <v>34.483428965800002</v>
      </c>
      <c r="CR66" s="17">
        <f>IF(CR$3="","",IF(AND(DivAs=2,CR$2&lt;ExDivPct),ExDivTree!CR66+DivAmount*EXP(IntRate*(CR$2-ExDivPct)),ExDivTree!CR66))</f>
        <v>35.527330648400003</v>
      </c>
      <c r="CS66" s="17">
        <f>IF(CS$3="","",IF(AND(DivAs=2,CS$2&lt;ExDivPct),ExDivTree!CS66+DivAmount*EXP(IntRate*(CS$2-ExDivPct)),ExDivTree!CS66))</f>
        <v>36.602833907600001</v>
      </c>
      <c r="CT66" s="17">
        <f>IF(CT$3="","",IF(AND(DivAs=2,CT$2&lt;ExDivPct),ExDivTree!CT66+DivAmount*EXP(IntRate*(CT$2-ExDivPct)),ExDivTree!CT66))</f>
        <v>37.7108954041</v>
      </c>
      <c r="CU66" s="17">
        <f>IF(CU$3="","",IF(AND(DivAs=2,CU$2&lt;ExDivPct),ExDivTree!CU66+DivAmount*EXP(IntRate*(CU$2-ExDivPct)),ExDivTree!CU66))</f>
        <v>38.852500759100003</v>
      </c>
      <c r="CV66" s="17">
        <f>IF(CV$3="","",IF(AND(DivAs=2,CV$2&lt;ExDivPct),ExDivTree!CV66+DivAmount*EXP(IntRate*(CV$2-ExDivPct)),ExDivTree!CV66))</f>
        <v>40.028665431</v>
      </c>
      <c r="CW66" s="17">
        <f>IF(CW$3="","",IF(AND(DivAs=2,CW$2&lt;ExDivPct),ExDivTree!CW66+DivAmount*EXP(IntRate*(CW$2-ExDivPct)),ExDivTree!CW66))</f>
        <v>41.240435618900001</v>
      </c>
      <c r="CX66" s="17">
        <f>IF(CX$3="","",IF(AND(DivAs=2,CX$2&lt;ExDivPct),ExDivTree!CX66+DivAmount*EXP(IntRate*(CX$2-ExDivPct)),ExDivTree!CX66))</f>
        <v>42.488889192800002</v>
      </c>
      <c r="CY66" s="17">
        <f>IF(CY$3="","",IF(AND(DivAs=2,CY$2&lt;ExDivPct),ExDivTree!CY66+DivAmount*EXP(IntRate*(CY$2-ExDivPct)),ExDivTree!CY66))</f>
        <v>43.775136652800001</v>
      </c>
      <c r="CZ66" s="17">
        <f>IF(CZ$3="","",IF(AND(DivAs=2,CZ$2&lt;ExDivPct),ExDivTree!CZ66+DivAmount*EXP(IntRate*(CZ$2-ExDivPct)),ExDivTree!CZ66))</f>
        <v>45.100322116599997</v>
      </c>
      <c r="DA66" s="17">
        <f>IF(DA$3="","",IF(AND(DivAs=2,DA$2&lt;ExDivPct),ExDivTree!DA66+DivAmount*EXP(IntRate*(DA$2-ExDivPct)),ExDivTree!DA66))</f>
        <v>46.4656243373</v>
      </c>
      <c r="DB66" s="17">
        <f>IF(DB$3="","",IF(AND(DivAs=2,DB$2&lt;ExDivPct),ExDivTree!DB66+DivAmount*EXP(IntRate*(DB$2-ExDivPct)),ExDivTree!DB66))</f>
        <v>47.872257751799999</v>
      </c>
    </row>
    <row r="67" spans="1:106" x14ac:dyDescent="0.2">
      <c r="A67">
        <f>ExDivTree!A67</f>
        <v>9.0900785341286344E+27</v>
      </c>
      <c r="B67" s="71">
        <f>ExDivTree!B67</f>
        <v>3.5854037904814013E-3</v>
      </c>
      <c r="C67" s="71">
        <f>ExDivTree!C67</f>
        <v>3.354337284654979E-3</v>
      </c>
      <c r="D67" s="177">
        <f>ExDivTree!D67</f>
        <v>63</v>
      </c>
      <c r="BP67" s="17">
        <f>IF(BP$3="","",IF(AND(DivAs=2,BP$2&lt;ExDivPct),ExDivTree!BP67+DivAmount*EXP(IntRate*(BP$2-ExDivPct)),ExDivTree!BP67))</f>
        <v>14.5211443528</v>
      </c>
      <c r="BQ67" s="17">
        <f>IF(BQ$3="","",IF(AND(DivAs=2,BQ$2&lt;ExDivPct),ExDivTree!BQ67+DivAmount*EXP(IntRate*(BQ$2-ExDivPct)),ExDivTree!BQ67))</f>
        <v>14.9607365708</v>
      </c>
      <c r="BR67" s="17">
        <f>IF(BR$3="","",IF(AND(DivAs=2,BR$2&lt;ExDivPct),ExDivTree!BR67+DivAmount*EXP(IntRate*(BR$2-ExDivPct)),ExDivTree!BR67))</f>
        <v>15.413636370700001</v>
      </c>
      <c r="BS67" s="17">
        <f>IF(BS$3="","",IF(AND(DivAs=2,BS$2&lt;ExDivPct),ExDivTree!BS67+DivAmount*EXP(IntRate*(BS$2-ExDivPct)),ExDivTree!BS67))</f>
        <v>15.8802466071</v>
      </c>
      <c r="BT67" s="17">
        <f>IF(BT$3="","",IF(AND(DivAs=2,BT$2&lt;ExDivPct),ExDivTree!BT67+DivAmount*EXP(IntRate*(BT$2-ExDivPct)),ExDivTree!BT67))</f>
        <v>16.360982329999999</v>
      </c>
      <c r="BU67" s="17">
        <f>IF(BU$3="","",IF(AND(DivAs=2,BU$2&lt;ExDivPct),ExDivTree!BU67+DivAmount*EXP(IntRate*(BU$2-ExDivPct)),ExDivTree!BU67))</f>
        <v>16.8562711541</v>
      </c>
      <c r="BV67" s="17">
        <f>IF(BV$3="","",IF(AND(DivAs=2,BV$2&lt;ExDivPct),ExDivTree!BV67+DivAmount*EXP(IntRate*(BV$2-ExDivPct)),ExDivTree!BV67))</f>
        <v>17.366553638999999</v>
      </c>
      <c r="BW67" s="17">
        <f>IF(BW$3="","",IF(AND(DivAs=2,BW$2&lt;ExDivPct),ExDivTree!BW67+DivAmount*EXP(IntRate*(BW$2-ExDivPct)),ExDivTree!BW67))</f>
        <v>17.892283681199999</v>
      </c>
      <c r="BX67" s="17">
        <f>IF(BX$3="","",IF(AND(DivAs=2,BX$2&lt;ExDivPct),ExDivTree!BX67+DivAmount*EXP(IntRate*(BX$2-ExDivPct)),ExDivTree!BX67))</f>
        <v>18.433928917799999</v>
      </c>
      <c r="BY67" s="17">
        <f>IF(BY$3="","",IF(AND(DivAs=2,BY$2&lt;ExDivPct),ExDivTree!BY67+DivAmount*EXP(IntRate*(BY$2-ExDivPct)),ExDivTree!BY67))</f>
        <v>18.991971142499999</v>
      </c>
      <c r="BZ67" s="17">
        <f>IF(BZ$3="","",IF(AND(DivAs=2,BZ$2&lt;ExDivPct),ExDivTree!BZ67+DivAmount*EXP(IntRate*(BZ$2-ExDivPct)),ExDivTree!BZ67))</f>
        <v>19.566906734100002</v>
      </c>
      <c r="CA67" s="17">
        <f>IF(CA$3="","",IF(AND(DivAs=2,CA$2&lt;ExDivPct),ExDivTree!CA67+DivAmount*EXP(IntRate*(CA$2-ExDivPct)),ExDivTree!CA67))</f>
        <v>20.159247098000002</v>
      </c>
      <c r="CB67" s="17">
        <f>IF(CB$3="","",IF(AND(DivAs=2,CB$2&lt;ExDivPct),ExDivTree!CB67+DivAmount*EXP(IntRate*(CB$2-ExDivPct)),ExDivTree!CB67))</f>
        <v>20.7695191213</v>
      </c>
      <c r="CC67" s="17">
        <f>IF(CC$3="","",IF(AND(DivAs=2,CC$2&lt;ExDivPct),ExDivTree!CC67+DivAmount*EXP(IntRate*(CC$2-ExDivPct)),ExDivTree!CC67))</f>
        <v>21.398265641199998</v>
      </c>
      <c r="CD67" s="17">
        <f>IF(CD$3="","",IF(AND(DivAs=2,CD$2&lt;ExDivPct),ExDivTree!CD67+DivAmount*EXP(IntRate*(CD$2-ExDivPct)),ExDivTree!CD67))</f>
        <v>22.0460459281</v>
      </c>
      <c r="CE67" s="17">
        <f>IF(CE$3="","",IF(AND(DivAs=2,CE$2&lt;ExDivPct),ExDivTree!CE67+DivAmount*EXP(IntRate*(CE$2-ExDivPct)),ExDivTree!CE67))</f>
        <v>22.713436182799999</v>
      </c>
      <c r="CF67" s="17">
        <f>IF(CF$3="","",IF(AND(DivAs=2,CF$2&lt;ExDivPct),ExDivTree!CF67+DivAmount*EXP(IntRate*(CF$2-ExDivPct)),ExDivTree!CF67))</f>
        <v>23.401030049199999</v>
      </c>
      <c r="CG67" s="17">
        <f>IF(CG$3="","",IF(AND(DivAs=2,CG$2&lt;ExDivPct),ExDivTree!CG67+DivAmount*EXP(IntRate*(CG$2-ExDivPct)),ExDivTree!CG67))</f>
        <v>24.109439142399999</v>
      </c>
      <c r="CH67" s="17">
        <f>IF(CH$3="","",IF(AND(DivAs=2,CH$2&lt;ExDivPct),ExDivTree!CH67+DivAmount*EXP(IntRate*(CH$2-ExDivPct)),ExDivTree!CH67))</f>
        <v>24.839293592600001</v>
      </c>
      <c r="CI67" s="17">
        <f>IF(CI$3="","",IF(AND(DivAs=2,CI$2&lt;ExDivPct),ExDivTree!CI67+DivAmount*EXP(IntRate*(CI$2-ExDivPct)),ExDivTree!CI67))</f>
        <v>25.591242605600002</v>
      </c>
      <c r="CJ67" s="17">
        <f>IF(CJ$3="","",IF(AND(DivAs=2,CJ$2&lt;ExDivPct),ExDivTree!CJ67+DivAmount*EXP(IntRate*(CJ$2-ExDivPct)),ExDivTree!CJ67))</f>
        <v>26.365955040399999</v>
      </c>
      <c r="CK67" s="17">
        <f>IF(CK$3="","",IF(AND(DivAs=2,CK$2&lt;ExDivPct),ExDivTree!CK67+DivAmount*EXP(IntRate*(CK$2-ExDivPct)),ExDivTree!CK67))</f>
        <v>27.164120004099999</v>
      </c>
      <c r="CL67" s="17">
        <f>IF(CL$3="","",IF(AND(DivAs=2,CL$2&lt;ExDivPct),ExDivTree!CL67+DivAmount*EXP(IntRate*(CL$2-ExDivPct)),ExDivTree!CL67))</f>
        <v>27.986447464800001</v>
      </c>
      <c r="CM67" s="17">
        <f>IF(CM$3="","",IF(AND(DivAs=2,CM$2&lt;ExDivPct),ExDivTree!CM67+DivAmount*EXP(IntRate*(CM$2-ExDivPct)),ExDivTree!CM67))</f>
        <v>28.833668883200001</v>
      </c>
      <c r="CN67" s="17">
        <f>IF(CN$3="","",IF(AND(DivAs=2,CN$2&lt;ExDivPct),ExDivTree!CN67+DivAmount*EXP(IntRate*(CN$2-ExDivPct)),ExDivTree!CN67))</f>
        <v>29.706537863000001</v>
      </c>
      <c r="CO67" s="17">
        <f>IF(CO$3="","",IF(AND(DivAs=2,CO$2&lt;ExDivPct),ExDivTree!CO67+DivAmount*EXP(IntRate*(CO$2-ExDivPct)),ExDivTree!CO67))</f>
        <v>30.6058308217</v>
      </c>
      <c r="CP67" s="17">
        <f>IF(CP$3="","",IF(AND(DivAs=2,CP$2&lt;ExDivPct),ExDivTree!CP67+DivAmount*EXP(IntRate*(CP$2-ExDivPct)),ExDivTree!CP67))</f>
        <v>31.532347680699999</v>
      </c>
      <c r="CQ67" s="17">
        <f>IF(CQ$3="","",IF(AND(DivAs=2,CQ$2&lt;ExDivPct),ExDivTree!CQ67+DivAmount*EXP(IntRate*(CQ$2-ExDivPct)),ExDivTree!CQ67))</f>
        <v>32.486912577200002</v>
      </c>
      <c r="CR67" s="17">
        <f>IF(CR$3="","",IF(AND(DivAs=2,CR$2&lt;ExDivPct),ExDivTree!CR67+DivAmount*EXP(IntRate*(CR$2-ExDivPct)),ExDivTree!CR67))</f>
        <v>33.470374597000003</v>
      </c>
      <c r="CS67" s="17">
        <f>IF(CS$3="","",IF(AND(DivAs=2,CS$2&lt;ExDivPct),ExDivTree!CS67+DivAmount*EXP(IntRate*(CS$2-ExDivPct)),ExDivTree!CS67))</f>
        <v>34.4836085301</v>
      </c>
      <c r="CT67" s="17">
        <f>IF(CT$3="","",IF(AND(DivAs=2,CT$2&lt;ExDivPct),ExDivTree!CT67+DivAmount*EXP(IntRate*(CT$2-ExDivPct)),ExDivTree!CT67))</f>
        <v>35.527515648600001</v>
      </c>
      <c r="CU67" s="17">
        <f>IF(CU$3="","",IF(AND(DivAs=2,CU$2&lt;ExDivPct),ExDivTree!CU67+DivAmount*EXP(IntRate*(CU$2-ExDivPct)),ExDivTree!CU67))</f>
        <v>36.603024508300003</v>
      </c>
      <c r="CV67" s="17">
        <f>IF(CV$3="","",IF(AND(DivAs=2,CV$2&lt;ExDivPct),ExDivTree!CV67+DivAmount*EXP(IntRate*(CV$2-ExDivPct)),ExDivTree!CV67))</f>
        <v>37.711091774800003</v>
      </c>
      <c r="CW67" s="17">
        <f>IF(CW$3="","",IF(AND(DivAs=2,CW$2&lt;ExDivPct),ExDivTree!CW67+DivAmount*EXP(IntRate*(CW$2-ExDivPct)),ExDivTree!CW67))</f>
        <v>38.852703074399997</v>
      </c>
      <c r="CX67" s="17">
        <f>IF(CX$3="","",IF(AND(DivAs=2,CX$2&lt;ExDivPct),ExDivTree!CX67+DivAmount*EXP(IntRate*(CX$2-ExDivPct)),ExDivTree!CX67))</f>
        <v>40.0288738709</v>
      </c>
      <c r="CY67" s="17">
        <f>IF(CY$3="","",IF(AND(DivAs=2,CY$2&lt;ExDivPct),ExDivTree!CY67+DivAmount*EXP(IntRate*(CY$2-ExDivPct)),ExDivTree!CY67))</f>
        <v>41.240650368799997</v>
      </c>
      <c r="CZ67" s="17">
        <f>IF(CZ$3="","",IF(AND(DivAs=2,CZ$2&lt;ExDivPct),ExDivTree!CZ67+DivAmount*EXP(IntRate*(CZ$2-ExDivPct)),ExDivTree!CZ67))</f>
        <v>42.489110443800001</v>
      </c>
      <c r="DA67" s="17">
        <f>IF(DA$3="","",IF(AND(DivAs=2,DA$2&lt;ExDivPct),ExDivTree!DA67+DivAmount*EXP(IntRate*(DA$2-ExDivPct)),ExDivTree!DA67))</f>
        <v>43.775364601699998</v>
      </c>
      <c r="DB67" s="17">
        <f>IF(DB$3="","",IF(AND(DivAs=2,DB$2&lt;ExDivPct),ExDivTree!DB67+DivAmount*EXP(IntRate*(DB$2-ExDivPct)),ExDivTree!DB67))</f>
        <v>45.100556966100001</v>
      </c>
    </row>
    <row r="68" spans="1:106" x14ac:dyDescent="0.2">
      <c r="A68">
        <f>ExDivTree!A68</f>
        <v>5.3972341296388722E+27</v>
      </c>
      <c r="B68" s="71">
        <f>ExDivTree!B68</f>
        <v>2.1288335005983303E-3</v>
      </c>
      <c r="C68" s="71">
        <f>ExDivTree!C68</f>
        <v>1.9811080856939407E-3</v>
      </c>
      <c r="D68" s="177">
        <f>ExDivTree!D68</f>
        <v>64</v>
      </c>
      <c r="BQ68" s="17">
        <f>IF(BQ$3="","",IF(AND(DivAs=2,BQ$2&lt;ExDivPct),ExDivTree!BQ68+DivAmount*EXP(IntRate*(BQ$2-ExDivPct)),ExDivTree!BQ68))</f>
        <v>14.094542092699999</v>
      </c>
      <c r="BR68" s="17">
        <f>IF(BR$3="","",IF(AND(DivAs=2,BR$2&lt;ExDivPct),ExDivTree!BR68+DivAmount*EXP(IntRate*(BR$2-ExDivPct)),ExDivTree!BR68))</f>
        <v>14.5212199681</v>
      </c>
      <c r="BS68" s="17">
        <f>IF(BS$3="","",IF(AND(DivAs=2,BS$2&lt;ExDivPct),ExDivTree!BS68+DivAmount*EXP(IntRate*(BS$2-ExDivPct)),ExDivTree!BS68))</f>
        <v>14.960814475199999</v>
      </c>
      <c r="BT68" s="17">
        <f>IF(BT$3="","",IF(AND(DivAs=2,BT$2&lt;ExDivPct),ExDivTree!BT68+DivAmount*EXP(IntRate*(BT$2-ExDivPct)),ExDivTree!BT68))</f>
        <v>15.4137166335</v>
      </c>
      <c r="BU68" s="17">
        <f>IF(BU$3="","",IF(AND(DivAs=2,BU$2&lt;ExDivPct),ExDivTree!BU68+DivAmount*EXP(IntRate*(BU$2-ExDivPct)),ExDivTree!BU68))</f>
        <v>15.8803292997</v>
      </c>
      <c r="BV68" s="17">
        <f>IF(BV$3="","",IF(AND(DivAs=2,BV$2&lt;ExDivPct),ExDivTree!BV68+DivAmount*EXP(IntRate*(BV$2-ExDivPct)),ExDivTree!BV68))</f>
        <v>16.361067525999999</v>
      </c>
      <c r="BW68" s="17">
        <f>IF(BW$3="","",IF(AND(DivAs=2,BW$2&lt;ExDivPct),ExDivTree!BW68+DivAmount*EXP(IntRate*(BW$2-ExDivPct)),ExDivTree!BW68))</f>
        <v>16.856358929199999</v>
      </c>
      <c r="BX68" s="17">
        <f>IF(BX$3="","",IF(AND(DivAs=2,BX$2&lt;ExDivPct),ExDivTree!BX68+DivAmount*EXP(IntRate*(BX$2-ExDivPct)),ExDivTree!BX68))</f>
        <v>17.366644071300001</v>
      </c>
      <c r="BY68" s="17">
        <f>IF(BY$3="","",IF(AND(DivAs=2,BY$2&lt;ExDivPct),ExDivTree!BY68+DivAmount*EXP(IntRate*(BY$2-ExDivPct)),ExDivTree!BY68))</f>
        <v>17.8923768511</v>
      </c>
      <c r="BZ68" s="17">
        <f>IF(BZ$3="","",IF(AND(DivAs=2,BZ$2&lt;ExDivPct),ExDivTree!BZ68+DivAmount*EXP(IntRate*(BZ$2-ExDivPct)),ExDivTree!BZ68))</f>
        <v>18.434024908200001</v>
      </c>
      <c r="CA68" s="17">
        <f>IF(CA$3="","",IF(AND(DivAs=2,CA$2&lt;ExDivPct),ExDivTree!CA68+DivAmount*EXP(IntRate*(CA$2-ExDivPct)),ExDivTree!CA68))</f>
        <v>18.9920700387</v>
      </c>
      <c r="CB68" s="17">
        <f>IF(CB$3="","",IF(AND(DivAs=2,CB$2&lt;ExDivPct),ExDivTree!CB68+DivAmount*EXP(IntRate*(CB$2-ExDivPct)),ExDivTree!CB68))</f>
        <v>19.567008624100001</v>
      </c>
      <c r="CC68" s="17">
        <f>IF(CC$3="","",IF(AND(DivAs=2,CC$2&lt;ExDivPct),ExDivTree!CC68+DivAmount*EXP(IntRate*(CC$2-ExDivPct)),ExDivTree!CC68))</f>
        <v>20.159352072499999</v>
      </c>
      <c r="CD68" s="17">
        <f>IF(CD$3="","",IF(AND(DivAs=2,CD$2&lt;ExDivPct),ExDivTree!CD68+DivAmount*EXP(IntRate*(CD$2-ExDivPct)),ExDivTree!CD68))</f>
        <v>20.769627273699999</v>
      </c>
      <c r="CE68" s="17">
        <f>IF(CE$3="","",IF(AND(DivAs=2,CE$2&lt;ExDivPct),ExDivTree!CE68+DivAmount*EXP(IntRate*(CE$2-ExDivPct)),ExDivTree!CE68))</f>
        <v>21.3983770677</v>
      </c>
      <c r="CF68" s="17">
        <f>IF(CF$3="","",IF(AND(DivAs=2,CF$2&lt;ExDivPct),ExDivTree!CF68+DivAmount*EXP(IntRate*(CF$2-ExDivPct)),ExDivTree!CF68))</f>
        <v>22.046160727699998</v>
      </c>
      <c r="CG68" s="17">
        <f>IF(CG$3="","",IF(AND(DivAs=2,CG$2&lt;ExDivPct),ExDivTree!CG68+DivAmount*EXP(IntRate*(CG$2-ExDivPct)),ExDivTree!CG68))</f>
        <v>22.713554457600001</v>
      </c>
      <c r="CH68" s="17">
        <f>IF(CH$3="","",IF(AND(DivAs=2,CH$2&lt;ExDivPct),ExDivTree!CH68+DivAmount*EXP(IntRate*(CH$2-ExDivPct)),ExDivTree!CH68))</f>
        <v>23.401151904500001</v>
      </c>
      <c r="CI68" s="17">
        <f>IF(CI$3="","",IF(AND(DivAs=2,CI$2&lt;ExDivPct),ExDivTree!CI68+DivAmount*EXP(IntRate*(CI$2-ExDivPct)),ExDivTree!CI68))</f>
        <v>24.109564686500001</v>
      </c>
      <c r="CJ68" s="17">
        <f>IF(CJ$3="","",IF(AND(DivAs=2,CJ$2&lt;ExDivPct),ExDivTree!CJ68+DivAmount*EXP(IntRate*(CJ$2-ExDivPct)),ExDivTree!CJ68))</f>
        <v>24.839422937199998</v>
      </c>
      <c r="CK68" s="17">
        <f>IF(CK$3="","",IF(AND(DivAs=2,CK$2&lt;ExDivPct),ExDivTree!CK68+DivAmount*EXP(IntRate*(CK$2-ExDivPct)),ExDivTree!CK68))</f>
        <v>25.5913758658</v>
      </c>
      <c r="CL68" s="17">
        <f>IF(CL$3="","",IF(AND(DivAs=2,CL$2&lt;ExDivPct),ExDivTree!CL68+DivAmount*EXP(IntRate*(CL$2-ExDivPct)),ExDivTree!CL68))</f>
        <v>26.366092334800001</v>
      </c>
      <c r="CM68" s="17">
        <f>IF(CM$3="","",IF(AND(DivAs=2,CM$2&lt;ExDivPct),ExDivTree!CM68+DivAmount*EXP(IntRate*(CM$2-ExDivPct)),ExDivTree!CM68))</f>
        <v>27.164261454799998</v>
      </c>
      <c r="CN68" s="17">
        <f>IF(CN$3="","",IF(AND(DivAs=2,CN$2&lt;ExDivPct),ExDivTree!CN68+DivAmount*EXP(IntRate*(CN$2-ExDivPct)),ExDivTree!CN68))</f>
        <v>27.986593197600001</v>
      </c>
      <c r="CO68" s="17">
        <f>IF(CO$3="","",IF(AND(DivAs=2,CO$2&lt;ExDivPct),ExDivTree!CO68+DivAmount*EXP(IntRate*(CO$2-ExDivPct)),ExDivTree!CO68))</f>
        <v>28.833819027699999</v>
      </c>
      <c r="CP68" s="17">
        <f>IF(CP$3="","",IF(AND(DivAs=2,CP$2&lt;ExDivPct),ExDivTree!CP68+DivAmount*EXP(IntRate*(CP$2-ExDivPct)),ExDivTree!CP68))</f>
        <v>29.7066925528</v>
      </c>
      <c r="CQ68" s="17">
        <f>IF(CQ$3="","",IF(AND(DivAs=2,CQ$2&lt;ExDivPct),ExDivTree!CQ68+DivAmount*EXP(IntRate*(CQ$2-ExDivPct)),ExDivTree!CQ68))</f>
        <v>30.605990194299999</v>
      </c>
      <c r="CR68" s="17">
        <f>IF(CR$3="","",IF(AND(DivAs=2,CR$2&lt;ExDivPct),ExDivTree!CR68+DivAmount*EXP(IntRate*(CR$2-ExDivPct)),ExDivTree!CR68))</f>
        <v>31.532511877899999</v>
      </c>
      <c r="CS68" s="17">
        <f>IF(CS$3="","",IF(AND(DivAs=2,CS$2&lt;ExDivPct),ExDivTree!CS68+DivAmount*EXP(IntRate*(CS$2-ExDivPct)),ExDivTree!CS68))</f>
        <v>32.487081744999998</v>
      </c>
      <c r="CT68" s="17">
        <f>IF(CT$3="","",IF(AND(DivAs=2,CT$2&lt;ExDivPct),ExDivTree!CT68+DivAmount*EXP(IntRate*(CT$2-ExDivPct)),ExDivTree!CT68))</f>
        <v>33.470548886000003</v>
      </c>
      <c r="CU68" s="17">
        <f>IF(CU$3="","",IF(AND(DivAs=2,CU$2&lt;ExDivPct),ExDivTree!CU68+DivAmount*EXP(IntRate*(CU$2-ExDivPct)),ExDivTree!CU68))</f>
        <v>34.4837880953</v>
      </c>
      <c r="CV68" s="17">
        <f>IF(CV$3="","",IF(AND(DivAs=2,CV$2&lt;ExDivPct),ExDivTree!CV68+DivAmount*EXP(IntRate*(CV$2-ExDivPct)),ExDivTree!CV68))</f>
        <v>35.527700649700002</v>
      </c>
      <c r="CW68" s="17">
        <f>IF(CW$3="","",IF(AND(DivAs=2,CW$2&lt;ExDivPct),ExDivTree!CW68+DivAmount*EXP(IntRate*(CW$2-ExDivPct)),ExDivTree!CW68))</f>
        <v>36.603215109799997</v>
      </c>
      <c r="CX68" s="17">
        <f>IF(CX$3="","",IF(AND(DivAs=2,CX$2&lt;ExDivPct),ExDivTree!CX68+DivAmount*EXP(IntRate*(CX$2-ExDivPct)),ExDivTree!CX68))</f>
        <v>37.711288146299999</v>
      </c>
      <c r="CY68" s="17">
        <f>IF(CY$3="","",IF(AND(DivAs=2,CY$2&lt;ExDivPct),ExDivTree!CY68+DivAmount*EXP(IntRate*(CY$2-ExDivPct)),ExDivTree!CY68))</f>
        <v>38.8529053906</v>
      </c>
      <c r="CZ68" s="17">
        <f>IF(CZ$3="","",IF(AND(DivAs=2,CZ$2&lt;ExDivPct),ExDivTree!CZ68+DivAmount*EXP(IntRate*(CZ$2-ExDivPct)),ExDivTree!CZ68))</f>
        <v>40.029082311700002</v>
      </c>
      <c r="DA68" s="17">
        <f>IF(DA$3="","",IF(AND(DivAs=2,DA$2&lt;ExDivPct),ExDivTree!DA68+DivAmount*EXP(IntRate*(DA$2-ExDivPct)),ExDivTree!DA68))</f>
        <v>41.240865119600002</v>
      </c>
      <c r="DB68" s="17">
        <f>IF(DB$3="","",IF(AND(DivAs=2,DB$2&lt;ExDivPct),ExDivTree!DB68+DivAmount*EXP(IntRate*(DB$2-ExDivPct)),ExDivTree!DB68))</f>
        <v>42.489331695600001</v>
      </c>
    </row>
    <row r="69" spans="1:106" x14ac:dyDescent="0.2">
      <c r="A69">
        <f>ExDivTree!A69</f>
        <v>3.0722717353328938E+27</v>
      </c>
      <c r="B69" s="71">
        <f>ExDivTree!B69</f>
        <v>1.2117975311098177E-3</v>
      </c>
      <c r="C69" s="71">
        <f>ExDivTree!C69</f>
        <v>1.1217455523403058E-3</v>
      </c>
      <c r="D69" s="177">
        <f>ExDivTree!D69</f>
        <v>65</v>
      </c>
      <c r="BR69" s="17">
        <f>IF(BR$3="","",IF(AND(DivAs=2,BR$2&lt;ExDivPct),ExDivTree!BR69+DivAmount*EXP(IntRate*(BR$2-ExDivPct)),ExDivTree!BR69))</f>
        <v>13.6804725561</v>
      </c>
      <c r="BS69" s="17">
        <f>IF(BS$3="","",IF(AND(DivAs=2,BS$2&lt;ExDivPct),ExDivTree!BS69+DivAmount*EXP(IntRate*(BS$2-ExDivPct)),ExDivTree!BS69))</f>
        <v>14.0946154864</v>
      </c>
      <c r="BT69" s="17">
        <f>IF(BT$3="","",IF(AND(DivAs=2,BT$2&lt;ExDivPct),ExDivTree!BT69+DivAmount*EXP(IntRate*(BT$2-ExDivPct)),ExDivTree!BT69))</f>
        <v>14.521295583600001</v>
      </c>
      <c r="BU69" s="17">
        <f>IF(BU$3="","",IF(AND(DivAs=2,BU$2&lt;ExDivPct),ExDivTree!BU69+DivAmount*EXP(IntRate*(BU$2-ExDivPct)),ExDivTree!BU69))</f>
        <v>14.960892379700001</v>
      </c>
      <c r="BV69" s="17">
        <f>IF(BV$3="","",IF(AND(DivAs=2,BV$2&lt;ExDivPct),ExDivTree!BV69+DivAmount*EXP(IntRate*(BV$2-ExDivPct)),ExDivTree!BV69))</f>
        <v>15.413796896399999</v>
      </c>
      <c r="BW69" s="17">
        <f>IF(BW$3="","",IF(AND(DivAs=2,BW$2&lt;ExDivPct),ExDivTree!BW69+DivAmount*EXP(IntRate*(BW$2-ExDivPct)),ExDivTree!BW69))</f>
        <v>15.880411992299999</v>
      </c>
      <c r="BX69" s="17">
        <f>IF(BX$3="","",IF(AND(DivAs=2,BX$2&lt;ExDivPct),ExDivTree!BX69+DivAmount*EXP(IntRate*(BX$2-ExDivPct)),ExDivTree!BX69))</f>
        <v>16.361152721900002</v>
      </c>
      <c r="BY69" s="17">
        <f>IF(BY$3="","",IF(AND(DivAs=2,BY$2&lt;ExDivPct),ExDivTree!BY69+DivAmount*EXP(IntRate*(BY$2-ExDivPct)),ExDivTree!BY69))</f>
        <v>16.8564467042</v>
      </c>
      <c r="BZ69" s="17">
        <f>IF(BZ$3="","",IF(AND(DivAs=2,BZ$2&lt;ExDivPct),ExDivTree!BZ69+DivAmount*EXP(IntRate*(BZ$2-ExDivPct)),ExDivTree!BZ69))</f>
        <v>17.3667345034</v>
      </c>
      <c r="CA69" s="17">
        <f>IF(CA$3="","",IF(AND(DivAs=2,CA$2&lt;ExDivPct),ExDivTree!CA69+DivAmount*EXP(IntRate*(CA$2-ExDivPct)),ExDivTree!CA69))</f>
        <v>17.892470020800001</v>
      </c>
      <c r="CB69" s="17">
        <f>IF(CB$3="","",IF(AND(DivAs=2,CB$2&lt;ExDivPct),ExDivTree!CB69+DivAmount*EXP(IntRate*(CB$2-ExDivPct)),ExDivTree!CB69))</f>
        <v>18.4341208984</v>
      </c>
      <c r="CC69" s="17">
        <f>IF(CC$3="","",IF(AND(DivAs=2,CC$2&lt;ExDivPct),ExDivTree!CC69+DivAmount*EXP(IntRate*(CC$2-ExDivPct)),ExDivTree!CC69))</f>
        <v>18.992168934799999</v>
      </c>
      <c r="CD69" s="17">
        <f>IF(CD$3="","",IF(AND(DivAs=2,CD$2&lt;ExDivPct),ExDivTree!CD69+DivAmount*EXP(IntRate*(CD$2-ExDivPct)),ExDivTree!CD69))</f>
        <v>19.567110513999999</v>
      </c>
      <c r="CE69" s="17">
        <f>IF(CE$3="","",IF(AND(DivAs=2,CE$2&lt;ExDivPct),ExDivTree!CE69+DivAmount*EXP(IntRate*(CE$2-ExDivPct)),ExDivTree!CE69))</f>
        <v>20.159457046899998</v>
      </c>
      <c r="CF69" s="17">
        <f>IF(CF$3="","",IF(AND(DivAs=2,CF$2&lt;ExDivPct),ExDivTree!CF69+DivAmount*EXP(IntRate*(CF$2-ExDivPct)),ExDivTree!CF69))</f>
        <v>20.769735425899999</v>
      </c>
      <c r="CG69" s="17">
        <f>IF(CG$3="","",IF(AND(DivAs=2,CG$2&lt;ExDivPct),ExDivTree!CG69+DivAmount*EXP(IntRate*(CG$2-ExDivPct)),ExDivTree!CG69))</f>
        <v>21.3984884939</v>
      </c>
      <c r="CH69" s="17">
        <f>IF(CH$3="","",IF(AND(DivAs=2,CH$2&lt;ExDivPct),ExDivTree!CH69+DivAmount*EXP(IntRate*(CH$2-ExDivPct)),ExDivTree!CH69))</f>
        <v>22.046275527100001</v>
      </c>
      <c r="CI69" s="17">
        <f>IF(CI$3="","",IF(AND(DivAs=2,CI$2&lt;ExDivPct),ExDivTree!CI69+DivAmount*EXP(IntRate*(CI$2-ExDivPct)),ExDivTree!CI69))</f>
        <v>22.713672732300001</v>
      </c>
      <c r="CJ69" s="17">
        <f>IF(CJ$3="","",IF(AND(DivAs=2,CJ$2&lt;ExDivPct),ExDivTree!CJ69+DivAmount*EXP(IntRate*(CJ$2-ExDivPct)),ExDivTree!CJ69))</f>
        <v>23.4012737597</v>
      </c>
      <c r="CK69" s="17">
        <f>IF(CK$3="","",IF(AND(DivAs=2,CK$2&lt;ExDivPct),ExDivTree!CK69+DivAmount*EXP(IntRate*(CK$2-ExDivPct)),ExDivTree!CK69))</f>
        <v>24.109690230599998</v>
      </c>
      <c r="CL69" s="17">
        <f>IF(CL$3="","",IF(AND(DivAs=2,CL$2&lt;ExDivPct),ExDivTree!CL69+DivAmount*EXP(IntRate*(CL$2-ExDivPct)),ExDivTree!CL69))</f>
        <v>24.8395522818</v>
      </c>
      <c r="CM69" s="17">
        <f>IF(CM$3="","",IF(AND(DivAs=2,CM$2&lt;ExDivPct),ExDivTree!CM69+DivAmount*EXP(IntRate*(CM$2-ExDivPct)),ExDivTree!CM69))</f>
        <v>25.591509125999998</v>
      </c>
      <c r="CN69" s="17">
        <f>IF(CN$3="","",IF(AND(DivAs=2,CN$2&lt;ExDivPct),ExDivTree!CN69+DivAmount*EXP(IntRate*(CN$2-ExDivPct)),ExDivTree!CN69))</f>
        <v>26.366229629100001</v>
      </c>
      <c r="CO69" s="17">
        <f>IF(CO$3="","",IF(AND(DivAs=2,CO$2&lt;ExDivPct),ExDivTree!CO69+DivAmount*EXP(IntRate*(CO$2-ExDivPct)),ExDivTree!CO69))</f>
        <v>27.164402905300001</v>
      </c>
      <c r="CP69" s="17">
        <f>IF(CP$3="","",IF(AND(DivAs=2,CP$2&lt;ExDivPct),ExDivTree!CP69+DivAmount*EXP(IntRate*(CP$2-ExDivPct)),ExDivTree!CP69))</f>
        <v>27.986738930200001</v>
      </c>
      <c r="CQ69" s="17">
        <f>IF(CQ$3="","",IF(AND(DivAs=2,CQ$2&lt;ExDivPct),ExDivTree!CQ69+DivAmount*EXP(IntRate*(CQ$2-ExDivPct)),ExDivTree!CQ69))</f>
        <v>28.833969172</v>
      </c>
      <c r="CR69" s="17">
        <f>IF(CR$3="","",IF(AND(DivAs=2,CR$2&lt;ExDivPct),ExDivTree!CR69+DivAmount*EXP(IntRate*(CR$2-ExDivPct)),ExDivTree!CR69))</f>
        <v>29.706847242399999</v>
      </c>
      <c r="CS69" s="17">
        <f>IF(CS$3="","",IF(AND(DivAs=2,CS$2&lt;ExDivPct),ExDivTree!CS69+DivAmount*EXP(IntRate*(CS$2-ExDivPct)),ExDivTree!CS69))</f>
        <v>30.606149566799999</v>
      </c>
      <c r="CT69" s="17">
        <f>IF(CT$3="","",IF(AND(DivAs=2,CT$2&lt;ExDivPct),ExDivTree!CT69+DivAmount*EXP(IntRate*(CT$2-ExDivPct)),ExDivTree!CT69))</f>
        <v>31.532676075000001</v>
      </c>
      <c r="CU69" s="17">
        <f>IF(CU$3="","",IF(AND(DivAs=2,CU$2&lt;ExDivPct),ExDivTree!CU69+DivAmount*EXP(IntRate*(CU$2-ExDivPct)),ExDivTree!CU69))</f>
        <v>32.4872509128</v>
      </c>
      <c r="CV69" s="17">
        <f>IF(CV$3="","",IF(AND(DivAs=2,CV$2&lt;ExDivPct),ExDivTree!CV69+DivAmount*EXP(IntRate*(CV$2-ExDivPct)),ExDivTree!CV69))</f>
        <v>33.470723174900002</v>
      </c>
      <c r="CW69" s="17">
        <f>IF(CW$3="","",IF(AND(DivAs=2,CW$2&lt;ExDivPct),ExDivTree!CW69+DivAmount*EXP(IntRate*(CW$2-ExDivPct)),ExDivTree!CW69))</f>
        <v>34.483967660399998</v>
      </c>
      <c r="CX69" s="17">
        <f>IF(CX$3="","",IF(AND(DivAs=2,CX$2&lt;ExDivPct),ExDivTree!CX69+DivAmount*EXP(IntRate*(CX$2-ExDivPct)),ExDivTree!CX69))</f>
        <v>35.5278856507</v>
      </c>
      <c r="CY69" s="17">
        <f>IF(CY$3="","",IF(AND(DivAs=2,CY$2&lt;ExDivPct),ExDivTree!CY69+DivAmount*EXP(IntRate*(CY$2-ExDivPct)),ExDivTree!CY69))</f>
        <v>36.603405711299999</v>
      </c>
      <c r="CZ69" s="17">
        <f>IF(CZ$3="","",IF(AND(DivAs=2,CZ$2&lt;ExDivPct),ExDivTree!CZ69+DivAmount*EXP(IntRate*(CZ$2-ExDivPct)),ExDivTree!CZ69))</f>
        <v>37.711484517800002</v>
      </c>
      <c r="DA69" s="17">
        <f>IF(DA$3="","",IF(AND(DivAs=2,DA$2&lt;ExDivPct),ExDivTree!DA69+DivAmount*EXP(IntRate*(DA$2-ExDivPct)),ExDivTree!DA69))</f>
        <v>38.853107706700001</v>
      </c>
      <c r="DB69" s="17">
        <f>IF(DB$3="","",IF(AND(DivAs=2,DB$2&lt;ExDivPct),ExDivTree!DB69+DivAmount*EXP(IntRate*(DB$2-ExDivPct)),ExDivTree!DB69))</f>
        <v>40.029290752500003</v>
      </c>
    </row>
    <row r="70" spans="1:106" x14ac:dyDescent="0.2">
      <c r="A70">
        <f>ExDivTree!A70</f>
        <v>1.6757845829088522E+27</v>
      </c>
      <c r="B70" s="71">
        <f>ExDivTree!B70</f>
        <v>6.6098047151444644E-4</v>
      </c>
      <c r="C70" s="71">
        <f>ExDivTree!C70</f>
        <v>6.0862633448927929E-4</v>
      </c>
      <c r="D70" s="177">
        <f>ExDivTree!D70</f>
        <v>66</v>
      </c>
      <c r="BS70" s="17">
        <f>IF(BS$3="","",IF(AND(DivAs=2,BS$2&lt;ExDivPct),ExDivTree!BS70+DivAmount*EXP(IntRate*(BS$2-ExDivPct)),ExDivTree!BS70))</f>
        <v>13.278567556700001</v>
      </c>
      <c r="BT70" s="17">
        <f>IF(BT$3="","",IF(AND(DivAs=2,BT$2&lt;ExDivPct),ExDivTree!BT70+DivAmount*EXP(IntRate*(BT$2-ExDivPct)),ExDivTree!BT70))</f>
        <v>13.6805437937</v>
      </c>
      <c r="BU70" s="17">
        <f>IF(BU$3="","",IF(AND(DivAs=2,BU$2&lt;ExDivPct),ExDivTree!BU70+DivAmount*EXP(IntRate*(BU$2-ExDivPct)),ExDivTree!BU70))</f>
        <v>14.0946888806</v>
      </c>
      <c r="BV70" s="17">
        <f>IF(BV$3="","",IF(AND(DivAs=2,BV$2&lt;ExDivPct),ExDivTree!BV70+DivAmount*EXP(IntRate*(BV$2-ExDivPct)),ExDivTree!BV70))</f>
        <v>14.521371199600001</v>
      </c>
      <c r="BW70" s="17">
        <f>IF(BW$3="","",IF(AND(DivAs=2,BW$2&lt;ExDivPct),ExDivTree!BW70+DivAmount*EXP(IntRate*(BW$2-ExDivPct)),ExDivTree!BW70))</f>
        <v>14.9609702848</v>
      </c>
      <c r="BX70" s="17">
        <f>IF(BX$3="","",IF(AND(DivAs=2,BX$2&lt;ExDivPct),ExDivTree!BX70+DivAmount*EXP(IntRate*(BX$2-ExDivPct)),ExDivTree!BX70))</f>
        <v>15.4138771598</v>
      </c>
      <c r="BY70" s="17">
        <f>IF(BY$3="","",IF(AND(DivAs=2,BY$2&lt;ExDivPct),ExDivTree!BY70+DivAmount*EXP(IntRate*(BY$2-ExDivPct)),ExDivTree!BY70))</f>
        <v>15.8804946855</v>
      </c>
      <c r="BZ70" s="17">
        <f>IF(BZ$3="","",IF(AND(DivAs=2,BZ$2&lt;ExDivPct),ExDivTree!BZ70+DivAmount*EXP(IntRate*(BZ$2-ExDivPct)),ExDivTree!BZ70))</f>
        <v>16.361237918400001</v>
      </c>
      <c r="CA70" s="17">
        <f>IF(CA$3="","",IF(AND(DivAs=2,CA$2&lt;ExDivPct),ExDivTree!CA70+DivAmount*EXP(IntRate*(CA$2-ExDivPct)),ExDivTree!CA70))</f>
        <v>16.856534479800001</v>
      </c>
      <c r="CB70" s="17">
        <f>IF(CB$3="","",IF(AND(DivAs=2,CB$2&lt;ExDivPct),ExDivTree!CB70+DivAmount*EXP(IntRate*(CB$2-ExDivPct)),ExDivTree!CB70))</f>
        <v>17.3668249362</v>
      </c>
      <c r="CC70" s="17">
        <f>IF(CC$3="","",IF(AND(DivAs=2,CC$2&lt;ExDivPct),ExDivTree!CC70+DivAmount*EXP(IntRate*(CC$2-ExDivPct)),ExDivTree!CC70))</f>
        <v>17.892563191200001</v>
      </c>
      <c r="CD70" s="17">
        <f>IF(CD$3="","",IF(AND(DivAs=2,CD$2&lt;ExDivPct),ExDivTree!CD70+DivAmount*EXP(IntRate*(CD$2-ExDivPct)),ExDivTree!CD70))</f>
        <v>18.4342168893</v>
      </c>
      <c r="CE70" s="17">
        <f>IF(CE$3="","",IF(AND(DivAs=2,CE$2&lt;ExDivPct),ExDivTree!CE70+DivAmount*EXP(IntRate*(CE$2-ExDivPct)),ExDivTree!CE70))</f>
        <v>18.9922678316</v>
      </c>
      <c r="CF70" s="17">
        <f>IF(CF$3="","",IF(AND(DivAs=2,CF$2&lt;ExDivPct),ExDivTree!CF70+DivAmount*EXP(IntRate*(CF$2-ExDivPct)),ExDivTree!CF70))</f>
        <v>19.567212404700001</v>
      </c>
      <c r="CG70" s="17">
        <f>IF(CG$3="","",IF(AND(DivAs=2,CG$2&lt;ExDivPct),ExDivTree!CG70+DivAmount*EXP(IntRate*(CG$2-ExDivPct)),ExDivTree!CG70))</f>
        <v>20.159562022100001</v>
      </c>
      <c r="CH70" s="17">
        <f>IF(CH$3="","",IF(AND(DivAs=2,CH$2&lt;ExDivPct),ExDivTree!CH70+DivAmount*EXP(IntRate*(CH$2-ExDivPct)),ExDivTree!CH70))</f>
        <v>20.769843579</v>
      </c>
      <c r="CI70" s="17">
        <f>IF(CI$3="","",IF(AND(DivAs=2,CI$2&lt;ExDivPct),ExDivTree!CI70+DivAmount*EXP(IntRate*(CI$2-ExDivPct)),ExDivTree!CI70))</f>
        <v>21.398599921100001</v>
      </c>
      <c r="CJ70" s="17">
        <f>IF(CJ$3="","",IF(AND(DivAs=2,CJ$2&lt;ExDivPct),ExDivTree!CJ70+DivAmount*EXP(IntRate*(CJ$2-ExDivPct)),ExDivTree!CJ70))</f>
        <v>22.046390327499999</v>
      </c>
      <c r="CK70" s="17">
        <f>IF(CK$3="","",IF(AND(DivAs=2,CK$2&lt;ExDivPct),ExDivTree!CK70+DivAmount*EXP(IntRate*(CK$2-ExDivPct)),ExDivTree!CK70))</f>
        <v>22.713791008000001</v>
      </c>
      <c r="CL70" s="17">
        <f>IF(CL$3="","",IF(AND(DivAs=2,CL$2&lt;ExDivPct),ExDivTree!CL70+DivAmount*EXP(IntRate*(CL$2-ExDivPct)),ExDivTree!CL70))</f>
        <v>23.4013956159</v>
      </c>
      <c r="CM70" s="17">
        <f>IF(CM$3="","",IF(AND(DivAs=2,CM$2&lt;ExDivPct),ExDivTree!CM70+DivAmount*EXP(IntRate*(CM$2-ExDivPct)),ExDivTree!CM70))</f>
        <v>24.1098157757</v>
      </c>
      <c r="CN70" s="17">
        <f>IF(CN$3="","",IF(AND(DivAs=2,CN$2&lt;ExDivPct),ExDivTree!CN70+DivAmount*EXP(IntRate*(CN$2-ExDivPct)),ExDivTree!CN70))</f>
        <v>24.839681627499999</v>
      </c>
      <c r="CO70" s="17">
        <f>IF(CO$3="","",IF(AND(DivAs=2,CO$2&lt;ExDivPct),ExDivTree!CO70+DivAmount*EXP(IntRate*(CO$2-ExDivPct)),ExDivTree!CO70))</f>
        <v>25.591642387299999</v>
      </c>
      <c r="CP70" s="17">
        <f>IF(CP$3="","",IF(AND(DivAs=2,CP$2&lt;ExDivPct),ExDivTree!CP70+DivAmount*EXP(IntRate*(CP$2-ExDivPct)),ExDivTree!CP70))</f>
        <v>26.366366924600001</v>
      </c>
      <c r="CQ70" s="17">
        <f>IF(CQ$3="","",IF(AND(DivAs=2,CQ$2&lt;ExDivPct),ExDivTree!CQ70+DivAmount*EXP(IntRate*(CQ$2-ExDivPct)),ExDivTree!CQ70))</f>
        <v>27.164544357099999</v>
      </c>
      <c r="CR70" s="17">
        <f>IF(CR$3="","",IF(AND(DivAs=2,CR$2&lt;ExDivPct),ExDivTree!CR70+DivAmount*EXP(IntRate*(CR$2-ExDivPct)),ExDivTree!CR70))</f>
        <v>27.9868846641</v>
      </c>
      <c r="CS70" s="17">
        <f>IF(CS$3="","",IF(AND(DivAs=2,CS$2&lt;ExDivPct),ExDivTree!CS70+DivAmount*EXP(IntRate*(CS$2-ExDivPct)),ExDivTree!CS70))</f>
        <v>28.834119317599999</v>
      </c>
      <c r="CT70" s="17">
        <f>IF(CT$3="","",IF(AND(DivAs=2,CT$2&lt;ExDivPct),ExDivTree!CT70+DivAmount*EXP(IntRate*(CT$2-ExDivPct)),ExDivTree!CT70))</f>
        <v>29.707001933200001</v>
      </c>
      <c r="CU70" s="17">
        <f>IF(CU$3="","",IF(AND(DivAs=2,CU$2&lt;ExDivPct),ExDivTree!CU70+DivAmount*EXP(IntRate*(CU$2-ExDivPct)),ExDivTree!CU70))</f>
        <v>30.6063089405</v>
      </c>
      <c r="CV70" s="17">
        <f>IF(CV$3="","",IF(AND(DivAs=2,CV$2&lt;ExDivPct),ExDivTree!CV70+DivAmount*EXP(IntRate*(CV$2-ExDivPct)),ExDivTree!CV70))</f>
        <v>31.532840273400002</v>
      </c>
      <c r="CW70" s="17">
        <f>IF(CW$3="","",IF(AND(DivAs=2,CW$2&lt;ExDivPct),ExDivTree!CW70+DivAmount*EXP(IntRate*(CW$2-ExDivPct)),ExDivTree!CW70))</f>
        <v>32.487420081899998</v>
      </c>
      <c r="CX70" s="17">
        <f>IF(CX$3="","",IF(AND(DivAs=2,CX$2&lt;ExDivPct),ExDivTree!CX70+DivAmount*EXP(IntRate*(CX$2-ExDivPct)),ExDivTree!CX70))</f>
        <v>33.470897465199997</v>
      </c>
      <c r="CY70" s="17">
        <f>IF(CY$3="","",IF(AND(DivAs=2,CY$2&lt;ExDivPct),ExDivTree!CY70+DivAmount*EXP(IntRate*(CY$2-ExDivPct)),ExDivTree!CY70))</f>
        <v>34.484147226899999</v>
      </c>
      <c r="CZ70" s="17">
        <f>IF(CZ$3="","",IF(AND(DivAs=2,CZ$2&lt;ExDivPct),ExDivTree!CZ70+DivAmount*EXP(IntRate*(CZ$2-ExDivPct)),ExDivTree!CZ70))</f>
        <v>35.528070653100002</v>
      </c>
      <c r="DA70" s="17">
        <f>IF(DA$3="","",IF(AND(DivAs=2,DA$2&lt;ExDivPct),ExDivTree!DA70+DivAmount*EXP(IntRate*(DA$2-ExDivPct)),ExDivTree!DA70))</f>
        <v>36.603596314199997</v>
      </c>
      <c r="DB70" s="17">
        <f>IF(DB$3="","",IF(AND(DivAs=2,DB$2&lt;ExDivPct),ExDivTree!DB70+DivAmount*EXP(IntRate*(DB$2-ExDivPct)),ExDivTree!DB70))</f>
        <v>37.711680890700002</v>
      </c>
    </row>
    <row r="71" spans="1:106" x14ac:dyDescent="0.2">
      <c r="A71">
        <f>ExDivTree!A71</f>
        <v>8.7540985674343115E+26</v>
      </c>
      <c r="B71" s="71">
        <f>ExDivTree!B71</f>
        <v>3.4528830601500968E-4</v>
      </c>
      <c r="C71" s="71">
        <f>ExDivTree!C71</f>
        <v>3.1625820362151459E-4</v>
      </c>
      <c r="D71" s="177">
        <f>ExDivTree!D71</f>
        <v>67</v>
      </c>
      <c r="BT71" s="17">
        <f>IF(BT$3="","",IF(AND(DivAs=2,BT$2&lt;ExDivPct),ExDivTree!BT71+DivAmount*EXP(IntRate*(BT$2-ExDivPct)),ExDivTree!BT71))</f>
        <v>12.8884697246</v>
      </c>
      <c r="BU71" s="17">
        <f>IF(BU$3="","",IF(AND(DivAs=2,BU$2&lt;ExDivPct),ExDivTree!BU71+DivAmount*EXP(IntRate*(BU$2-ExDivPct)),ExDivTree!BU71))</f>
        <v>13.2786367015</v>
      </c>
      <c r="BV71" s="17">
        <f>IF(BV$3="","",IF(AND(DivAs=2,BV$2&lt;ExDivPct),ExDivTree!BV71+DivAmount*EXP(IntRate*(BV$2-ExDivPct)),ExDivTree!BV71))</f>
        <v>13.6806150317</v>
      </c>
      <c r="BW71" s="17">
        <f>IF(BW$3="","",IF(AND(DivAs=2,BW$2&lt;ExDivPct),ExDivTree!BW71+DivAmount*EXP(IntRate*(BW$2-ExDivPct)),ExDivTree!BW71))</f>
        <v>14.094762275100001</v>
      </c>
      <c r="BX71" s="17">
        <f>IF(BX$3="","",IF(AND(DivAs=2,BX$2&lt;ExDivPct),ExDivTree!BX71+DivAmount*EXP(IntRate*(BX$2-ExDivPct)),ExDivTree!BX71))</f>
        <v>14.521446815899999</v>
      </c>
      <c r="BY71" s="17">
        <f>IF(BY$3="","",IF(AND(DivAs=2,BY$2&lt;ExDivPct),ExDivTree!BY71+DivAmount*EXP(IntRate*(BY$2-ExDivPct)),ExDivTree!BY71))</f>
        <v>14.9610481902</v>
      </c>
      <c r="BZ71" s="17">
        <f>IF(BZ$3="","",IF(AND(DivAs=2,BZ$2&lt;ExDivPct),ExDivTree!BZ71+DivAmount*EXP(IntRate*(BZ$2-ExDivPct)),ExDivTree!BZ71))</f>
        <v>15.413957423599999</v>
      </c>
      <c r="CA71" s="17">
        <f>IF(CA$3="","",IF(AND(DivAs=2,CA$2&lt;ExDivPct),ExDivTree!CA71+DivAmount*EXP(IntRate*(CA$2-ExDivPct)),ExDivTree!CA71))</f>
        <v>15.8805773791</v>
      </c>
      <c r="CB71" s="17">
        <f>IF(CB$3="","",IF(AND(DivAs=2,CB$2&lt;ExDivPct),ExDivTree!CB71+DivAmount*EXP(IntRate*(CB$2-ExDivPct)),ExDivTree!CB71))</f>
        <v>16.361323115400001</v>
      </c>
      <c r="CC71" s="17">
        <f>IF(CC$3="","",IF(AND(DivAs=2,CC$2&lt;ExDivPct),ExDivTree!CC71+DivAmount*EXP(IntRate*(CC$2-ExDivPct)),ExDivTree!CC71))</f>
        <v>16.8566222559</v>
      </c>
      <c r="CD71" s="17">
        <f>IF(CD$3="","",IF(AND(DivAs=2,CD$2&lt;ExDivPct),ExDivTree!CD71+DivAmount*EXP(IntRate*(CD$2-ExDivPct)),ExDivTree!CD71))</f>
        <v>17.366915369499999</v>
      </c>
      <c r="CE71" s="17">
        <f>IF(CE$3="","",IF(AND(DivAs=2,CE$2&lt;ExDivPct),ExDivTree!CE71+DivAmount*EXP(IntRate*(CE$2-ExDivPct)),ExDivTree!CE71))</f>
        <v>17.8926563622</v>
      </c>
      <c r="CF71" s="17">
        <f>IF(CF$3="","",IF(AND(DivAs=2,CF$2&lt;ExDivPct),ExDivTree!CF71+DivAmount*EXP(IntRate*(CF$2-ExDivPct)),ExDivTree!CF71))</f>
        <v>18.4343128808</v>
      </c>
      <c r="CG71" s="17">
        <f>IF(CG$3="","",IF(AND(DivAs=2,CG$2&lt;ExDivPct),ExDivTree!CG71+DivAmount*EXP(IntRate*(CG$2-ExDivPct)),ExDivTree!CG71))</f>
        <v>18.992366729</v>
      </c>
      <c r="CH71" s="17">
        <f>IF(CH$3="","",IF(AND(DivAs=2,CH$2&lt;ExDivPct),ExDivTree!CH71+DivAmount*EXP(IntRate*(CH$2-ExDivPct)),ExDivTree!CH71))</f>
        <v>19.567314295999999</v>
      </c>
      <c r="CI71" s="17">
        <f>IF(CI$3="","",IF(AND(DivAs=2,CI$2&lt;ExDivPct),ExDivTree!CI71+DivAmount*EXP(IntRate*(CI$2-ExDivPct)),ExDivTree!CI71))</f>
        <v>20.1596669979</v>
      </c>
      <c r="CJ71" s="17">
        <f>IF(CJ$3="","",IF(AND(DivAs=2,CJ$2&lt;ExDivPct),ExDivTree!CJ71+DivAmount*EXP(IntRate*(CJ$2-ExDivPct)),ExDivTree!CJ71))</f>
        <v>20.769951732700001</v>
      </c>
      <c r="CK71" s="17">
        <f>IF(CK$3="","",IF(AND(DivAs=2,CK$2&lt;ExDivPct),ExDivTree!CK71+DivAmount*EXP(IntRate*(CK$2-ExDivPct)),ExDivTree!CK71))</f>
        <v>21.398711348900001</v>
      </c>
      <c r="CL71" s="17">
        <f>IF(CL$3="","",IF(AND(DivAs=2,CL$2&lt;ExDivPct),ExDivTree!CL71+DivAmount*EXP(IntRate*(CL$2-ExDivPct)),ExDivTree!CL71))</f>
        <v>22.046505128500002</v>
      </c>
      <c r="CM71" s="17">
        <f>IF(CM$3="","",IF(AND(DivAs=2,CM$2&lt;ExDivPct),ExDivTree!CM71+DivAmount*EXP(IntRate*(CM$2-ExDivPct)),ExDivTree!CM71))</f>
        <v>22.713909284300001</v>
      </c>
      <c r="CN71" s="17">
        <f>IF(CN$3="","",IF(AND(DivAs=2,CN$2&lt;ExDivPct),ExDivTree!CN71+DivAmount*EXP(IntRate*(CN$2-ExDivPct)),ExDivTree!CN71))</f>
        <v>23.4015174727</v>
      </c>
      <c r="CO71" s="17">
        <f>IF(CO$3="","",IF(AND(DivAs=2,CO$2&lt;ExDivPct),ExDivTree!CO71+DivAmount*EXP(IntRate*(CO$2-ExDivPct)),ExDivTree!CO71))</f>
        <v>24.109941321400001</v>
      </c>
      <c r="CP71" s="17">
        <f>IF(CP$3="","",IF(AND(DivAs=2,CP$2&lt;ExDivPct),ExDivTree!CP71+DivAmount*EXP(IntRate*(CP$2-ExDivPct)),ExDivTree!CP71))</f>
        <v>24.839810973799999</v>
      </c>
      <c r="CQ71" s="17">
        <f>IF(CQ$3="","",IF(AND(DivAs=2,CQ$2&lt;ExDivPct),ExDivTree!CQ71+DivAmount*EXP(IntRate*(CQ$2-ExDivPct)),ExDivTree!CQ71))</f>
        <v>25.591775649300001</v>
      </c>
      <c r="CR71" s="17">
        <f>IF(CR$3="","",IF(AND(DivAs=2,CR$2&lt;ExDivPct),ExDivTree!CR71+DivAmount*EXP(IntRate*(CR$2-ExDivPct)),ExDivTree!CR71))</f>
        <v>26.366504220700001</v>
      </c>
      <c r="CS71" s="17">
        <f>IF(CS$3="","",IF(AND(DivAs=2,CS$2&lt;ExDivPct),ExDivTree!CS71+DivAmount*EXP(IntRate*(CS$2-ExDivPct)),ExDivTree!CS71))</f>
        <v>27.1646858095</v>
      </c>
      <c r="CT71" s="17">
        <f>IF(CT$3="","",IF(AND(DivAs=2,CT$2&lt;ExDivPct),ExDivTree!CT71+DivAmount*EXP(IntRate*(CT$2-ExDivPct)),ExDivTree!CT71))</f>
        <v>27.987030398600002</v>
      </c>
      <c r="CU71" s="17">
        <f>IF(CU$3="","",IF(AND(DivAs=2,CU$2&lt;ExDivPct),ExDivTree!CU71+DivAmount*EXP(IntRate*(CU$2-ExDivPct)),ExDivTree!CU71))</f>
        <v>28.8342694639</v>
      </c>
      <c r="CV71" s="17">
        <f>IF(CV$3="","",IF(AND(DivAs=2,CV$2&lt;ExDivPct),ExDivTree!CV71+DivAmount*EXP(IntRate*(CV$2-ExDivPct)),ExDivTree!CV71))</f>
        <v>29.707156624900001</v>
      </c>
      <c r="CW71" s="17">
        <f>IF(CW$3="","",IF(AND(DivAs=2,CW$2&lt;ExDivPct),ExDivTree!CW71+DivAmount*EXP(IntRate*(CW$2-ExDivPct)),ExDivTree!CW71))</f>
        <v>30.606468315099999</v>
      </c>
      <c r="CX71" s="17">
        <f>IF(CX$3="","",IF(AND(DivAs=2,CX$2&lt;ExDivPct),ExDivTree!CX71+DivAmount*EXP(IntRate*(CX$2-ExDivPct)),ExDivTree!CX71))</f>
        <v>31.533004472599998</v>
      </c>
      <c r="CY71" s="17">
        <f>IF(CY$3="","",IF(AND(DivAs=2,CY$2&lt;ExDivPct),ExDivTree!CY71+DivAmount*EXP(IntRate*(CY$2-ExDivPct)),ExDivTree!CY71))</f>
        <v>32.487589251800003</v>
      </c>
      <c r="CZ71" s="17">
        <f>IF(CZ$3="","",IF(AND(DivAs=2,CZ$2&lt;ExDivPct),ExDivTree!CZ71+DivAmount*EXP(IntRate*(CZ$2-ExDivPct)),ExDivTree!CZ71))</f>
        <v>33.471071756299999</v>
      </c>
      <c r="DA71" s="17">
        <f>IF(DA$3="","",IF(AND(DivAs=2,DA$2&lt;ExDivPct),ExDivTree!DA71+DivAmount*EXP(IntRate*(DA$2-ExDivPct)),ExDivTree!DA71))</f>
        <v>34.484326794200001</v>
      </c>
      <c r="DB71" s="17">
        <f>IF(DB$3="","",IF(AND(DivAs=2,DB$2&lt;ExDivPct),ExDivTree!DB71+DivAmount*EXP(IntRate*(DB$2-ExDivPct)),ExDivTree!DB71))</f>
        <v>35.528255656399999</v>
      </c>
    </row>
    <row r="72" spans="1:106" x14ac:dyDescent="0.2">
      <c r="A72">
        <f>ExDivTree!A72</f>
        <v>4.377049283717151E+26</v>
      </c>
      <c r="B72" s="71">
        <f>ExDivTree!B72</f>
        <v>1.7264415300750465E-4</v>
      </c>
      <c r="C72" s="71">
        <f>ExDivTree!C72</f>
        <v>1.5729308212456778E-4</v>
      </c>
      <c r="D72" s="177">
        <f>ExDivTree!D72</f>
        <v>68</v>
      </c>
      <c r="BU72" s="17">
        <f>IF(BU$3="","",IF(AND(DivAs=2,BU$2&lt;ExDivPct),ExDivTree!BU72+DivAmount*EXP(IntRate*(BU$2-ExDivPct)),ExDivTree!BU72))</f>
        <v>12.509832188800001</v>
      </c>
      <c r="BV72" s="17">
        <f>IF(BV$3="","",IF(AND(DivAs=2,BV$2&lt;ExDivPct),ExDivTree!BV72+DivAmount*EXP(IntRate*(BV$2-ExDivPct)),ExDivTree!BV72))</f>
        <v>12.888536838</v>
      </c>
      <c r="BW72" s="17">
        <f>IF(BW$3="","",IF(AND(DivAs=2,BW$2&lt;ExDivPct),ExDivTree!BW72+DivAmount*EXP(IntRate*(BW$2-ExDivPct)),ExDivTree!BW72))</f>
        <v>13.278705846599999</v>
      </c>
      <c r="BX72" s="17">
        <f>IF(BX$3="","",IF(AND(DivAs=2,BX$2&lt;ExDivPct),ExDivTree!BX72+DivAmount*EXP(IntRate*(BX$2-ExDivPct)),ExDivTree!BX72))</f>
        <v>13.680686270000001</v>
      </c>
      <c r="BY72" s="17">
        <f>IF(BY$3="","",IF(AND(DivAs=2,BY$2&lt;ExDivPct),ExDivTree!BY72+DivAmount*EXP(IntRate*(BY$2-ExDivPct)),ExDivTree!BY72))</f>
        <v>14.09483567</v>
      </c>
      <c r="BZ72" s="17">
        <f>IF(BZ$3="","",IF(AND(DivAs=2,BZ$2&lt;ExDivPct),ExDivTree!BZ72+DivAmount*EXP(IntRate*(BZ$2-ExDivPct)),ExDivTree!BZ72))</f>
        <v>14.521522432699999</v>
      </c>
      <c r="CA72" s="17">
        <f>IF(CA$3="","",IF(AND(DivAs=2,CA$2&lt;ExDivPct),ExDivTree!CA72+DivAmount*EXP(IntRate*(CA$2-ExDivPct)),ExDivTree!CA72))</f>
        <v>14.961126096099999</v>
      </c>
      <c r="CB72" s="17">
        <f>IF(CB$3="","",IF(AND(DivAs=2,CB$2&lt;ExDivPct),ExDivTree!CB72+DivAmount*EXP(IntRate*(CB$2-ExDivPct)),ExDivTree!CB72))</f>
        <v>15.414037688000001</v>
      </c>
      <c r="CC72" s="17">
        <f>IF(CC$3="","",IF(AND(DivAs=2,CC$2&lt;ExDivPct),ExDivTree!CC72+DivAmount*EXP(IntRate*(CC$2-ExDivPct)),ExDivTree!CC72))</f>
        <v>15.8806600733</v>
      </c>
      <c r="CD72" s="17">
        <f>IF(CD$3="","",IF(AND(DivAs=2,CD$2&lt;ExDivPct),ExDivTree!CD72+DivAmount*EXP(IntRate*(CD$2-ExDivPct)),ExDivTree!CD72))</f>
        <v>16.3614083129</v>
      </c>
      <c r="CE72" s="17">
        <f>IF(CE$3="","",IF(AND(DivAs=2,CE$2&lt;ExDivPct),ExDivTree!CE72+DivAmount*EXP(IntRate*(CE$2-ExDivPct)),ExDivTree!CE72))</f>
        <v>16.856710032599999</v>
      </c>
      <c r="CF72" s="17">
        <f>IF(CF$3="","",IF(AND(DivAs=2,CF$2&lt;ExDivPct),ExDivTree!CF72+DivAmount*EXP(IntRate*(CF$2-ExDivPct)),ExDivTree!CF72))</f>
        <v>17.3670058035</v>
      </c>
      <c r="CG72" s="17">
        <f>IF(CG$3="","",IF(AND(DivAs=2,CG$2&lt;ExDivPct),ExDivTree!CG72+DivAmount*EXP(IntRate*(CG$2-ExDivPct)),ExDivTree!CG72))</f>
        <v>17.892749533899998</v>
      </c>
      <c r="CH72" s="17">
        <f>IF(CH$3="","",IF(AND(DivAs=2,CH$2&lt;ExDivPct),ExDivTree!CH72+DivAmount*EXP(IntRate*(CH$2-ExDivPct)),ExDivTree!CH72))</f>
        <v>18.434408872999999</v>
      </c>
      <c r="CI72" s="17">
        <f>IF(CI$3="","",IF(AND(DivAs=2,CI$2&lt;ExDivPct),ExDivTree!CI72+DivAmount*EXP(IntRate*(CI$2-ExDivPct)),ExDivTree!CI72))</f>
        <v>18.9924656271</v>
      </c>
      <c r="CJ72" s="17">
        <f>IF(CJ$3="","",IF(AND(DivAs=2,CJ$2&lt;ExDivPct),ExDivTree!CJ72+DivAmount*EXP(IntRate*(CJ$2-ExDivPct)),ExDivTree!CJ72))</f>
        <v>19.567416187999999</v>
      </c>
      <c r="CK72" s="17">
        <f>IF(CK$3="","",IF(AND(DivAs=2,CK$2&lt;ExDivPct),ExDivTree!CK72+DivAmount*EXP(IntRate*(CK$2-ExDivPct)),ExDivTree!CK72))</f>
        <v>20.159771974400002</v>
      </c>
      <c r="CL72" s="17">
        <f>IF(CL$3="","",IF(AND(DivAs=2,CL$2&lt;ExDivPct),ExDivTree!CL72+DivAmount*EXP(IntRate*(CL$2-ExDivPct)),ExDivTree!CL72))</f>
        <v>20.7700598871</v>
      </c>
      <c r="CM72" s="17">
        <f>IF(CM$3="","",IF(AND(DivAs=2,CM$2&lt;ExDivPct),ExDivTree!CM72+DivAmount*EXP(IntRate*(CM$2-ExDivPct)),ExDivTree!CM72))</f>
        <v>21.398822777399999</v>
      </c>
      <c r="CN72" s="17">
        <f>IF(CN$3="","",IF(AND(DivAs=2,CN$2&lt;ExDivPct),ExDivTree!CN72+DivAmount*EXP(IntRate*(CN$2-ExDivPct)),ExDivTree!CN72))</f>
        <v>22.046619930199999</v>
      </c>
      <c r="CO72" s="17">
        <f>IF(CO$3="","",IF(AND(DivAs=2,CO$2&lt;ExDivPct),ExDivTree!CO72+DivAmount*EXP(IntRate*(CO$2-ExDivPct)),ExDivTree!CO72))</f>
        <v>22.714027561399998</v>
      </c>
      <c r="CP72" s="17">
        <f>IF(CP$3="","",IF(AND(DivAs=2,CP$2&lt;ExDivPct),ExDivTree!CP72+DivAmount*EXP(IntRate*(CP$2-ExDivPct)),ExDivTree!CP72))</f>
        <v>23.4016393303</v>
      </c>
      <c r="CQ72" s="17">
        <f>IF(CQ$3="","",IF(AND(DivAs=2,CQ$2&lt;ExDivPct),ExDivTree!CQ72+DivAmount*EXP(IntRate*(CQ$2-ExDivPct)),ExDivTree!CQ72))</f>
        <v>24.110066868000001</v>
      </c>
      <c r="CR72" s="17">
        <f>IF(CR$3="","",IF(AND(DivAs=2,CR$2&lt;ExDivPct),ExDivTree!CR72+DivAmount*EXP(IntRate*(CR$2-ExDivPct)),ExDivTree!CR72))</f>
        <v>24.839940321</v>
      </c>
      <c r="CS72" s="17">
        <f>IF(CS$3="","",IF(AND(DivAs=2,CS$2&lt;ExDivPct),ExDivTree!CS72+DivAmount*EXP(IntRate*(CS$2-ExDivPct)),ExDivTree!CS72))</f>
        <v>25.591908912099999</v>
      </c>
      <c r="CT72" s="17">
        <f>IF(CT$3="","",IF(AND(DivAs=2,CT$2&lt;ExDivPct),ExDivTree!CT72+DivAmount*EXP(IntRate*(CT$2-ExDivPct)),ExDivTree!CT72))</f>
        <v>26.366641517800002</v>
      </c>
      <c r="CU72" s="17">
        <f>IF(CU$3="","",IF(AND(DivAs=2,CU$2&lt;ExDivPct),ExDivTree!CU72+DivAmount*EXP(IntRate*(CU$2-ExDivPct)),ExDivTree!CU72))</f>
        <v>27.164827262999999</v>
      </c>
      <c r="CV72" s="17">
        <f>IF(CV$3="","",IF(AND(DivAs=2,CV$2&lt;ExDivPct),ExDivTree!CV72+DivAmount*EXP(IntRate*(CV$2-ExDivPct)),ExDivTree!CV72))</f>
        <v>27.9871761343</v>
      </c>
      <c r="CW72" s="17">
        <f>IF(CW$3="","",IF(AND(DivAs=2,CW$2&lt;ExDivPct),ExDivTree!CW72+DivAmount*EXP(IntRate*(CW$2-ExDivPct)),ExDivTree!CW72))</f>
        <v>28.834419611400001</v>
      </c>
      <c r="CX72" s="17">
        <f>IF(CX$3="","",IF(AND(DivAs=2,CX$2&lt;ExDivPct),ExDivTree!CX72+DivAmount*EXP(IntRate*(CX$2-ExDivPct)),ExDivTree!CX72))</f>
        <v>29.7073113177</v>
      </c>
      <c r="CY72" s="17">
        <f>IF(CY$3="","",IF(AND(DivAs=2,CY$2&lt;ExDivPct),ExDivTree!CY72+DivAmount*EXP(IntRate*(CY$2-ExDivPct)),ExDivTree!CY72))</f>
        <v>30.6066276908</v>
      </c>
      <c r="CZ72" s="17">
        <f>IF(CZ$3="","",IF(AND(DivAs=2,CZ$2&lt;ExDivPct),ExDivTree!CZ72+DivAmount*EXP(IntRate*(CZ$2-ExDivPct)),ExDivTree!CZ72))</f>
        <v>31.5331686731</v>
      </c>
      <c r="DA72" s="17">
        <f>IF(DA$3="","",IF(AND(DivAs=2,DA$2&lt;ExDivPct),ExDivTree!DA72+DivAmount*EXP(IntRate*(DA$2-ExDivPct)),ExDivTree!DA72))</f>
        <v>32.487758423099997</v>
      </c>
      <c r="DB72" s="17">
        <f>IF(DB$3="","",IF(AND(DivAs=2,DB$2&lt;ExDivPct),ExDivTree!DB72+DivAmount*EXP(IntRate*(DB$2-ExDivPct)),ExDivTree!DB72))</f>
        <v>33.471246048899999</v>
      </c>
    </row>
    <row r="73" spans="1:106" x14ac:dyDescent="0.2">
      <c r="A73">
        <f>ExDivTree!A73</f>
        <v>2.093371396560375E+26</v>
      </c>
      <c r="B73" s="71">
        <f>ExDivTree!B73</f>
        <v>8.2568942742719555E-5</v>
      </c>
      <c r="C73" s="71">
        <f>ExDivTree!C73</f>
        <v>7.4829404639256873E-5</v>
      </c>
      <c r="D73" s="177">
        <f>ExDivTree!D73</f>
        <v>69</v>
      </c>
      <c r="BV73" s="17">
        <f>IF(BV$3="","",IF(AND(DivAs=2,BV$2&lt;ExDivPct),ExDivTree!BV73+DivAmount*EXP(IntRate*(BV$2-ExDivPct)),ExDivTree!BV73))</f>
        <v>12.1423182687</v>
      </c>
      <c r="BW73" s="17">
        <f>IF(BW$3="","",IF(AND(DivAs=2,BW$2&lt;ExDivPct),ExDivTree!BW73+DivAmount*EXP(IntRate*(BW$2-ExDivPct)),ExDivTree!BW73))</f>
        <v>12.509897330599999</v>
      </c>
      <c r="BX73" s="17">
        <f>IF(BX$3="","",IF(AND(DivAs=2,BX$2&lt;ExDivPct),ExDivTree!BX73+DivAmount*EXP(IntRate*(BX$2-ExDivPct)),ExDivTree!BX73))</f>
        <v>12.8886039518</v>
      </c>
      <c r="BY73" s="17">
        <f>IF(BY$3="","",IF(AND(DivAs=2,BY$2&lt;ExDivPct),ExDivTree!BY73+DivAmount*EXP(IntRate*(BY$2-ExDivPct)),ExDivTree!BY73))</f>
        <v>13.278774992100001</v>
      </c>
      <c r="BZ73" s="17">
        <f>IF(BZ$3="","",IF(AND(DivAs=2,BZ$2&lt;ExDivPct),ExDivTree!BZ73+DivAmount*EXP(IntRate*(BZ$2-ExDivPct)),ExDivTree!BZ73))</f>
        <v>13.680757508699999</v>
      </c>
      <c r="CA73" s="17">
        <f>IF(CA$3="","",IF(AND(DivAs=2,CA$2&lt;ExDivPct),ExDivTree!CA73+DivAmount*EXP(IntRate*(CA$2-ExDivPct)),ExDivTree!CA73))</f>
        <v>14.0949090653</v>
      </c>
      <c r="CB73" s="17">
        <f>IF(CB$3="","",IF(AND(DivAs=2,CB$2&lt;ExDivPct),ExDivTree!CB73+DivAmount*EXP(IntRate*(CB$2-ExDivPct)),ExDivTree!CB73))</f>
        <v>14.5215980499</v>
      </c>
      <c r="CC73" s="17">
        <f>IF(CC$3="","",IF(AND(DivAs=2,CC$2&lt;ExDivPct),ExDivTree!CC73+DivAmount*EXP(IntRate*(CC$2-ExDivPct)),ExDivTree!CC73))</f>
        <v>14.961204002500001</v>
      </c>
      <c r="CD73" s="17">
        <f>IF(CD$3="","",IF(AND(DivAs=2,CD$2&lt;ExDivPct),ExDivTree!CD73+DivAmount*EXP(IntRate*(CD$2-ExDivPct)),ExDivTree!CD73))</f>
        <v>15.4141179528</v>
      </c>
      <c r="CE73" s="17">
        <f>IF(CE$3="","",IF(AND(DivAs=2,CE$2&lt;ExDivPct),ExDivTree!CE73+DivAmount*EXP(IntRate*(CE$2-ExDivPct)),ExDivTree!CE73))</f>
        <v>15.880742767899999</v>
      </c>
      <c r="CF73" s="17">
        <f>IF(CF$3="","",IF(AND(DivAs=2,CF$2&lt;ExDivPct),ExDivTree!CF73+DivAmount*EXP(IntRate*(CF$2-ExDivPct)),ExDivTree!CF73))</f>
        <v>16.361493510900001</v>
      </c>
      <c r="CG73" s="17">
        <f>IF(CG$3="","",IF(AND(DivAs=2,CG$2&lt;ExDivPct),ExDivTree!CG73+DivAmount*EXP(IntRate*(CG$2-ExDivPct)),ExDivTree!CG73))</f>
        <v>16.8567978098</v>
      </c>
      <c r="CH73" s="17">
        <f>IF(CH$3="","",IF(AND(DivAs=2,CH$2&lt;ExDivPct),ExDivTree!CH73+DivAmount*EXP(IntRate*(CH$2-ExDivPct)),ExDivTree!CH73))</f>
        <v>17.3670962379</v>
      </c>
      <c r="CI73" s="17">
        <f>IF(CI$3="","",IF(AND(DivAs=2,CI$2&lt;ExDivPct),ExDivTree!CI73+DivAmount*EXP(IntRate*(CI$2-ExDivPct)),ExDivTree!CI73))</f>
        <v>17.892842705900001</v>
      </c>
      <c r="CJ73" s="17">
        <f>IF(CJ$3="","",IF(AND(DivAs=2,CJ$2&lt;ExDivPct),ExDivTree!CJ73+DivAmount*EXP(IntRate*(CJ$2-ExDivPct)),ExDivTree!CJ73))</f>
        <v>18.434504865600001</v>
      </c>
      <c r="CK73" s="17">
        <f>IF(CK$3="","",IF(AND(DivAs=2,CK$2&lt;ExDivPct),ExDivTree!CK73+DivAmount*EXP(IntRate*(CK$2-ExDivPct)),ExDivTree!CK73))</f>
        <v>18.992564525700001</v>
      </c>
      <c r="CL73" s="17">
        <f>IF(CL$3="","",IF(AND(DivAs=2,CL$2&lt;ExDivPct),ExDivTree!CL73+DivAmount*EXP(IntRate*(CL$2-ExDivPct)),ExDivTree!CL73))</f>
        <v>19.567518080500001</v>
      </c>
      <c r="CM73" s="17">
        <f>IF(CM$3="","",IF(AND(DivAs=2,CM$2&lt;ExDivPct),ExDivTree!CM73+DivAmount*EXP(IntRate*(CM$2-ExDivPct)),ExDivTree!CM73))</f>
        <v>20.159876951499999</v>
      </c>
      <c r="CN73" s="17">
        <f>IF(CN$3="","",IF(AND(DivAs=2,CN$2&lt;ExDivPct),ExDivTree!CN73+DivAmount*EXP(IntRate*(CN$2-ExDivPct)),ExDivTree!CN73))</f>
        <v>20.7701680421</v>
      </c>
      <c r="CO73" s="17">
        <f>IF(CO$3="","",IF(AND(DivAs=2,CO$2&lt;ExDivPct),ExDivTree!CO73+DivAmount*EXP(IntRate*(CO$2-ExDivPct)),ExDivTree!CO73))</f>
        <v>21.398934206500002</v>
      </c>
      <c r="CP73" s="17">
        <f>IF(CP$3="","",IF(AND(DivAs=2,CP$2&lt;ExDivPct),ExDivTree!CP73+DivAmount*EXP(IntRate*(CP$2-ExDivPct)),ExDivTree!CP73))</f>
        <v>22.046734732600001</v>
      </c>
      <c r="CQ73" s="17">
        <f>IF(CQ$3="","",IF(AND(DivAs=2,CQ$2&lt;ExDivPct),ExDivTree!CQ73+DivAmount*EXP(IntRate*(CQ$2-ExDivPct)),ExDivTree!CQ73))</f>
        <v>22.714145839099999</v>
      </c>
      <c r="CR73" s="17">
        <f>IF(CR$3="","",IF(AND(DivAs=2,CR$2&lt;ExDivPct),ExDivTree!CR73+DivAmount*EXP(IntRate*(CR$2-ExDivPct)),ExDivTree!CR73))</f>
        <v>23.401761188599998</v>
      </c>
      <c r="CS73" s="17">
        <f>IF(CS$3="","",IF(AND(DivAs=2,CS$2&lt;ExDivPct),ExDivTree!CS73+DivAmount*EXP(IntRate*(CS$2-ExDivPct)),ExDivTree!CS73))</f>
        <v>24.1101924152</v>
      </c>
      <c r="CT73" s="17">
        <f>IF(CT$3="","",IF(AND(DivAs=2,CT$2&lt;ExDivPct),ExDivTree!CT73+DivAmount*EXP(IntRate*(CT$2-ExDivPct)),ExDivTree!CT73))</f>
        <v>24.8400696689</v>
      </c>
      <c r="CU73" s="17">
        <f>IF(CU$3="","",IF(AND(DivAs=2,CU$2&lt;ExDivPct),ExDivTree!CU73+DivAmount*EXP(IntRate*(CU$2-ExDivPct)),ExDivTree!CU73))</f>
        <v>25.592042175700001</v>
      </c>
      <c r="CV73" s="17">
        <f>IF(CV$3="","",IF(AND(DivAs=2,CV$2&lt;ExDivPct),ExDivTree!CV73+DivAmount*EXP(IntRate*(CV$2-ExDivPct)),ExDivTree!CV73))</f>
        <v>26.3667788156</v>
      </c>
      <c r="CW73" s="17">
        <f>IF(CW$3="","",IF(AND(DivAs=2,CW$2&lt;ExDivPct),ExDivTree!CW73+DivAmount*EXP(IntRate*(CW$2-ExDivPct)),ExDivTree!CW73))</f>
        <v>27.164968717099999</v>
      </c>
      <c r="CX73" s="17">
        <f>IF(CX$3="","",IF(AND(DivAs=2,CX$2&lt;ExDivPct),ExDivTree!CX73+DivAmount*EXP(IntRate*(CX$2-ExDivPct)),ExDivTree!CX73))</f>
        <v>27.987321870500001</v>
      </c>
      <c r="CY73" s="17">
        <f>IF(CY$3="","",IF(AND(DivAs=2,CY$2&lt;ExDivPct),ExDivTree!CY73+DivAmount*EXP(IntRate*(CY$2-ExDivPct)),ExDivTree!CY73))</f>
        <v>28.834569759400001</v>
      </c>
      <c r="CZ73" s="17">
        <f>IF(CZ$3="","",IF(AND(DivAs=2,CZ$2&lt;ExDivPct),ExDivTree!CZ73+DivAmount*EXP(IntRate*(CZ$2-ExDivPct)),ExDivTree!CZ73))</f>
        <v>29.707466011099999</v>
      </c>
      <c r="DA73" s="17">
        <f>IF(DA$3="","",IF(AND(DivAs=2,DA$2&lt;ExDivPct),ExDivTree!DA73+DivAmount*EXP(IntRate*(DA$2-ExDivPct)),ExDivTree!DA73))</f>
        <v>30.606787067199999</v>
      </c>
      <c r="DB73" s="17">
        <f>IF(DB$3="","",IF(AND(DivAs=2,DB$2&lt;ExDivPct),ExDivTree!DB73+DivAmount*EXP(IntRate*(DB$2-ExDivPct)),ExDivTree!DB73))</f>
        <v>31.533332874199999</v>
      </c>
    </row>
    <row r="74" spans="1:106" x14ac:dyDescent="0.2">
      <c r="A74">
        <f>ExDivTree!A74</f>
        <v>9.5696978128474354E+25</v>
      </c>
      <c r="B74" s="71">
        <f>ExDivTree!B74</f>
        <v>3.7745802396671823E-5</v>
      </c>
      <c r="C74" s="71">
        <f>ExDivTree!C74</f>
        <v>3.4026873497952581E-5</v>
      </c>
      <c r="D74" s="177">
        <f>ExDivTree!D74</f>
        <v>70</v>
      </c>
      <c r="BW74" s="17">
        <f>IF(BW$3="","",IF(AND(DivAs=2,BW$2&lt;ExDivPct),ExDivTree!BW74+DivAmount*EXP(IntRate*(BW$2-ExDivPct)),ExDivTree!BW74))</f>
        <v>11.7856011746</v>
      </c>
      <c r="BX74" s="17">
        <f>IF(BX$3="","",IF(AND(DivAs=2,BX$2&lt;ExDivPct),ExDivTree!BX74+DivAmount*EXP(IntRate*(BX$2-ExDivPct)),ExDivTree!BX74))</f>
        <v>12.142381496800001</v>
      </c>
      <c r="BY74" s="17">
        <f>IF(BY$3="","",IF(AND(DivAs=2,BY$2&lt;ExDivPct),ExDivTree!BY74+DivAmount*EXP(IntRate*(BY$2-ExDivPct)),ExDivTree!BY74))</f>
        <v>12.5099624728</v>
      </c>
      <c r="BZ74" s="17">
        <f>IF(BZ$3="","",IF(AND(DivAs=2,BZ$2&lt;ExDivPct),ExDivTree!BZ74+DivAmount*EXP(IntRate*(BZ$2-ExDivPct)),ExDivTree!BZ74))</f>
        <v>12.888671066100001</v>
      </c>
      <c r="CA74" s="17">
        <f>IF(CA$3="","",IF(AND(DivAs=2,CA$2&lt;ExDivPct),ExDivTree!CA74+DivAmount*EXP(IntRate*(CA$2-ExDivPct)),ExDivTree!CA74))</f>
        <v>13.2788441381</v>
      </c>
      <c r="CB74" s="17">
        <f>IF(CB$3="","",IF(AND(DivAs=2,CB$2&lt;ExDivPct),ExDivTree!CB74+DivAmount*EXP(IntRate*(CB$2-ExDivPct)),ExDivTree!CB74))</f>
        <v>13.6808287479</v>
      </c>
      <c r="CC74" s="17">
        <f>IF(CC$3="","",IF(AND(DivAs=2,CC$2&lt;ExDivPct),ExDivTree!CC74+DivAmount*EXP(IntRate*(CC$2-ExDivPct)),ExDivTree!CC74))</f>
        <v>14.094982461100001</v>
      </c>
      <c r="CD74" s="17">
        <f>IF(CD$3="","",IF(AND(DivAs=2,CD$2&lt;ExDivPct),ExDivTree!CD74+DivAmount*EXP(IntRate*(CD$2-ExDivPct)),ExDivTree!CD74))</f>
        <v>14.5216736675</v>
      </c>
      <c r="CE74" s="17">
        <f>IF(CE$3="","",IF(AND(DivAs=2,CE$2&lt;ExDivPct),ExDivTree!CE74+DivAmount*EXP(IntRate*(CE$2-ExDivPct)),ExDivTree!CE74))</f>
        <v>14.9612819092</v>
      </c>
      <c r="CF74" s="17">
        <f>IF(CF$3="","",IF(AND(DivAs=2,CF$2&lt;ExDivPct),ExDivTree!CF74+DivAmount*EXP(IntRate*(CF$2-ExDivPct)),ExDivTree!CF74))</f>
        <v>15.414198217899999</v>
      </c>
      <c r="CG74" s="17">
        <f>IF(CG$3="","",IF(AND(DivAs=2,CG$2&lt;ExDivPct),ExDivTree!CG74+DivAmount*EXP(IntRate*(CG$2-ExDivPct)),ExDivTree!CG74))</f>
        <v>15.880825462900001</v>
      </c>
      <c r="CH74" s="17">
        <f>IF(CH$3="","",IF(AND(DivAs=2,CH$2&lt;ExDivPct),ExDivTree!CH74+DivAmount*EXP(IntRate*(CH$2-ExDivPct)),ExDivTree!CH74))</f>
        <v>16.361578709300002</v>
      </c>
      <c r="CI74" s="17">
        <f>IF(CI$3="","",IF(AND(DivAs=2,CI$2&lt;ExDivPct),ExDivTree!CI74+DivAmount*EXP(IntRate*(CI$2-ExDivPct)),ExDivTree!CI74))</f>
        <v>16.856885587299999</v>
      </c>
      <c r="CJ74" s="17">
        <f>IF(CJ$3="","",IF(AND(DivAs=2,CJ$2&lt;ExDivPct),ExDivTree!CJ74+DivAmount*EXP(IntRate*(CJ$2-ExDivPct)),ExDivTree!CJ74))</f>
        <v>17.367186672700001</v>
      </c>
      <c r="CK74" s="17">
        <f>IF(CK$3="","",IF(AND(DivAs=2,CK$2&lt;ExDivPct),ExDivTree!CK74+DivAmount*EXP(IntRate*(CK$2-ExDivPct)),ExDivTree!CK74))</f>
        <v>17.892935878399999</v>
      </c>
      <c r="CL74" s="17">
        <f>IF(CL$3="","",IF(AND(DivAs=2,CL$2&lt;ExDivPct),ExDivTree!CL74+DivAmount*EXP(IntRate*(CL$2-ExDivPct)),ExDivTree!CL74))</f>
        <v>18.434600858700001</v>
      </c>
      <c r="CM74" s="17">
        <f>IF(CM$3="","",IF(AND(DivAs=2,CM$2&lt;ExDivPct),ExDivTree!CM74+DivAmount*EXP(IntRate*(CM$2-ExDivPct)),ExDivTree!CM74))</f>
        <v>18.992663424700002</v>
      </c>
      <c r="CN74" s="17">
        <f>IF(CN$3="","",IF(AND(DivAs=2,CN$2&lt;ExDivPct),ExDivTree!CN74+DivAmount*EXP(IntRate*(CN$2-ExDivPct)),ExDivTree!CN74))</f>
        <v>19.567619973399999</v>
      </c>
      <c r="CO74" s="17">
        <f>IF(CO$3="","",IF(AND(DivAs=2,CO$2&lt;ExDivPct),ExDivTree!CO74+DivAmount*EXP(IntRate*(CO$2-ExDivPct)),ExDivTree!CO74))</f>
        <v>20.159981928899999</v>
      </c>
      <c r="CP74" s="17">
        <f>IF(CP$3="","",IF(AND(DivAs=2,CP$2&lt;ExDivPct),ExDivTree!CP74+DivAmount*EXP(IntRate*(CP$2-ExDivPct)),ExDivTree!CP74))</f>
        <v>20.770276197400001</v>
      </c>
      <c r="CQ74" s="17">
        <f>IF(CQ$3="","",IF(AND(DivAs=2,CQ$2&lt;ExDivPct),ExDivTree!CQ74+DivAmount*EXP(IntRate*(CQ$2-ExDivPct)),ExDivTree!CQ74))</f>
        <v>21.399045636</v>
      </c>
      <c r="CR74" s="17">
        <f>IF(CR$3="","",IF(AND(DivAs=2,CR$2&lt;ExDivPct),ExDivTree!CR74+DivAmount*EXP(IntRate*(CR$2-ExDivPct)),ExDivTree!CR74))</f>
        <v>22.046849535300002</v>
      </c>
      <c r="CS74" s="17">
        <f>IF(CS$3="","",IF(AND(DivAs=2,CS$2&lt;ExDivPct),ExDivTree!CS74+DivAmount*EXP(IntRate*(CS$2-ExDivPct)),ExDivTree!CS74))</f>
        <v>22.714264117199999</v>
      </c>
      <c r="CT74" s="17">
        <f>IF(CT$3="","",IF(AND(DivAs=2,CT$2&lt;ExDivPct),ExDivTree!CT74+DivAmount*EXP(IntRate*(CT$2-ExDivPct)),ExDivTree!CT74))</f>
        <v>23.4018830473</v>
      </c>
      <c r="CU74" s="17">
        <f>IF(CU$3="","",IF(AND(DivAs=2,CU$2&lt;ExDivPct),ExDivTree!CU74+DivAmount*EXP(IntRate*(CU$2-ExDivPct)),ExDivTree!CU74))</f>
        <v>24.110317962900002</v>
      </c>
      <c r="CV74" s="17">
        <f>IF(CV$3="","",IF(AND(DivAs=2,CV$2&lt;ExDivPct),ExDivTree!CV74+DivAmount*EXP(IntRate*(CV$2-ExDivPct)),ExDivTree!CV74))</f>
        <v>24.8401990172</v>
      </c>
      <c r="CW74" s="17">
        <f>IF(CW$3="","",IF(AND(DivAs=2,CW$2&lt;ExDivPct),ExDivTree!CW74+DivAmount*EXP(IntRate*(CW$2-ExDivPct)),ExDivTree!CW74))</f>
        <v>25.5921754397</v>
      </c>
      <c r="CX74" s="17">
        <f>IF(CX$3="","",IF(AND(DivAs=2,CX$2&lt;ExDivPct),ExDivTree!CX74+DivAmount*EXP(IntRate*(CX$2-ExDivPct)),ExDivTree!CX74))</f>
        <v>26.366916113799999</v>
      </c>
      <c r="CY74" s="17">
        <f>IF(CY$3="","",IF(AND(DivAs=2,CY$2&lt;ExDivPct),ExDivTree!CY74+DivAmount*EXP(IntRate*(CY$2-ExDivPct)),ExDivTree!CY74))</f>
        <v>27.1651101717</v>
      </c>
      <c r="CZ74" s="17">
        <f>IF(CZ$3="","",IF(AND(DivAs=2,CZ$2&lt;ExDivPct),ExDivTree!CZ74+DivAmount*EXP(IntRate*(CZ$2-ExDivPct)),ExDivTree!CZ74))</f>
        <v>27.987467607300001</v>
      </c>
      <c r="DA74" s="17">
        <f>IF(DA$3="","",IF(AND(DivAs=2,DA$2&lt;ExDivPct),ExDivTree!DA74+DivAmount*EXP(IntRate*(DA$2-ExDivPct)),ExDivTree!DA74))</f>
        <v>28.834719908</v>
      </c>
      <c r="DB74" s="17">
        <f>IF(DB$3="","",IF(AND(DivAs=2,DB$2&lt;ExDivPct),ExDivTree!DB74+DivAmount*EXP(IntRate*(DB$2-ExDivPct)),ExDivTree!DB74))</f>
        <v>29.707620705099998</v>
      </c>
    </row>
    <row r="75" spans="1:106" x14ac:dyDescent="0.2">
      <c r="A75">
        <f>ExDivTree!A75</f>
        <v>4.1783187633559242E+25</v>
      </c>
      <c r="B75" s="71">
        <f>ExDivTree!B75</f>
        <v>1.6480561609814465E-5</v>
      </c>
      <c r="C75" s="71">
        <f>ExDivTree!C75</f>
        <v>1.477825683315397E-5</v>
      </c>
      <c r="D75" s="177">
        <f>ExDivTree!D75</f>
        <v>71</v>
      </c>
      <c r="BX75" s="17">
        <f>IF(BX$3="","",IF(AND(DivAs=2,BX$2&lt;ExDivPct),ExDivTree!BX75+DivAmount*EXP(IntRate*(BX$2-ExDivPct)),ExDivTree!BX75))</f>
        <v>11.439363717299999</v>
      </c>
      <c r="BY75" s="17">
        <f>IF(BY$3="","",IF(AND(DivAs=2,BY$2&lt;ExDivPct),ExDivTree!BY75+DivAmount*EXP(IntRate*(BY$2-ExDivPct)),ExDivTree!BY75))</f>
        <v>11.785662545199999</v>
      </c>
      <c r="BZ75" s="17">
        <f>IF(BZ$3="","",IF(AND(DivAs=2,BZ$2&lt;ExDivPct),ExDivTree!BZ75+DivAmount*EXP(IntRate*(BZ$2-ExDivPct)),ExDivTree!BZ75))</f>
        <v>12.142444725200001</v>
      </c>
      <c r="CA75" s="17">
        <f>IF(CA$3="","",IF(AND(DivAs=2,CA$2&lt;ExDivPct),ExDivTree!CA75+DivAmount*EXP(IntRate*(CA$2-ExDivPct)),ExDivTree!CA75))</f>
        <v>12.5100276153</v>
      </c>
      <c r="CB75" s="17">
        <f>IF(CB$3="","",IF(AND(DivAs=2,CB$2&lt;ExDivPct),ExDivTree!CB75+DivAmount*EXP(IntRate*(CB$2-ExDivPct)),ExDivTree!CB75))</f>
        <v>12.888738180600001</v>
      </c>
      <c r="CC75" s="17">
        <f>IF(CC$3="","",IF(AND(DivAs=2,CC$2&lt;ExDivPct),ExDivTree!CC75+DivAmount*EXP(IntRate*(CC$2-ExDivPct)),ExDivTree!CC75))</f>
        <v>13.2789132843</v>
      </c>
      <c r="CD75" s="17">
        <f>IF(CD$3="","",IF(AND(DivAs=2,CD$2&lt;ExDivPct),ExDivTree!CD75+DivAmount*EXP(IntRate*(CD$2-ExDivPct)),ExDivTree!CD75))</f>
        <v>13.6808999874</v>
      </c>
      <c r="CE75" s="17">
        <f>IF(CE$3="","",IF(AND(DivAs=2,CE$2&lt;ExDivPct),ExDivTree!CE75+DivAmount*EXP(IntRate*(CE$2-ExDivPct)),ExDivTree!CE75))</f>
        <v>14.0950558572</v>
      </c>
      <c r="CF75" s="17">
        <f>IF(CF$3="","",IF(AND(DivAs=2,CF$2&lt;ExDivPct),ExDivTree!CF75+DivAmount*EXP(IntRate*(CF$2-ExDivPct)),ExDivTree!CF75))</f>
        <v>14.5217492855</v>
      </c>
      <c r="CG75" s="17">
        <f>IF(CG$3="","",IF(AND(DivAs=2,CG$2&lt;ExDivPct),ExDivTree!CG75+DivAmount*EXP(IntRate*(CG$2-ExDivPct)),ExDivTree!CG75))</f>
        <v>14.9613598164</v>
      </c>
      <c r="CH75" s="17">
        <f>IF(CH$3="","",IF(AND(DivAs=2,CH$2&lt;ExDivPct),ExDivTree!CH75+DivAmount*EXP(IntRate*(CH$2-ExDivPct)),ExDivTree!CH75))</f>
        <v>15.4142784836</v>
      </c>
      <c r="CI75" s="17">
        <f>IF(CI$3="","",IF(AND(DivAs=2,CI$2&lt;ExDivPct),ExDivTree!CI75+DivAmount*EXP(IntRate*(CI$2-ExDivPct)),ExDivTree!CI75))</f>
        <v>15.8809081584</v>
      </c>
      <c r="CJ75" s="17">
        <f>IF(CJ$3="","",IF(AND(DivAs=2,CJ$2&lt;ExDivPct),ExDivTree!CJ75+DivAmount*EXP(IntRate*(CJ$2-ExDivPct)),ExDivTree!CJ75))</f>
        <v>16.361663908200001</v>
      </c>
      <c r="CK75" s="17">
        <f>IF(CK$3="","",IF(AND(DivAs=2,CK$2&lt;ExDivPct),ExDivTree!CK75+DivAmount*EXP(IntRate*(CK$2-ExDivPct)),ExDivTree!CK75))</f>
        <v>16.856973365399998</v>
      </c>
      <c r="CL75" s="17">
        <f>IF(CL$3="","",IF(AND(DivAs=2,CL$2&lt;ExDivPct),ExDivTree!CL75+DivAmount*EXP(IntRate*(CL$2-ExDivPct)),ExDivTree!CL75))</f>
        <v>17.367277108</v>
      </c>
      <c r="CM75" s="17">
        <f>IF(CM$3="","",IF(AND(DivAs=2,CM$2&lt;ExDivPct),ExDivTree!CM75+DivAmount*EXP(IntRate*(CM$2-ExDivPct)),ExDivTree!CM75))</f>
        <v>17.893029051399999</v>
      </c>
      <c r="CN75" s="17">
        <f>IF(CN$3="","",IF(AND(DivAs=2,CN$2&lt;ExDivPct),ExDivTree!CN75+DivAmount*EXP(IntRate*(CN$2-ExDivPct)),ExDivTree!CN75))</f>
        <v>18.4346968523</v>
      </c>
      <c r="CO75" s="17">
        <f>IF(CO$3="","",IF(AND(DivAs=2,CO$2&lt;ExDivPct),ExDivTree!CO75+DivAmount*EXP(IntRate*(CO$2-ExDivPct)),ExDivTree!CO75))</f>
        <v>18.992762324299999</v>
      </c>
      <c r="CP75" s="17">
        <f>IF(CP$3="","",IF(AND(DivAs=2,CP$2&lt;ExDivPct),ExDivTree!CP75+DivAmount*EXP(IntRate*(CP$2-ExDivPct)),ExDivTree!CP75))</f>
        <v>19.567721866999999</v>
      </c>
      <c r="CQ75" s="17">
        <f>IF(CQ$3="","",IF(AND(DivAs=2,CQ$2&lt;ExDivPct),ExDivTree!CQ75+DivAmount*EXP(IntRate*(CQ$2-ExDivPct)),ExDivTree!CQ75))</f>
        <v>20.160086907099998</v>
      </c>
      <c r="CR75" s="17">
        <f>IF(CR$3="","",IF(AND(DivAs=2,CR$2&lt;ExDivPct),ExDivTree!CR75+DivAmount*EXP(IntRate*(CR$2-ExDivPct)),ExDivTree!CR75))</f>
        <v>20.770384353600001</v>
      </c>
      <c r="CS75" s="17">
        <f>IF(CS$3="","",IF(AND(DivAs=2,CS$2&lt;ExDivPct),ExDivTree!CS75+DivAmount*EXP(IntRate*(CS$2-ExDivPct)),ExDivTree!CS75))</f>
        <v>21.399157066299999</v>
      </c>
      <c r="CT75" s="17">
        <f>IF(CT$3="","",IF(AND(DivAs=2,CT$2&lt;ExDivPct),ExDivTree!CT75+DivAmount*EXP(IntRate*(CT$2-ExDivPct)),ExDivTree!CT75))</f>
        <v>22.046964338900001</v>
      </c>
      <c r="CU75" s="17">
        <f>IF(CU$3="","",IF(AND(DivAs=2,CU$2&lt;ExDivPct),ExDivTree!CU75+DivAmount*EXP(IntRate*(CU$2-ExDivPct)),ExDivTree!CU75))</f>
        <v>22.714382396200001</v>
      </c>
      <c r="CV75" s="17">
        <f>IF(CV$3="","",IF(AND(DivAs=2,CV$2&lt;ExDivPct),ExDivTree!CV75+DivAmount*EXP(IntRate*(CV$2-ExDivPct)),ExDivTree!CV75))</f>
        <v>23.4020049069</v>
      </c>
      <c r="CW75" s="17">
        <f>IF(CW$3="","",IF(AND(DivAs=2,CW$2&lt;ExDivPct),ExDivTree!CW75+DivAmount*EXP(IntRate*(CW$2-ExDivPct)),ExDivTree!CW75))</f>
        <v>24.110443511500002</v>
      </c>
      <c r="CX75" s="17">
        <f>IF(CX$3="","",IF(AND(DivAs=2,CX$2&lt;ExDivPct),ExDivTree!CX75+DivAmount*EXP(IntRate*(CX$2-ExDivPct)),ExDivTree!CX75))</f>
        <v>24.8403283665</v>
      </c>
      <c r="CY75" s="17">
        <f>IF(CY$3="","",IF(AND(DivAs=2,CY$2&lt;ExDivPct),ExDivTree!CY75+DivAmount*EXP(IntRate*(CY$2-ExDivPct)),ExDivTree!CY75))</f>
        <v>25.592308704800001</v>
      </c>
      <c r="CZ75" s="17">
        <f>IF(CZ$3="","",IF(AND(DivAs=2,CZ$2&lt;ExDivPct),ExDivTree!CZ75+DivAmount*EXP(IntRate*(CZ$2-ExDivPct)),ExDivTree!CZ75))</f>
        <v>26.367053413200001</v>
      </c>
      <c r="DA75" s="17">
        <f>IF(DA$3="","",IF(AND(DivAs=2,DA$2&lt;ExDivPct),ExDivTree!DA75+DivAmount*EXP(IntRate*(DA$2-ExDivPct)),ExDivTree!DA75))</f>
        <v>27.165251627500002</v>
      </c>
      <c r="DB75" s="17">
        <f>IF(DB$3="","",IF(AND(DivAs=2,DB$2&lt;ExDivPct),ExDivTree!DB75+DivAmount*EXP(IntRate*(DB$2-ExDivPct)),ExDivTree!DB75))</f>
        <v>27.9876133454</v>
      </c>
    </row>
    <row r="76" spans="1:106" x14ac:dyDescent="0.2">
      <c r="A76">
        <f>ExDivTree!A76</f>
        <v>1.7409661513983014E+25</v>
      </c>
      <c r="B76" s="71">
        <f>ExDivTree!B76</f>
        <v>6.8669006707560256E-6</v>
      </c>
      <c r="C76" s="71">
        <f>ExDivTree!C76</f>
        <v>6.1250520911312494E-6</v>
      </c>
      <c r="D76" s="177">
        <f>ExDivTree!D76</f>
        <v>72</v>
      </c>
      <c r="BY76" s="17">
        <f>IF(BY$3="","",IF(AND(DivAs=2,BY$2&lt;ExDivPct),ExDivTree!BY76+DivAmount*EXP(IntRate*(BY$2-ExDivPct)),ExDivTree!BY76))</f>
        <v>11.103298025899999</v>
      </c>
      <c r="BZ76" s="17">
        <f>IF(BZ$3="","",IF(AND(DivAs=2,BZ$2&lt;ExDivPct),ExDivTree!BZ76+DivAmount*EXP(IntRate*(BZ$2-ExDivPct)),ExDivTree!BZ76))</f>
        <v>11.4394232849</v>
      </c>
      <c r="CA76" s="17">
        <f>IF(CA$3="","",IF(AND(DivAs=2,CA$2&lt;ExDivPct),ExDivTree!CA76+DivAmount*EXP(IntRate*(CA$2-ExDivPct)),ExDivTree!CA76))</f>
        <v>11.7857239161</v>
      </c>
      <c r="CB76" s="17">
        <f>IF(CB$3="","",IF(AND(DivAs=2,CB$2&lt;ExDivPct),ExDivTree!CB76+DivAmount*EXP(IntRate*(CB$2-ExDivPct)),ExDivTree!CB76))</f>
        <v>12.142507953999999</v>
      </c>
      <c r="CC76" s="17">
        <f>IF(CC$3="","",IF(AND(DivAs=2,CC$2&lt;ExDivPct),ExDivTree!CC76+DivAmount*EXP(IntRate*(CC$2-ExDivPct)),ExDivTree!CC76))</f>
        <v>12.510092758200001</v>
      </c>
      <c r="CD76" s="17">
        <f>IF(CD$3="","",IF(AND(DivAs=2,CD$2&lt;ExDivPct),ExDivTree!CD76+DivAmount*EXP(IntRate*(CD$2-ExDivPct)),ExDivTree!CD76))</f>
        <v>12.888805295499999</v>
      </c>
      <c r="CE76" s="17">
        <f>IF(CE$3="","",IF(AND(DivAs=2,CE$2&lt;ExDivPct),ExDivTree!CE76+DivAmount*EXP(IntRate*(CE$2-ExDivPct)),ExDivTree!CE76))</f>
        <v>13.278982430999999</v>
      </c>
      <c r="CF76" s="17">
        <f>IF(CF$3="","",IF(AND(DivAs=2,CF$2&lt;ExDivPct),ExDivTree!CF76+DivAmount*EXP(IntRate*(CF$2-ExDivPct)),ExDivTree!CF76))</f>
        <v>13.680971227300001</v>
      </c>
      <c r="CG76" s="17">
        <f>IF(CG$3="","",IF(AND(DivAs=2,CG$2&lt;ExDivPct),ExDivTree!CG76+DivAmount*EXP(IntRate*(CG$2-ExDivPct)),ExDivTree!CG76))</f>
        <v>14.0951292537</v>
      </c>
      <c r="CH76" s="17">
        <f>IF(CH$3="","",IF(AND(DivAs=2,CH$2&lt;ExDivPct),ExDivTree!CH76+DivAmount*EXP(IntRate*(CH$2-ExDivPct)),ExDivTree!CH76))</f>
        <v>14.521824903900001</v>
      </c>
      <c r="CI76" s="17">
        <f>IF(CI$3="","",IF(AND(DivAs=2,CI$2&lt;ExDivPct),ExDivTree!CI76+DivAmount*EXP(IntRate*(CI$2-ExDivPct)),ExDivTree!CI76))</f>
        <v>14.9614377239</v>
      </c>
      <c r="CJ76" s="17">
        <f>IF(CJ$3="","",IF(AND(DivAs=2,CJ$2&lt;ExDivPct),ExDivTree!CJ76+DivAmount*EXP(IntRate*(CJ$2-ExDivPct)),ExDivTree!CJ76))</f>
        <v>15.4143587495</v>
      </c>
      <c r="CK76" s="17">
        <f>IF(CK$3="","",IF(AND(DivAs=2,CK$2&lt;ExDivPct),ExDivTree!CK76+DivAmount*EXP(IntRate*(CK$2-ExDivPct)),ExDivTree!CK76))</f>
        <v>15.8809908542</v>
      </c>
      <c r="CL76" s="17">
        <f>IF(CL$3="","",IF(AND(DivAs=2,CL$2&lt;ExDivPct),ExDivTree!CL76+DivAmount*EXP(IntRate*(CL$2-ExDivPct)),ExDivTree!CL76))</f>
        <v>16.361749107400001</v>
      </c>
      <c r="CM76" s="17">
        <f>IF(CM$3="","",IF(AND(DivAs=2,CM$2&lt;ExDivPct),ExDivTree!CM76+DivAmount*EXP(IntRate*(CM$2-ExDivPct)),ExDivTree!CM76))</f>
        <v>16.857061143799999</v>
      </c>
      <c r="CN76" s="17">
        <f>IF(CN$3="","",IF(AND(DivAs=2,CN$2&lt;ExDivPct),ExDivTree!CN76+DivAmount*EXP(IntRate*(CN$2-ExDivPct)),ExDivTree!CN76))</f>
        <v>17.367367543699999</v>
      </c>
      <c r="CO76" s="17">
        <f>IF(CO$3="","",IF(AND(DivAs=2,CO$2&lt;ExDivPct),ExDivTree!CO76+DivAmount*EXP(IntRate*(CO$2-ExDivPct)),ExDivTree!CO76))</f>
        <v>17.893122224900001</v>
      </c>
      <c r="CP76" s="17">
        <f>IF(CP$3="","",IF(AND(DivAs=2,CP$2&lt;ExDivPct),ExDivTree!CP76+DivAmount*EXP(IntRate*(CP$2-ExDivPct)),ExDivTree!CP76))</f>
        <v>18.434792846400001</v>
      </c>
      <c r="CQ76" s="17">
        <f>IF(CQ$3="","",IF(AND(DivAs=2,CQ$2&lt;ExDivPct),ExDivTree!CQ76+DivAmount*EXP(IntRate*(CQ$2-ExDivPct)),ExDivTree!CQ76))</f>
        <v>18.992861224399999</v>
      </c>
      <c r="CR76" s="17">
        <f>IF(CR$3="","",IF(AND(DivAs=2,CR$2&lt;ExDivPct),ExDivTree!CR76+DivAmount*EXP(IntRate*(CR$2-ExDivPct)),ExDivTree!CR76))</f>
        <v>19.567823761</v>
      </c>
      <c r="CS76" s="17">
        <f>IF(CS$3="","",IF(AND(DivAs=2,CS$2&lt;ExDivPct),ExDivTree!CS76+DivAmount*EXP(IntRate*(CS$2-ExDivPct)),ExDivTree!CS76))</f>
        <v>20.160191885700002</v>
      </c>
      <c r="CT76" s="17">
        <f>IF(CT$3="","",IF(AND(DivAs=2,CT$2&lt;ExDivPct),ExDivTree!CT76+DivAmount*EXP(IntRate*(CT$2-ExDivPct)),ExDivTree!CT76))</f>
        <v>20.7704925102</v>
      </c>
      <c r="CU76" s="17">
        <f>IF(CU$3="","",IF(AND(DivAs=2,CU$2&lt;ExDivPct),ExDivTree!CU76+DivAmount*EXP(IntRate*(CU$2-ExDivPct)),ExDivTree!CU76))</f>
        <v>21.3992684971</v>
      </c>
      <c r="CV76" s="17">
        <f>IF(CV$3="","",IF(AND(DivAs=2,CV$2&lt;ExDivPct),ExDivTree!CV76+DivAmount*EXP(IntRate*(CV$2-ExDivPct)),ExDivTree!CV76))</f>
        <v>22.047079143000001</v>
      </c>
      <c r="CW76" s="17">
        <f>IF(CW$3="","",IF(AND(DivAs=2,CW$2&lt;ExDivPct),ExDivTree!CW76+DivAmount*EXP(IntRate*(CW$2-ExDivPct)),ExDivTree!CW76))</f>
        <v>22.714500675699998</v>
      </c>
      <c r="CX76" s="17">
        <f>IF(CX$3="","",IF(AND(DivAs=2,CX$2&lt;ExDivPct),ExDivTree!CX76+DivAmount*EXP(IntRate*(CX$2-ExDivPct)),ExDivTree!CX76))</f>
        <v>23.402126766999999</v>
      </c>
      <c r="CY76" s="17">
        <f>IF(CY$3="","",IF(AND(DivAs=2,CY$2&lt;ExDivPct),ExDivTree!CY76+DivAmount*EXP(IntRate*(CY$2-ExDivPct)),ExDivTree!CY76))</f>
        <v>24.1105690606</v>
      </c>
      <c r="CZ76" s="17">
        <f>IF(CZ$3="","",IF(AND(DivAs=2,CZ$2&lt;ExDivPct),ExDivTree!CZ76+DivAmount*EXP(IntRate*(CZ$2-ExDivPct)),ExDivTree!CZ76))</f>
        <v>24.840457716300001</v>
      </c>
      <c r="DA76" s="17">
        <f>IF(DA$3="","",IF(AND(DivAs=2,DA$2&lt;ExDivPct),ExDivTree!DA76+DivAmount*EXP(IntRate*(DA$2-ExDivPct)),ExDivTree!DA76))</f>
        <v>25.592441970300001</v>
      </c>
      <c r="DB76" s="17">
        <f>IF(DB$3="","",IF(AND(DivAs=2,DB$2&lt;ExDivPct),ExDivTree!DB76+DivAmount*EXP(IntRate*(DB$2-ExDivPct)),ExDivTree!DB76))</f>
        <v>26.367190712999999</v>
      </c>
    </row>
    <row r="77" spans="1:106" x14ac:dyDescent="0.2">
      <c r="A77">
        <f>ExDivTree!A77</f>
        <v>6.9161669028151688E+24</v>
      </c>
      <c r="B77" s="71">
        <f>ExDivTree!B77</f>
        <v>2.7279468418071878E-6</v>
      </c>
      <c r="C77" s="71">
        <f>ExDivTree!C77</f>
        <v>2.4203754691839002E-6</v>
      </c>
      <c r="D77" s="177">
        <f>ExDivTree!D77</f>
        <v>73</v>
      </c>
      <c r="BZ77" s="17">
        <f>IF(BZ$3="","",IF(AND(DivAs=2,BZ$2&lt;ExDivPct),ExDivTree!BZ77+DivAmount*EXP(IntRate*(BZ$2-ExDivPct)),ExDivTree!BZ77))</f>
        <v>10.7771052743</v>
      </c>
      <c r="CA77" s="17">
        <f>IF(CA$3="","",IF(AND(DivAs=2,CA$2&lt;ExDivPct),ExDivTree!CA77+DivAmount*EXP(IntRate*(CA$2-ExDivPct)),ExDivTree!CA77))</f>
        <v>11.103355843499999</v>
      </c>
      <c r="CB77" s="17">
        <f>IF(CB$3="","",IF(AND(DivAs=2,CB$2&lt;ExDivPct),ExDivTree!CB77+DivAmount*EXP(IntRate*(CB$2-ExDivPct)),ExDivTree!CB77))</f>
        <v>11.439482852799999</v>
      </c>
      <c r="CC77" s="17">
        <f>IF(CC$3="","",IF(AND(DivAs=2,CC$2&lt;ExDivPct),ExDivTree!CC77+DivAmount*EXP(IntRate*(CC$2-ExDivPct)),ExDivTree!CC77))</f>
        <v>11.7857852872</v>
      </c>
      <c r="CD77" s="17">
        <f>IF(CD$3="","",IF(AND(DivAs=2,CD$2&lt;ExDivPct),ExDivTree!CD77+DivAmount*EXP(IntRate*(CD$2-ExDivPct)),ExDivTree!CD77))</f>
        <v>12.142571182999999</v>
      </c>
      <c r="CE77" s="17">
        <f>IF(CE$3="","",IF(AND(DivAs=2,CE$2&lt;ExDivPct),ExDivTree!CE77+DivAmount*EXP(IntRate*(CE$2-ExDivPct)),ExDivTree!CE77))</f>
        <v>12.510157901299999</v>
      </c>
      <c r="CF77" s="17">
        <f>IF(CF$3="","",IF(AND(DivAs=2,CF$2&lt;ExDivPct),ExDivTree!CF77+DivAmount*EXP(IntRate*(CF$2-ExDivPct)),ExDivTree!CF77))</f>
        <v>12.888872410699999</v>
      </c>
      <c r="CG77" s="17">
        <f>IF(CG$3="","",IF(AND(DivAs=2,CG$2&lt;ExDivPct),ExDivTree!CG77+DivAmount*EXP(IntRate*(CG$2-ExDivPct)),ExDivTree!CG77))</f>
        <v>13.279051577900001</v>
      </c>
      <c r="CH77" s="17">
        <f>IF(CH$3="","",IF(AND(DivAs=2,CH$2&lt;ExDivPct),ExDivTree!CH77+DivAmount*EXP(IntRate*(CH$2-ExDivPct)),ExDivTree!CH77))</f>
        <v>13.681042467499999</v>
      </c>
      <c r="CI77" s="17">
        <f>IF(CI$3="","",IF(AND(DivAs=2,CI$2&lt;ExDivPct),ExDivTree!CI77+DivAmount*EXP(IntRate*(CI$2-ExDivPct)),ExDivTree!CI77))</f>
        <v>14.095202650499999</v>
      </c>
      <c r="CJ77" s="17">
        <f>IF(CJ$3="","",IF(AND(DivAs=2,CJ$2&lt;ExDivPct),ExDivTree!CJ77+DivAmount*EXP(IntRate*(CJ$2-ExDivPct)),ExDivTree!CJ77))</f>
        <v>14.521900522599999</v>
      </c>
      <c r="CK77" s="17">
        <f>IF(CK$3="","",IF(AND(DivAs=2,CK$2&lt;ExDivPct),ExDivTree!CK77+DivAmount*EXP(IntRate*(CK$2-ExDivPct)),ExDivTree!CK77))</f>
        <v>14.961515631799999</v>
      </c>
      <c r="CL77" s="17">
        <f>IF(CL$3="","",IF(AND(DivAs=2,CL$2&lt;ExDivPct),ExDivTree!CL77+DivAmount*EXP(IntRate*(CL$2-ExDivPct)),ExDivTree!CL77))</f>
        <v>15.414439015899999</v>
      </c>
      <c r="CM77" s="17">
        <f>IF(CM$3="","",IF(AND(DivAs=2,CM$2&lt;ExDivPct),ExDivTree!CM77+DivAmount*EXP(IntRate*(CM$2-ExDivPct)),ExDivTree!CM77))</f>
        <v>15.8810735504</v>
      </c>
      <c r="CN77" s="17">
        <f>IF(CN$3="","",IF(AND(DivAs=2,CN$2&lt;ExDivPct),ExDivTree!CN77+DivAmount*EXP(IntRate*(CN$2-ExDivPct)),ExDivTree!CN77))</f>
        <v>16.361834306999999</v>
      </c>
      <c r="CO77" s="17">
        <f>IF(CO$3="","",IF(AND(DivAs=2,CO$2&lt;ExDivPct),ExDivTree!CO77+DivAmount*EXP(IntRate*(CO$2-ExDivPct)),ExDivTree!CO77))</f>
        <v>16.8571489226</v>
      </c>
      <c r="CP77" s="17">
        <f>IF(CP$3="","",IF(AND(DivAs=2,CP$2&lt;ExDivPct),ExDivTree!CP77+DivAmount*EXP(IntRate*(CP$2-ExDivPct)),ExDivTree!CP77))</f>
        <v>17.367457979800001</v>
      </c>
      <c r="CQ77" s="17">
        <f>IF(CQ$3="","",IF(AND(DivAs=2,CQ$2&lt;ExDivPct),ExDivTree!CQ77+DivAmount*EXP(IntRate*(CQ$2-ExDivPct)),ExDivTree!CQ77))</f>
        <v>17.893215398700001</v>
      </c>
      <c r="CR77" s="17">
        <f>IF(CR$3="","",IF(AND(DivAs=2,CR$2&lt;ExDivPct),ExDivTree!CR77+DivAmount*EXP(IntRate*(CR$2-ExDivPct)),ExDivTree!CR77))</f>
        <v>18.434888840799999</v>
      </c>
      <c r="CS77" s="17">
        <f>IF(CS$3="","",IF(AND(DivAs=2,CS$2&lt;ExDivPct),ExDivTree!CS77+DivAmount*EXP(IntRate*(CS$2-ExDivPct)),ExDivTree!CS77))</f>
        <v>18.9929601248</v>
      </c>
      <c r="CT77" s="17">
        <f>IF(CT$3="","",IF(AND(DivAs=2,CT$2&lt;ExDivPct),ExDivTree!CT77+DivAmount*EXP(IntRate*(CT$2-ExDivPct)),ExDivTree!CT77))</f>
        <v>19.5679256554</v>
      </c>
      <c r="CU77" s="17">
        <f>IF(CU$3="","",IF(AND(DivAs=2,CU$2&lt;ExDivPct),ExDivTree!CU77+DivAmount*EXP(IntRate*(CU$2-ExDivPct)),ExDivTree!CU77))</f>
        <v>20.160296864700001</v>
      </c>
      <c r="CV77" s="17">
        <f>IF(CV$3="","",IF(AND(DivAs=2,CV$2&lt;ExDivPct),ExDivTree!CV77+DivAmount*EXP(IntRate*(CV$2-ExDivPct)),ExDivTree!CV77))</f>
        <v>20.770600667099998</v>
      </c>
      <c r="CW77" s="17">
        <f>IF(CW$3="","",IF(AND(DivAs=2,CW$2&lt;ExDivPct),ExDivTree!CW77+DivAmount*EXP(IntRate*(CW$2-ExDivPct)),ExDivTree!CW77))</f>
        <v>21.399379928199998</v>
      </c>
      <c r="CX77" s="17">
        <f>IF(CX$3="","",IF(AND(DivAs=2,CX$2&lt;ExDivPct),ExDivTree!CX77+DivAmount*EXP(IntRate*(CX$2-ExDivPct)),ExDivTree!CX77))</f>
        <v>22.0471939474</v>
      </c>
      <c r="CY77" s="17">
        <f>IF(CY$3="","",IF(AND(DivAs=2,CY$2&lt;ExDivPct),ExDivTree!CY77+DivAmount*EXP(IntRate*(CY$2-ExDivPct)),ExDivTree!CY77))</f>
        <v>22.714618955500001</v>
      </c>
      <c r="CZ77" s="17">
        <f>IF(CZ$3="","",IF(AND(DivAs=2,CZ$2&lt;ExDivPct),ExDivTree!CZ77+DivAmount*EXP(IntRate*(CZ$2-ExDivPct)),ExDivTree!CZ77))</f>
        <v>23.402248627399999</v>
      </c>
      <c r="DA77" s="17">
        <f>IF(DA$3="","",IF(AND(DivAs=2,DA$2&lt;ExDivPct),ExDivTree!DA77+DivAmount*EXP(IntRate*(DA$2-ExDivPct)),ExDivTree!DA77))</f>
        <v>24.110694610100001</v>
      </c>
      <c r="DB77" s="17">
        <f>IF(DB$3="","",IF(AND(DivAs=2,DB$2&lt;ExDivPct),ExDivTree!DB77+DivAmount*EXP(IntRate*(DB$2-ExDivPct)),ExDivTree!DB77))</f>
        <v>24.840587066499999</v>
      </c>
    </row>
    <row r="78" spans="1:106" x14ac:dyDescent="0.2">
      <c r="A78">
        <f>ExDivTree!A78</f>
        <v>2.6169280172814157E+24</v>
      </c>
      <c r="B78" s="71">
        <f>ExDivTree!B78</f>
        <v>1.0321961023054226E-6</v>
      </c>
      <c r="C78" s="71">
        <f>ExDivTree!C78</f>
        <v>9.1097586807906784E-7</v>
      </c>
      <c r="D78" s="177">
        <f>ExDivTree!D78</f>
        <v>74</v>
      </c>
      <c r="CA78" s="17">
        <f>IF(CA$3="","",IF(AND(DivAs=2,CA$2&lt;ExDivPct),ExDivTree!CA78+DivAmount*EXP(IntRate*(CA$2-ExDivPct)),ExDivTree!CA78))</f>
        <v>10.4604954152</v>
      </c>
      <c r="CB78" s="17">
        <f>IF(CB$3="","",IF(AND(DivAs=2,CB$2&lt;ExDivPct),ExDivTree!CB78+DivAmount*EXP(IntRate*(CB$2-ExDivPct)),ExDivTree!CB78))</f>
        <v>10.7771613934</v>
      </c>
      <c r="CC78" s="17">
        <f>IF(CC$3="","",IF(AND(DivAs=2,CC$2&lt;ExDivPct),ExDivTree!CC78+DivAmount*EXP(IntRate*(CC$2-ExDivPct)),ExDivTree!CC78))</f>
        <v>11.103413661499999</v>
      </c>
      <c r="CD78" s="17">
        <f>IF(CD$3="","",IF(AND(DivAs=2,CD$2&lt;ExDivPct),ExDivTree!CD78+DivAmount*EXP(IntRate*(CD$2-ExDivPct)),ExDivTree!CD78))</f>
        <v>11.439542421100001</v>
      </c>
      <c r="CE78" s="17">
        <f>IF(CE$3="","",IF(AND(DivAs=2,CE$2&lt;ExDivPct),ExDivTree!CE78+DivAmount*EXP(IntRate*(CE$2-ExDivPct)),ExDivTree!CE78))</f>
        <v>11.785846658800001</v>
      </c>
      <c r="CF78" s="17">
        <f>IF(CF$3="","",IF(AND(DivAs=2,CF$2&lt;ExDivPct),ExDivTree!CF78+DivAmount*EXP(IntRate*(CF$2-ExDivPct)),ExDivTree!CF78))</f>
        <v>12.1426344124</v>
      </c>
      <c r="CG78" s="17">
        <f>IF(CG$3="","",IF(AND(DivAs=2,CG$2&lt;ExDivPct),ExDivTree!CG78+DivAmount*EXP(IntRate*(CG$2-ExDivPct)),ExDivTree!CG78))</f>
        <v>12.5102230448</v>
      </c>
      <c r="CH78" s="17">
        <f>IF(CH$3="","",IF(AND(DivAs=2,CH$2&lt;ExDivPct),ExDivTree!CH78+DivAmount*EXP(IntRate*(CH$2-ExDivPct)),ExDivTree!CH78))</f>
        <v>12.8889395262</v>
      </c>
      <c r="CI78" s="17">
        <f>IF(CI$3="","",IF(AND(DivAs=2,CI$2&lt;ExDivPct),ExDivTree!CI78+DivAmount*EXP(IntRate*(CI$2-ExDivPct)),ExDivTree!CI78))</f>
        <v>13.2791207252</v>
      </c>
      <c r="CJ78" s="17">
        <f>IF(CJ$3="","",IF(AND(DivAs=2,CJ$2&lt;ExDivPct),ExDivTree!CJ78+DivAmount*EXP(IntRate*(CJ$2-ExDivPct)),ExDivTree!CJ78))</f>
        <v>13.681113708</v>
      </c>
      <c r="CK78" s="17">
        <f>IF(CK$3="","",IF(AND(DivAs=2,CK$2&lt;ExDivPct),ExDivTree!CK78+DivAmount*EXP(IntRate*(CK$2-ExDivPct)),ExDivTree!CK78))</f>
        <v>14.095276047700001</v>
      </c>
      <c r="CL78" s="17">
        <f>IF(CL$3="","",IF(AND(DivAs=2,CL$2&lt;ExDivPct),ExDivTree!CL78+DivAmount*EXP(IntRate*(CL$2-ExDivPct)),ExDivTree!CL78))</f>
        <v>14.5219761418</v>
      </c>
      <c r="CM78" s="17">
        <f>IF(CM$3="","",IF(AND(DivAs=2,CM$2&lt;ExDivPct),ExDivTree!CM78+DivAmount*EXP(IntRate*(CM$2-ExDivPct)),ExDivTree!CM78))</f>
        <v>14.961593540200001</v>
      </c>
      <c r="CN78" s="17">
        <f>IF(CN$3="","",IF(AND(DivAs=2,CN$2&lt;ExDivPct),ExDivTree!CN78+DivAmount*EXP(IntRate*(CN$2-ExDivPct)),ExDivTree!CN78))</f>
        <v>15.414519282800001</v>
      </c>
      <c r="CO78" s="17">
        <f>IF(CO$3="","",IF(AND(DivAs=2,CO$2&lt;ExDivPct),ExDivTree!CO78+DivAmount*EXP(IntRate*(CO$2-ExDivPct)),ExDivTree!CO78))</f>
        <v>15.8811562472</v>
      </c>
      <c r="CP78" s="17">
        <f>IF(CP$3="","",IF(AND(DivAs=2,CP$2&lt;ExDivPct),ExDivTree!CP78+DivAmount*EXP(IntRate*(CP$2-ExDivPct)),ExDivTree!CP78))</f>
        <v>16.361919507300001</v>
      </c>
      <c r="CQ78" s="17">
        <f>IF(CQ$3="","",IF(AND(DivAs=2,CQ$2&lt;ExDivPct),ExDivTree!CQ78+DivAmount*EXP(IntRate*(CQ$2-ExDivPct)),ExDivTree!CQ78))</f>
        <v>16.857236702200002</v>
      </c>
      <c r="CR78" s="17">
        <f>IF(CR$3="","",IF(AND(DivAs=2,CR$2&lt;ExDivPct),ExDivTree!CR78+DivAmount*EXP(IntRate*(CR$2-ExDivPct)),ExDivTree!CR78))</f>
        <v>17.3675484167</v>
      </c>
      <c r="CS78" s="17">
        <f>IF(CS$3="","",IF(AND(DivAs=2,CS$2&lt;ExDivPct),ExDivTree!CS78+DivAmount*EXP(IntRate*(CS$2-ExDivPct)),ExDivTree!CS78))</f>
        <v>17.893308573399999</v>
      </c>
      <c r="CT78" s="17">
        <f>IF(CT$3="","",IF(AND(DivAs=2,CT$2&lt;ExDivPct),ExDivTree!CT78+DivAmount*EXP(IntRate*(CT$2-ExDivPct)),ExDivTree!CT78))</f>
        <v>18.4349848361</v>
      </c>
      <c r="CU78" s="17">
        <f>IF(CU$3="","",IF(AND(DivAs=2,CU$2&lt;ExDivPct),ExDivTree!CU78+DivAmount*EXP(IntRate*(CU$2-ExDivPct)),ExDivTree!CU78))</f>
        <v>18.993059026099999</v>
      </c>
      <c r="CV78" s="17">
        <f>IF(CV$3="","",IF(AND(DivAs=2,CV$2&lt;ExDivPct),ExDivTree!CV78+DivAmount*EXP(IntRate*(CV$2-ExDivPct)),ExDivTree!CV78))</f>
        <v>19.568027550699998</v>
      </c>
      <c r="CW78" s="17">
        <f>IF(CW$3="","",IF(AND(DivAs=2,CW$2&lt;ExDivPct),ExDivTree!CW78+DivAmount*EXP(IntRate*(CW$2-ExDivPct)),ExDivTree!CW78))</f>
        <v>20.160401844599999</v>
      </c>
      <c r="CX78" s="17">
        <f>IF(CX$3="","",IF(AND(DivAs=2,CX$2&lt;ExDivPct),ExDivTree!CX78+DivAmount*EXP(IntRate*(CX$2-ExDivPct)),ExDivTree!CX78))</f>
        <v>20.770708825</v>
      </c>
      <c r="CY78" s="17">
        <f>IF(CY$3="","",IF(AND(DivAs=2,CY$2&lt;ExDivPct),ExDivTree!CY78+DivAmount*EXP(IntRate*(CY$2-ExDivPct)),ExDivTree!CY78))</f>
        <v>21.399491360300001</v>
      </c>
      <c r="CZ78" s="17">
        <f>IF(CZ$3="","",IF(AND(DivAs=2,CZ$2&lt;ExDivPct),ExDivTree!CZ78+DivAmount*EXP(IntRate*(CZ$2-ExDivPct)),ExDivTree!CZ78))</f>
        <v>22.047308752799999</v>
      </c>
      <c r="DA78" s="17">
        <f>IF(DA$3="","",IF(AND(DivAs=2,DA$2&lt;ExDivPct),ExDivTree!DA78+DivAmount*EXP(IntRate*(DA$2-ExDivPct)),ExDivTree!DA78))</f>
        <v>22.714737236400001</v>
      </c>
      <c r="DB78" s="17">
        <f>IF(DB$3="","",IF(AND(DivAs=2,DB$2&lt;ExDivPct),ExDivTree!DB78+DivAmount*EXP(IntRate*(DB$2-ExDivPct)),ExDivTree!DB78))</f>
        <v>23.402370488999999</v>
      </c>
    </row>
    <row r="79" spans="1:106" x14ac:dyDescent="0.2">
      <c r="A79">
        <f>ExDivTree!A79</f>
        <v>9.4209408622130929E+23</v>
      </c>
      <c r="B79" s="71">
        <f>ExDivTree!B79</f>
        <v>3.71590596829952E-7</v>
      </c>
      <c r="C79" s="71">
        <f>ExDivTree!C79</f>
        <v>3.2621745232568246E-7</v>
      </c>
      <c r="D79" s="177">
        <f>ExDivTree!D79</f>
        <v>75</v>
      </c>
      <c r="CB79" s="17">
        <f>IF(CB$3="","",IF(AND(DivAs=2,CB$2&lt;ExDivPct),ExDivTree!CB79+DivAmount*EXP(IntRate*(CB$2-ExDivPct)),ExDivTree!CB79))</f>
        <v>10.1531869223</v>
      </c>
      <c r="CC79" s="17">
        <f>IF(CC$3="","",IF(AND(DivAs=2,CC$2&lt;ExDivPct),ExDivTree!CC79+DivAmount*EXP(IntRate*(CC$2-ExDivPct)),ExDivTree!CC79))</f>
        <v>10.460549885600001</v>
      </c>
      <c r="CD79" s="17">
        <f>IF(CD$3="","",IF(AND(DivAs=2,CD$2&lt;ExDivPct),ExDivTree!CD79+DivAmount*EXP(IntRate*(CD$2-ExDivPct)),ExDivTree!CD79))</f>
        <v>10.7772175127</v>
      </c>
      <c r="CE79" s="17">
        <f>IF(CE$3="","",IF(AND(DivAs=2,CE$2&lt;ExDivPct),ExDivTree!CE79+DivAmount*EXP(IntRate*(CE$2-ExDivPct)),ExDivTree!CE79))</f>
        <v>11.1034714797</v>
      </c>
      <c r="CF79" s="17">
        <f>IF(CF$3="","",IF(AND(DivAs=2,CF$2&lt;ExDivPct),ExDivTree!CF79+DivAmount*EXP(IntRate*(CF$2-ExDivPct)),ExDivTree!CF79))</f>
        <v>11.4396019896</v>
      </c>
      <c r="CG79" s="17">
        <f>IF(CG$3="","",IF(AND(DivAs=2,CG$2&lt;ExDivPct),ExDivTree!CG79+DivAmount*EXP(IntRate*(CG$2-ExDivPct)),ExDivTree!CG79))</f>
        <v>11.7859080306</v>
      </c>
      <c r="CH79" s="17">
        <f>IF(CH$3="","",IF(AND(DivAs=2,CH$2&lt;ExDivPct),ExDivTree!CH79+DivAmount*EXP(IntRate*(CH$2-ExDivPct)),ExDivTree!CH79))</f>
        <v>12.1426976421</v>
      </c>
      <c r="CI79" s="17">
        <f>IF(CI$3="","",IF(AND(DivAs=2,CI$2&lt;ExDivPct),ExDivTree!CI79+DivAmount*EXP(IntRate*(CI$2-ExDivPct)),ExDivTree!CI79))</f>
        <v>12.510288188600001</v>
      </c>
      <c r="CJ79" s="17">
        <f>IF(CJ$3="","",IF(AND(DivAs=2,CJ$2&lt;ExDivPct),ExDivTree!CJ79+DivAmount*EXP(IntRate*(CJ$2-ExDivPct)),ExDivTree!CJ79))</f>
        <v>12.8890066421</v>
      </c>
      <c r="CK79" s="17">
        <f>IF(CK$3="","",IF(AND(DivAs=2,CK$2&lt;ExDivPct),ExDivTree!CK79+DivAmount*EXP(IntRate*(CK$2-ExDivPct)),ExDivTree!CK79))</f>
        <v>13.2791898728</v>
      </c>
      <c r="CL79" s="17">
        <f>IF(CL$3="","",IF(AND(DivAs=2,CL$2&lt;ExDivPct),ExDivTree!CL79+DivAmount*EXP(IntRate*(CL$2-ExDivPct)),ExDivTree!CL79))</f>
        <v>13.6811849489</v>
      </c>
      <c r="CM79" s="17">
        <f>IF(CM$3="","",IF(AND(DivAs=2,CM$2&lt;ExDivPct),ExDivTree!CM79+DivAmount*EXP(IntRate*(CM$2-ExDivPct)),ExDivTree!CM79))</f>
        <v>14.0953494452</v>
      </c>
      <c r="CN79" s="17">
        <f>IF(CN$3="","",IF(AND(DivAs=2,CN$2&lt;ExDivPct),ExDivTree!CN79+DivAmount*EXP(IntRate*(CN$2-ExDivPct)),ExDivTree!CN79))</f>
        <v>14.5220517612</v>
      </c>
      <c r="CO79" s="17">
        <f>IF(CO$3="","",IF(AND(DivAs=2,CO$2&lt;ExDivPct),ExDivTree!CO79+DivAmount*EXP(IntRate*(CO$2-ExDivPct)),ExDivTree!CO79))</f>
        <v>14.961671448800001</v>
      </c>
      <c r="CP79" s="17">
        <f>IF(CP$3="","",IF(AND(DivAs=2,CP$2&lt;ExDivPct),ExDivTree!CP79+DivAmount*EXP(IntRate*(CP$2-ExDivPct)),ExDivTree!CP79))</f>
        <v>15.4145995499</v>
      </c>
      <c r="CQ79" s="17">
        <f>IF(CQ$3="","",IF(AND(DivAs=2,CQ$2&lt;ExDivPct),ExDivTree!CQ79+DivAmount*EXP(IntRate*(CQ$2-ExDivPct)),ExDivTree!CQ79))</f>
        <v>15.8812389442</v>
      </c>
      <c r="CR79" s="17">
        <f>IF(CR$3="","",IF(AND(DivAs=2,CR$2&lt;ExDivPct),ExDivTree!CR79+DivAmount*EXP(IntRate*(CR$2-ExDivPct)),ExDivTree!CR79))</f>
        <v>16.362004707699999</v>
      </c>
      <c r="CS79" s="17">
        <f>IF(CS$3="","",IF(AND(DivAs=2,CS$2&lt;ExDivPct),ExDivTree!CS79+DivAmount*EXP(IntRate*(CS$2-ExDivPct)),ExDivTree!CS79))</f>
        <v>16.857324481799999</v>
      </c>
      <c r="CT79" s="17">
        <f>IF(CT$3="","",IF(AND(DivAs=2,CT$2&lt;ExDivPct),ExDivTree!CT79+DivAmount*EXP(IntRate*(CT$2-ExDivPct)),ExDivTree!CT79))</f>
        <v>17.367638853599999</v>
      </c>
      <c r="CU79" s="17">
        <f>IF(CU$3="","",IF(AND(DivAs=2,CU$2&lt;ExDivPct),ExDivTree!CU79+DivAmount*EXP(IntRate*(CU$2-ExDivPct)),ExDivTree!CU79))</f>
        <v>17.893401747999999</v>
      </c>
      <c r="CV79" s="17">
        <f>IF(CV$3="","",IF(AND(DivAs=2,CV$2&lt;ExDivPct),ExDivTree!CV79+DivAmount*EXP(IntRate*(CV$2-ExDivPct)),ExDivTree!CV79))</f>
        <v>18.435080831299999</v>
      </c>
      <c r="CW79" s="17">
        <f>IF(CW$3="","",IF(AND(DivAs=2,CW$2&lt;ExDivPct),ExDivTree!CW79+DivAmount*EXP(IntRate*(CW$2-ExDivPct)),ExDivTree!CW79))</f>
        <v>18.9931579273</v>
      </c>
      <c r="CX79" s="17">
        <f>IF(CX$3="","",IF(AND(DivAs=2,CX$2&lt;ExDivPct),ExDivTree!CX79+DivAmount*EXP(IntRate*(CX$2-ExDivPct)),ExDivTree!CX79))</f>
        <v>19.568129445899999</v>
      </c>
      <c r="CY79" s="17">
        <f>IF(CY$3="","",IF(AND(DivAs=2,CY$2&lt;ExDivPct),ExDivTree!CY79+DivAmount*EXP(IntRate*(CY$2-ExDivPct)),ExDivTree!CY79))</f>
        <v>20.160506824399999</v>
      </c>
      <c r="CZ79" s="17">
        <f>IF(CZ$3="","",IF(AND(DivAs=2,CZ$2&lt;ExDivPct),ExDivTree!CZ79+DivAmount*EXP(IntRate*(CZ$2-ExDivPct)),ExDivTree!CZ79))</f>
        <v>20.770816982900001</v>
      </c>
      <c r="DA79" s="17">
        <f>IF(DA$3="","",IF(AND(DivAs=2,DA$2&lt;ExDivPct),ExDivTree!DA79+DivAmount*EXP(IntRate*(DA$2-ExDivPct)),ExDivTree!DA79))</f>
        <v>21.3996027924</v>
      </c>
      <c r="DB79" s="17">
        <f>IF(DB$3="","",IF(AND(DivAs=2,DB$2&lt;ExDivPct),ExDivTree!DB79+DivAmount*EXP(IntRate*(DB$2-ExDivPct)),ExDivTree!DB79))</f>
        <v>22.0474235583</v>
      </c>
    </row>
    <row r="80" spans="1:106" x14ac:dyDescent="0.2">
      <c r="A80">
        <f>ExDivTree!A80</f>
        <v>3.2229534528623754E+23</v>
      </c>
      <c r="B80" s="71">
        <f>ExDivTree!B80</f>
        <v>1.2712309891550995E-7</v>
      </c>
      <c r="C80" s="71">
        <f>ExDivTree!C80</f>
        <v>1.1101068069833828E-7</v>
      </c>
      <c r="D80" s="177">
        <f>ExDivTree!D80</f>
        <v>76</v>
      </c>
      <c r="CC80" s="17">
        <f>IF(CC$3="","",IF(AND(DivAs=2,CC$2&lt;ExDivPct),ExDivTree!CC80+DivAmount*EXP(IntRate*(CC$2-ExDivPct)),ExDivTree!CC80))</f>
        <v>9.85490654</v>
      </c>
      <c r="CD80" s="17">
        <f>IF(CD$3="","",IF(AND(DivAs=2,CD$2&lt;ExDivPct),ExDivTree!CD80+DivAmount*EXP(IntRate*(CD$2-ExDivPct)),ExDivTree!CD80))</f>
        <v>10.153239792500001</v>
      </c>
      <c r="CE80" s="17">
        <f>IF(CE$3="","",IF(AND(DivAs=2,CE$2&lt;ExDivPct),ExDivTree!CE80+DivAmount*EXP(IntRate*(CE$2-ExDivPct)),ExDivTree!CE80))</f>
        <v>10.460604356299999</v>
      </c>
      <c r="CF80" s="17">
        <f>IF(CF$3="","",IF(AND(DivAs=2,CF$2&lt;ExDivPct),ExDivTree!CF80+DivAmount*EXP(IntRate*(CF$2-ExDivPct)),ExDivTree!CF80))</f>
        <v>10.7772736324</v>
      </c>
      <c r="CG80" s="17">
        <f>IF(CG$3="","",IF(AND(DivAs=2,CG$2&lt;ExDivPct),ExDivTree!CG80+DivAmount*EXP(IntRate*(CG$2-ExDivPct)),ExDivTree!CG80))</f>
        <v>11.1035292983</v>
      </c>
      <c r="CH80" s="17">
        <f>IF(CH$3="","",IF(AND(DivAs=2,CH$2&lt;ExDivPct),ExDivTree!CH80+DivAmount*EXP(IntRate*(CH$2-ExDivPct)),ExDivTree!CH80))</f>
        <v>11.439661558499999</v>
      </c>
      <c r="CI80" s="17">
        <f>IF(CI$3="","",IF(AND(DivAs=2,CI$2&lt;ExDivPct),ExDivTree!CI80+DivAmount*EXP(IntRate*(CI$2-ExDivPct)),ExDivTree!CI80))</f>
        <v>11.785969402799999</v>
      </c>
      <c r="CJ80" s="17">
        <f>IF(CJ$3="","",IF(AND(DivAs=2,CJ$2&lt;ExDivPct),ExDivTree!CJ80+DivAmount*EXP(IntRate*(CJ$2-ExDivPct)),ExDivTree!CJ80))</f>
        <v>12.1427608722</v>
      </c>
      <c r="CK80" s="17">
        <f>IF(CK$3="","",IF(AND(DivAs=2,CK$2&lt;ExDivPct),ExDivTree!CK80+DivAmount*EXP(IntRate*(CK$2-ExDivPct)),ExDivTree!CK80))</f>
        <v>12.510353332899999</v>
      </c>
      <c r="CL80" s="17">
        <f>IF(CL$3="","",IF(AND(DivAs=2,CL$2&lt;ExDivPct),ExDivTree!CL80+DivAmount*EXP(IntRate*(CL$2-ExDivPct)),ExDivTree!CL80))</f>
        <v>12.8890737585</v>
      </c>
      <c r="CM80" s="17">
        <f>IF(CM$3="","",IF(AND(DivAs=2,CM$2&lt;ExDivPct),ExDivTree!CM80+DivAmount*EXP(IntRate*(CM$2-ExDivPct)),ExDivTree!CM80))</f>
        <v>13.279259021</v>
      </c>
      <c r="CN80" s="17">
        <f>IF(CN$3="","",IF(AND(DivAs=2,CN$2&lt;ExDivPct),ExDivTree!CN80+DivAmount*EXP(IntRate*(CN$2-ExDivPct)),ExDivTree!CN80))</f>
        <v>13.681256190399999</v>
      </c>
      <c r="CO80" s="17">
        <f>IF(CO$3="","",IF(AND(DivAs=2,CO$2&lt;ExDivPct),ExDivTree!CO80+DivAmount*EXP(IntRate*(CO$2-ExDivPct)),ExDivTree!CO80))</f>
        <v>14.0954228434</v>
      </c>
      <c r="CP80" s="17">
        <f>IF(CP$3="","",IF(AND(DivAs=2,CP$2&lt;ExDivPct),ExDivTree!CP80+DivAmount*EXP(IntRate*(CP$2-ExDivPct)),ExDivTree!CP80))</f>
        <v>14.522127381300001</v>
      </c>
      <c r="CQ80" s="17">
        <f>IF(CQ$3="","",IF(AND(DivAs=2,CQ$2&lt;ExDivPct),ExDivTree!CQ80+DivAmount*EXP(IntRate*(CQ$2-ExDivPct)),ExDivTree!CQ80))</f>
        <v>14.961749358100001</v>
      </c>
      <c r="CR80" s="17">
        <f>IF(CR$3="","",IF(AND(DivAs=2,CR$2&lt;ExDivPct),ExDivTree!CR80+DivAmount*EXP(IntRate*(CR$2-ExDivPct)),ExDivTree!CR80))</f>
        <v>15.4146798177</v>
      </c>
      <c r="CS80" s="17">
        <f>IF(CS$3="","",IF(AND(DivAs=2,CS$2&lt;ExDivPct),ExDivTree!CS80+DivAmount*EXP(IntRate*(CS$2-ExDivPct)),ExDivTree!CS80))</f>
        <v>15.8813216419</v>
      </c>
      <c r="CT80" s="17">
        <f>IF(CT$3="","",IF(AND(DivAs=2,CT$2&lt;ExDivPct),ExDivTree!CT80+DivAmount*EXP(IntRate*(CT$2-ExDivPct)),ExDivTree!CT80))</f>
        <v>16.3620899089</v>
      </c>
      <c r="CU80" s="17">
        <f>IF(CU$3="","",IF(AND(DivAs=2,CU$2&lt;ExDivPct),ExDivTree!CU80+DivAmount*EXP(IntRate*(CU$2-ExDivPct)),ExDivTree!CU80))</f>
        <v>16.8574122622</v>
      </c>
      <c r="CV80" s="17">
        <f>IF(CV$3="","",IF(AND(DivAs=2,CV$2&lt;ExDivPct),ExDivTree!CV80+DivAmount*EXP(IntRate*(CV$2-ExDivPct)),ExDivTree!CV80))</f>
        <v>17.3677292914</v>
      </c>
      <c r="CW80" s="17">
        <f>IF(CW$3="","",IF(AND(DivAs=2,CW$2&lt;ExDivPct),ExDivTree!CW80+DivAmount*EXP(IntRate*(CW$2-ExDivPct)),ExDivTree!CW80))</f>
        <v>17.893494923599999</v>
      </c>
      <c r="CX80" s="17">
        <f>IF(CX$3="","",IF(AND(DivAs=2,CX$2&lt;ExDivPct),ExDivTree!CX80+DivAmount*EXP(IntRate*(CX$2-ExDivPct)),ExDivTree!CX80))</f>
        <v>18.435176827599999</v>
      </c>
      <c r="CY80" s="17">
        <f>IF(CY$3="","",IF(AND(DivAs=2,CY$2&lt;ExDivPct),ExDivTree!CY80+DivAmount*EXP(IntRate*(CY$2-ExDivPct)),ExDivTree!CY80))</f>
        <v>18.993256829700002</v>
      </c>
      <c r="CZ80" s="17">
        <f>IF(CZ$3="","",IF(AND(DivAs=2,CZ$2&lt;ExDivPct),ExDivTree!CZ80+DivAmount*EXP(IntRate*(CZ$2-ExDivPct)),ExDivTree!CZ80))</f>
        <v>19.568231342299999</v>
      </c>
      <c r="DA80" s="17">
        <f>IF(DA$3="","",IF(AND(DivAs=2,DA$2&lt;ExDivPct),ExDivTree!DA80+DivAmount*EXP(IntRate*(DA$2-ExDivPct)),ExDivTree!DA80))</f>
        <v>20.1606118055</v>
      </c>
      <c r="DB80" s="17">
        <f>IF(DB$3="","",IF(AND(DivAs=2,DB$2&lt;ExDivPct),ExDivTree!DB80+DivAmount*EXP(IntRate*(DB$2-ExDivPct)),ExDivTree!DB80))</f>
        <v>20.770925141999999</v>
      </c>
    </row>
    <row r="81" spans="1:106" x14ac:dyDescent="0.2">
      <c r="A81">
        <f>ExDivTree!A81</f>
        <v>1.0464134587215499E+23</v>
      </c>
      <c r="B81" s="71">
        <f>ExDivTree!B81</f>
        <v>4.1273733414126584E-8</v>
      </c>
      <c r="C81" s="71">
        <f>ExDivTree!C81</f>
        <v>3.5851874500007309E-8</v>
      </c>
      <c r="D81" s="177">
        <f>ExDivTree!D81</f>
        <v>77</v>
      </c>
      <c r="CD81" s="17">
        <f>IF(CD$3="","",IF(AND(DivAs=2,CD$2&lt;ExDivPct),ExDivTree!CD81+DivAmount*EXP(IntRate*(CD$2-ExDivPct)),ExDivTree!CD81))</f>
        <v>9.5653890404999995</v>
      </c>
      <c r="CE81" s="17">
        <f>IF(CE$3="","",IF(AND(DivAs=2,CE$2&lt;ExDivPct),ExDivTree!CE81+DivAmount*EXP(IntRate*(CE$2-ExDivPct)),ExDivTree!CE81))</f>
        <v>9.8549578570000005</v>
      </c>
      <c r="CF81" s="17">
        <f>IF(CF$3="","",IF(AND(DivAs=2,CF$2&lt;ExDivPct),ExDivTree!CF81+DivAmount*EXP(IntRate*(CF$2-ExDivPct)),ExDivTree!CF81))</f>
        <v>10.1532926629</v>
      </c>
      <c r="CG81" s="17">
        <f>IF(CG$3="","",IF(AND(DivAs=2,CG$2&lt;ExDivPct),ExDivTree!CG81+DivAmount*EXP(IntRate*(CG$2-ExDivPct)),ExDivTree!CG81))</f>
        <v>10.4606588272</v>
      </c>
      <c r="CH81" s="17">
        <f>IF(CH$3="","",IF(AND(DivAs=2,CH$2&lt;ExDivPct),ExDivTree!CH81+DivAmount*EXP(IntRate*(CH$2-ExDivPct)),ExDivTree!CH81))</f>
        <v>10.7773297523</v>
      </c>
      <c r="CI81" s="17">
        <f>IF(CI$3="","",IF(AND(DivAs=2,CI$2&lt;ExDivPct),ExDivTree!CI81+DivAmount*EXP(IntRate*(CI$2-ExDivPct)),ExDivTree!CI81))</f>
        <v>11.1035871171</v>
      </c>
      <c r="CJ81" s="17">
        <f>IF(CJ$3="","",IF(AND(DivAs=2,CJ$2&lt;ExDivPct),ExDivTree!CJ81+DivAmount*EXP(IntRate*(CJ$2-ExDivPct)),ExDivTree!CJ81))</f>
        <v>11.4397211276</v>
      </c>
      <c r="CK81" s="17">
        <f>IF(CK$3="","",IF(AND(DivAs=2,CK$2&lt;ExDivPct),ExDivTree!CK81+DivAmount*EXP(IntRate*(CK$2-ExDivPct)),ExDivTree!CK81))</f>
        <v>11.7860307752</v>
      </c>
      <c r="CL81" s="17">
        <f>IF(CL$3="","",IF(AND(DivAs=2,CL$2&lt;ExDivPct),ExDivTree!CL81+DivAmount*EXP(IntRate*(CL$2-ExDivPct)),ExDivTree!CL81))</f>
        <v>12.142824102500001</v>
      </c>
      <c r="CM81" s="17">
        <f>IF(CM$3="","",IF(AND(DivAs=2,CM$2&lt;ExDivPct),ExDivTree!CM81+DivAmount*EXP(IntRate*(CM$2-ExDivPct)),ExDivTree!CM81))</f>
        <v>12.5104184773</v>
      </c>
      <c r="CN81" s="17">
        <f>IF(CN$3="","",IF(AND(DivAs=2,CN$2&lt;ExDivPct),ExDivTree!CN81+DivAmount*EXP(IntRate*(CN$2-ExDivPct)),ExDivTree!CN81))</f>
        <v>12.889140875000001</v>
      </c>
      <c r="CO81" s="17">
        <f>IF(CO$3="","",IF(AND(DivAs=2,CO$2&lt;ExDivPct),ExDivTree!CO81+DivAmount*EXP(IntRate*(CO$2-ExDivPct)),ExDivTree!CO81))</f>
        <v>13.279328169299999</v>
      </c>
      <c r="CP81" s="17">
        <f>IF(CP$3="","",IF(AND(DivAs=2,CP$2&lt;ExDivPct),ExDivTree!CP81+DivAmount*EXP(IntRate*(CP$2-ExDivPct)),ExDivTree!CP81))</f>
        <v>13.681327432</v>
      </c>
      <c r="CQ81" s="17">
        <f>IF(CQ$3="","",IF(AND(DivAs=2,CQ$2&lt;ExDivPct),ExDivTree!CQ81+DivAmount*EXP(IntRate*(CQ$2-ExDivPct)),ExDivTree!CQ81))</f>
        <v>14.095496241599999</v>
      </c>
      <c r="CR81" s="17">
        <f>IF(CR$3="","",IF(AND(DivAs=2,CR$2&lt;ExDivPct),ExDivTree!CR81+DivAmount*EXP(IntRate*(CR$2-ExDivPct)),ExDivTree!CR81))</f>
        <v>14.522203001499999</v>
      </c>
      <c r="CS81" s="17">
        <f>IF(CS$3="","",IF(AND(DivAs=2,CS$2&lt;ExDivPct),ExDivTree!CS81+DivAmount*EXP(IntRate*(CS$2-ExDivPct)),ExDivTree!CS81))</f>
        <v>14.9618272675</v>
      </c>
      <c r="CT81" s="17">
        <f>IF(CT$3="","",IF(AND(DivAs=2,CT$2&lt;ExDivPct),ExDivTree!CT81+DivAmount*EXP(IntRate*(CT$2-ExDivPct)),ExDivTree!CT81))</f>
        <v>15.414760085599999</v>
      </c>
      <c r="CU81" s="17">
        <f>IF(CU$3="","",IF(AND(DivAs=2,CU$2&lt;ExDivPct),ExDivTree!CU81+DivAmount*EXP(IntRate*(CU$2-ExDivPct)),ExDivTree!CU81))</f>
        <v>15.8814043398</v>
      </c>
      <c r="CV81" s="17">
        <f>IF(CV$3="","",IF(AND(DivAs=2,CV$2&lt;ExDivPct),ExDivTree!CV81+DivAmount*EXP(IntRate*(CV$2-ExDivPct)),ExDivTree!CV81))</f>
        <v>16.362175110300001</v>
      </c>
      <c r="CW81" s="17">
        <f>IF(CW$3="","",IF(AND(DivAs=2,CW$2&lt;ExDivPct),ExDivTree!CW81+DivAmount*EXP(IntRate*(CW$2-ExDivPct)),ExDivTree!CW81))</f>
        <v>16.8575000429</v>
      </c>
      <c r="CX81" s="17">
        <f>IF(CX$3="","",IF(AND(DivAs=2,CX$2&lt;ExDivPct),ExDivTree!CX81+DivAmount*EXP(IntRate*(CX$2-ExDivPct)),ExDivTree!CX81))</f>
        <v>17.367819729400001</v>
      </c>
      <c r="CY81" s="17">
        <f>IF(CY$3="","",IF(AND(DivAs=2,CY$2&lt;ExDivPct),ExDivTree!CY81+DivAmount*EXP(IntRate*(CY$2-ExDivPct)),ExDivTree!CY81))</f>
        <v>17.893588099399999</v>
      </c>
      <c r="CZ81" s="17">
        <f>IF(CZ$3="","",IF(AND(DivAs=2,CZ$2&lt;ExDivPct),ExDivTree!CZ81+DivAmount*EXP(IntRate*(CZ$2-ExDivPct)),ExDivTree!CZ81))</f>
        <v>18.4352728241</v>
      </c>
      <c r="DA81" s="17">
        <f>IF(DA$3="","",IF(AND(DivAs=2,DA$2&lt;ExDivPct),ExDivTree!DA81+DivAmount*EXP(IntRate*(DA$2-ExDivPct)),ExDivTree!DA81))</f>
        <v>18.9933557323</v>
      </c>
      <c r="DB81" s="17">
        <f>IF(DB$3="","",IF(AND(DivAs=2,DB$2&lt;ExDivPct),ExDivTree!DB81+DivAmount*EXP(IntRate*(DB$2-ExDivPct)),ExDivTree!DB81))</f>
        <v>19.568333238899999</v>
      </c>
    </row>
    <row r="82" spans="1:106" x14ac:dyDescent="0.2">
      <c r="A82">
        <f>ExDivTree!A82</f>
        <v>3.2197337191432325E+22</v>
      </c>
      <c r="B82" s="71">
        <f>ExDivTree!B82</f>
        <v>1.2699610281269727E-8</v>
      </c>
      <c r="C82" s="71">
        <f>ExDivTree!C82</f>
        <v>1.0973023892840695E-8</v>
      </c>
      <c r="D82" s="177">
        <f>ExDivTree!D82</f>
        <v>78</v>
      </c>
      <c r="CE82" s="17">
        <f>IF(CE$3="","",IF(AND(DivAs=2,CE$2&lt;ExDivPct),ExDivTree!CE82+DivAmount*EXP(IntRate*(CE$2-ExDivPct)),ExDivTree!CE82))</f>
        <v>9.2843769877</v>
      </c>
      <c r="CF82" s="17">
        <f>IF(CF$3="","",IF(AND(DivAs=2,CF$2&lt;ExDivPct),ExDivTree!CF82+DivAmount*EXP(IntRate*(CF$2-ExDivPct)),ExDivTree!CF82))</f>
        <v>9.5654388498999996</v>
      </c>
      <c r="CG82" s="17">
        <f>IF(CG$3="","",IF(AND(DivAs=2,CG$2&lt;ExDivPct),ExDivTree!CG82+DivAmount*EXP(IntRate*(CG$2-ExDivPct)),ExDivTree!CG82))</f>
        <v>9.8550091741999992</v>
      </c>
      <c r="CH82" s="17">
        <f>IF(CH$3="","",IF(AND(DivAs=2,CH$2&lt;ExDivPct),ExDivTree!CH82+DivAmount*EXP(IntRate*(CH$2-ExDivPct)),ExDivTree!CH82))</f>
        <v>10.1533455337</v>
      </c>
      <c r="CI82" s="17">
        <f>IF(CI$3="","",IF(AND(DivAs=2,CI$2&lt;ExDivPct),ExDivTree!CI82+DivAmount*EXP(IntRate*(CI$2-ExDivPct)),ExDivTree!CI82))</f>
        <v>10.4607132986</v>
      </c>
      <c r="CJ82" s="17">
        <f>IF(CJ$3="","",IF(AND(DivAs=2,CJ$2&lt;ExDivPct),ExDivTree!CJ82+DivAmount*EXP(IntRate*(CJ$2-ExDivPct)),ExDivTree!CJ82))</f>
        <v>10.7773858727</v>
      </c>
      <c r="CK82" s="17">
        <f>IF(CK$3="","",IF(AND(DivAs=2,CK$2&lt;ExDivPct),ExDivTree!CK82+DivAmount*EXP(IntRate*(CK$2-ExDivPct)),ExDivTree!CK82))</f>
        <v>11.1036449364</v>
      </c>
      <c r="CL82" s="17">
        <f>IF(CL$3="","",IF(AND(DivAs=2,CL$2&lt;ExDivPct),ExDivTree!CL82+DivAmount*EXP(IntRate*(CL$2-ExDivPct)),ExDivTree!CL82))</f>
        <v>11.4397806973</v>
      </c>
      <c r="CM82" s="17">
        <f>IF(CM$3="","",IF(AND(DivAs=2,CM$2&lt;ExDivPct),ExDivTree!CM82+DivAmount*EXP(IntRate*(CM$2-ExDivPct)),ExDivTree!CM82))</f>
        <v>11.7860921482</v>
      </c>
      <c r="CN82" s="17">
        <f>IF(CN$3="","",IF(AND(DivAs=2,CN$2&lt;ExDivPct),ExDivTree!CN82+DivAmount*EXP(IntRate*(CN$2-ExDivPct)),ExDivTree!CN82))</f>
        <v>12.142887333399999</v>
      </c>
      <c r="CO82" s="17">
        <f>IF(CO$3="","",IF(AND(DivAs=2,CO$2&lt;ExDivPct),ExDivTree!CO82+DivAmount*EXP(IntRate*(CO$2-ExDivPct)),ExDivTree!CO82))</f>
        <v>12.510483622400001</v>
      </c>
      <c r="CP82" s="17">
        <f>IF(CP$3="","",IF(AND(DivAs=2,CP$2&lt;ExDivPct),ExDivTree!CP82+DivAmount*EXP(IntRate*(CP$2-ExDivPct)),ExDivTree!CP82))</f>
        <v>12.889207992199999</v>
      </c>
      <c r="CQ82" s="17">
        <f>IF(CQ$3="","",IF(AND(DivAs=2,CQ$2&lt;ExDivPct),ExDivTree!CQ82+DivAmount*EXP(IntRate*(CQ$2-ExDivPct)),ExDivTree!CQ82))</f>
        <v>13.279397318299999</v>
      </c>
      <c r="CR82" s="17">
        <f>IF(CR$3="","",IF(AND(DivAs=2,CR$2&lt;ExDivPct),ExDivTree!CR82+DivAmount*EXP(IntRate*(CR$2-ExDivPct)),ExDivTree!CR82))</f>
        <v>13.6813986743</v>
      </c>
      <c r="CS82" s="17">
        <f>IF(CS$3="","",IF(AND(DivAs=2,CS$2&lt;ExDivPct),ExDivTree!CS82+DivAmount*EXP(IntRate*(CS$2-ExDivPct)),ExDivTree!CS82))</f>
        <v>14.095569640600001</v>
      </c>
      <c r="CT82" s="17">
        <f>IF(CT$3="","",IF(AND(DivAs=2,CT$2&lt;ExDivPct),ExDivTree!CT82+DivAmount*EXP(IntRate*(CT$2-ExDivPct)),ExDivTree!CT82))</f>
        <v>14.5222786225</v>
      </c>
      <c r="CU82" s="17">
        <f>IF(CU$3="","",IF(AND(DivAs=2,CU$2&lt;ExDivPct),ExDivTree!CU82+DivAmount*EXP(IntRate*(CU$2-ExDivPct)),ExDivTree!CU82))</f>
        <v>14.9619051777</v>
      </c>
      <c r="CV82" s="17">
        <f>IF(CV$3="","",IF(AND(DivAs=2,CV$2&lt;ExDivPct),ExDivTree!CV82+DivAmount*EXP(IntRate*(CV$2-ExDivPct)),ExDivTree!CV82))</f>
        <v>15.414840354300001</v>
      </c>
      <c r="CW82" s="17">
        <f>IF(CW$3="","",IF(AND(DivAs=2,CW$2&lt;ExDivPct),ExDivTree!CW82+DivAmount*EXP(IntRate*(CW$2-ExDivPct)),ExDivTree!CW82))</f>
        <v>15.8814870384</v>
      </c>
      <c r="CX82" s="17">
        <f>IF(CX$3="","",IF(AND(DivAs=2,CX$2&lt;ExDivPct),ExDivTree!CX82+DivAmount*EXP(IntRate*(CX$2-ExDivPct)),ExDivTree!CX82))</f>
        <v>16.3622603124</v>
      </c>
      <c r="CY82" s="17">
        <f>IF(CY$3="","",IF(AND(DivAs=2,CY$2&lt;ExDivPct),ExDivTree!CY82+DivAmount*EXP(IntRate*(CY$2-ExDivPct)),ExDivTree!CY82))</f>
        <v>16.857587824300001</v>
      </c>
      <c r="CZ82" s="17">
        <f>IF(CZ$3="","",IF(AND(DivAs=2,CZ$2&lt;ExDivPct),ExDivTree!CZ82+DivAmount*EXP(IntRate*(CZ$2-ExDivPct)),ExDivTree!CZ82))</f>
        <v>17.367910168200002</v>
      </c>
      <c r="DA82" s="17">
        <f>IF(DA$3="","",IF(AND(DivAs=2,DA$2&lt;ExDivPct),ExDivTree!DA82+DivAmount*EXP(IntRate*(DA$2-ExDivPct)),ExDivTree!DA82))</f>
        <v>17.893681275999999</v>
      </c>
      <c r="DB82" s="17">
        <f>IF(DB$3="","",IF(AND(DivAs=2,DB$2&lt;ExDivPct),ExDivTree!DB82+DivAmount*EXP(IntRate*(DB$2-ExDivPct)),ExDivTree!DB82))</f>
        <v>18.435368821400001</v>
      </c>
    </row>
    <row r="83" spans="1:106" x14ac:dyDescent="0.2">
      <c r="A83">
        <f>ExDivTree!A83</f>
        <v>9.3739082962397928E+21</v>
      </c>
      <c r="B83" s="71">
        <f>ExDivTree!B83</f>
        <v>3.6973548920152377E-9</v>
      </c>
      <c r="C83" s="71">
        <f>ExDivTree!C83</f>
        <v>3.1777877597707072E-9</v>
      </c>
      <c r="D83" s="177">
        <f>ExDivTree!D83</f>
        <v>79</v>
      </c>
      <c r="CF83" s="17">
        <f>IF(CF$3="","",IF(AND(DivAs=2,CF$2&lt;ExDivPct),ExDivTree!CF83+DivAmount*EXP(IntRate*(CF$2-ExDivPct)),ExDivTree!CF83))</f>
        <v>9.0116205085000001</v>
      </c>
      <c r="CG83" s="17">
        <f>IF(CG$3="","",IF(AND(DivAs=2,CG$2&lt;ExDivPct),ExDivTree!CG83+DivAmount*EXP(IntRate*(CG$2-ExDivPct)),ExDivTree!CG83))</f>
        <v>9.2844253336999998</v>
      </c>
      <c r="CH83" s="17">
        <f>IF(CH$3="","",IF(AND(DivAs=2,CH$2&lt;ExDivPct),ExDivTree!CH83+DivAmount*EXP(IntRate*(CH$2-ExDivPct)),ExDivTree!CH83))</f>
        <v>9.5654886593999997</v>
      </c>
      <c r="CI83" s="17">
        <f>IF(CI$3="","",IF(AND(DivAs=2,CI$2&lt;ExDivPct),ExDivTree!CI83+DivAmount*EXP(IntRate*(CI$2-ExDivPct)),ExDivTree!CI83))</f>
        <v>9.8550604915999998</v>
      </c>
      <c r="CJ83" s="17">
        <f>IF(CJ$3="","",IF(AND(DivAs=2,CJ$2&lt;ExDivPct),ExDivTree!CJ83+DivAmount*EXP(IntRate*(CJ$2-ExDivPct)),ExDivTree!CJ83))</f>
        <v>10.153398404600001</v>
      </c>
      <c r="CK83" s="17">
        <f>IF(CK$3="","",IF(AND(DivAs=2,CK$2&lt;ExDivPct),ExDivTree!CK83+DivAmount*EXP(IntRate*(CK$2-ExDivPct)),ExDivTree!CK83))</f>
        <v>10.46076777</v>
      </c>
      <c r="CL83" s="17">
        <f>IF(CL$3="","",IF(AND(DivAs=2,CL$2&lt;ExDivPct),ExDivTree!CL83+DivAmount*EXP(IntRate*(CL$2-ExDivPct)),ExDivTree!CL83))</f>
        <v>10.7774419931</v>
      </c>
      <c r="CM83" s="17">
        <f>IF(CM$3="","",IF(AND(DivAs=2,CM$2&lt;ExDivPct),ExDivTree!CM83+DivAmount*EXP(IntRate*(CM$2-ExDivPct)),ExDivTree!CM83))</f>
        <v>11.103702755700001</v>
      </c>
      <c r="CN83" s="17">
        <f>IF(CN$3="","",IF(AND(DivAs=2,CN$2&lt;ExDivPct),ExDivTree!CN83+DivAmount*EXP(IntRate*(CN$2-ExDivPct)),ExDivTree!CN83))</f>
        <v>11.439840266899999</v>
      </c>
      <c r="CO83" s="17">
        <f>IF(CO$3="","",IF(AND(DivAs=2,CO$2&lt;ExDivPct),ExDivTree!CO83+DivAmount*EXP(IntRate*(CO$2-ExDivPct)),ExDivTree!CO83))</f>
        <v>11.786153521199999</v>
      </c>
      <c r="CP83" s="17">
        <f>IF(CP$3="","",IF(AND(DivAs=2,CP$2&lt;ExDivPct),ExDivTree!CP83+DivAmount*EXP(IntRate*(CP$2-ExDivPct)),ExDivTree!CP83))</f>
        <v>12.1429505643</v>
      </c>
      <c r="CQ83" s="17">
        <f>IF(CQ$3="","",IF(AND(DivAs=2,CQ$2&lt;ExDivPct),ExDivTree!CQ83+DivAmount*EXP(IntRate*(CQ$2-ExDivPct)),ExDivTree!CQ83))</f>
        <v>12.5105487674</v>
      </c>
      <c r="CR83" s="17">
        <f>IF(CR$3="","",IF(AND(DivAs=2,CR$2&lt;ExDivPct),ExDivTree!CR83+DivAmount*EXP(IntRate*(CR$2-ExDivPct)),ExDivTree!CR83))</f>
        <v>12.8892751093</v>
      </c>
      <c r="CS83" s="17">
        <f>IF(CS$3="","",IF(AND(DivAs=2,CS$2&lt;ExDivPct),ExDivTree!CS83+DivAmount*EXP(IntRate*(CS$2-ExDivPct)),ExDivTree!CS83))</f>
        <v>13.279466467200001</v>
      </c>
      <c r="CT83" s="17">
        <f>IF(CT$3="","",IF(AND(DivAs=2,CT$2&lt;ExDivPct),ExDivTree!CT83+DivAmount*EXP(IntRate*(CT$2-ExDivPct)),ExDivTree!CT83))</f>
        <v>13.681469916499999</v>
      </c>
      <c r="CU83" s="17">
        <f>IF(CU$3="","",IF(AND(DivAs=2,CU$2&lt;ExDivPct),ExDivTree!CU83+DivAmount*EXP(IntRate*(CU$2-ExDivPct)),ExDivTree!CU83))</f>
        <v>14.095643039500001</v>
      </c>
      <c r="CV83" s="17">
        <f>IF(CV$3="","",IF(AND(DivAs=2,CV$2&lt;ExDivPct),ExDivTree!CV83+DivAmount*EXP(IntRate*(CV$2-ExDivPct)),ExDivTree!CV83))</f>
        <v>14.522354243300001</v>
      </c>
      <c r="CW83" s="17">
        <f>IF(CW$3="","",IF(AND(DivAs=2,CW$2&lt;ExDivPct),ExDivTree!CW83+DivAmount*EXP(IntRate*(CW$2-ExDivPct)),ExDivTree!CW83))</f>
        <v>14.9619830878</v>
      </c>
      <c r="CX83" s="17">
        <f>IF(CX$3="","",IF(AND(DivAs=2,CX$2&lt;ExDivPct),ExDivTree!CX83+DivAmount*EXP(IntRate*(CX$2-ExDivPct)),ExDivTree!CX83))</f>
        <v>15.414920623</v>
      </c>
      <c r="CY83" s="17">
        <f>IF(CY$3="","",IF(AND(DivAs=2,CY$2&lt;ExDivPct),ExDivTree!CY83+DivAmount*EXP(IntRate*(CY$2-ExDivPct)),ExDivTree!CY83))</f>
        <v>15.881569737</v>
      </c>
      <c r="CZ83" s="17">
        <f>IF(CZ$3="","",IF(AND(DivAs=2,CZ$2&lt;ExDivPct),ExDivTree!CZ83+DivAmount*EXP(IntRate*(CZ$2-ExDivPct)),ExDivTree!CZ83))</f>
        <v>16.362345514499999</v>
      </c>
      <c r="DA83" s="17">
        <f>IF(DA$3="","",IF(AND(DivAs=2,DA$2&lt;ExDivPct),ExDivTree!DA83+DivAmount*EXP(IntRate*(DA$2-ExDivPct)),ExDivTree!DA83))</f>
        <v>16.857675605699999</v>
      </c>
      <c r="DB83" s="17">
        <f>IF(DB$3="","",IF(AND(DivAs=2,DB$2&lt;ExDivPct),ExDivTree!DB83+DivAmount*EXP(IntRate*(DB$2-ExDivPct)),ExDivTree!DB83))</f>
        <v>17.368000606900001</v>
      </c>
    </row>
    <row r="84" spans="1:106" x14ac:dyDescent="0.2">
      <c r="A84">
        <f>ExDivTree!A84</f>
        <v>2.5778247814659425E+21</v>
      </c>
      <c r="B84" s="71">
        <f>ExDivTree!B84</f>
        <v>1.0167725953041902E-9</v>
      </c>
      <c r="C84" s="71">
        <f>ExDivTree!C84</f>
        <v>8.6927141791597537E-10</v>
      </c>
      <c r="D84" s="177">
        <f>ExDivTree!D84</f>
        <v>80</v>
      </c>
      <c r="CG84" s="17">
        <f>IF(CG$3="","",IF(AND(DivAs=2,CG$2&lt;ExDivPct),ExDivTree!CG84+DivAmount*EXP(IntRate*(CG$2-ExDivPct)),ExDivTree!CG84))</f>
        <v>8.7468770707000001</v>
      </c>
      <c r="CH84" s="17">
        <f>IF(CH$3="","",IF(AND(DivAs=2,CH$2&lt;ExDivPct),ExDivTree!CH84+DivAmount*EXP(IntRate*(CH$2-ExDivPct)),ExDivTree!CH84))</f>
        <v>9.0116674341999996</v>
      </c>
      <c r="CI84" s="17">
        <f>IF(CI$3="","",IF(AND(DivAs=2,CI$2&lt;ExDivPct),ExDivTree!CI84+DivAmount*EXP(IntRate*(CI$2-ExDivPct)),ExDivTree!CI84))</f>
        <v>9.2844736799999996</v>
      </c>
      <c r="CJ84" s="17">
        <f>IF(CJ$3="","",IF(AND(DivAs=2,CJ$2&lt;ExDivPct),ExDivTree!CJ84+DivAmount*EXP(IntRate*(CJ$2-ExDivPct)),ExDivTree!CJ84))</f>
        <v>9.5655384692999998</v>
      </c>
      <c r="CK84" s="17">
        <f>IF(CK$3="","",IF(AND(DivAs=2,CK$2&lt;ExDivPct),ExDivTree!CK84+DivAmount*EXP(IntRate*(CK$2-ExDivPct)),ExDivTree!CK84))</f>
        <v>9.8551118094000003</v>
      </c>
      <c r="CL84" s="17">
        <f>IF(CL$3="","",IF(AND(DivAs=2,CL$2&lt;ExDivPct),ExDivTree!CL84+DivAmount*EXP(IntRate*(CL$2-ExDivPct)),ExDivTree!CL84))</f>
        <v>10.1534512759</v>
      </c>
      <c r="CM84" s="17">
        <f>IF(CM$3="","",IF(AND(DivAs=2,CM$2&lt;ExDivPct),ExDivTree!CM84+DivAmount*EXP(IntRate*(CM$2-ExDivPct)),ExDivTree!CM84))</f>
        <v>10.460822241900001</v>
      </c>
      <c r="CN84" s="17">
        <f>IF(CN$3="","",IF(AND(DivAs=2,CN$2&lt;ExDivPct),ExDivTree!CN84+DivAmount*EXP(IntRate*(CN$2-ExDivPct)),ExDivTree!CN84))</f>
        <v>10.777498114</v>
      </c>
      <c r="CO84" s="17">
        <f>IF(CO$3="","",IF(AND(DivAs=2,CO$2&lt;ExDivPct),ExDivTree!CO84+DivAmount*EXP(IntRate*(CO$2-ExDivPct)),ExDivTree!CO84))</f>
        <v>11.103760575500001</v>
      </c>
      <c r="CP84" s="17">
        <f>IF(CP$3="","",IF(AND(DivAs=2,CP$2&lt;ExDivPct),ExDivTree!CP84+DivAmount*EXP(IntRate*(CP$2-ExDivPct)),ExDivTree!CP84))</f>
        <v>11.439899837</v>
      </c>
      <c r="CQ84" s="17">
        <f>IF(CQ$3="","",IF(AND(DivAs=2,CQ$2&lt;ExDivPct),ExDivTree!CQ84+DivAmount*EXP(IntRate*(CQ$2-ExDivPct)),ExDivTree!CQ84))</f>
        <v>11.7862148946</v>
      </c>
      <c r="CR84" s="17">
        <f>IF(CR$3="","",IF(AND(DivAs=2,CR$2&lt;ExDivPct),ExDivTree!CR84+DivAmount*EXP(IntRate*(CR$2-ExDivPct)),ExDivTree!CR84))</f>
        <v>12.1430137957</v>
      </c>
      <c r="CS84" s="17">
        <f>IF(CS$3="","",IF(AND(DivAs=2,CS$2&lt;ExDivPct),ExDivTree!CS84+DivAmount*EXP(IntRate*(CS$2-ExDivPct)),ExDivTree!CS84))</f>
        <v>12.510613913</v>
      </c>
      <c r="CT84" s="17">
        <f>IF(CT$3="","",IF(AND(DivAs=2,CT$2&lt;ExDivPct),ExDivTree!CT84+DivAmount*EXP(IntRate*(CT$2-ExDivPct)),ExDivTree!CT84))</f>
        <v>12.889342227</v>
      </c>
      <c r="CU84" s="17">
        <f>IF(CU$3="","",IF(AND(DivAs=2,CU$2&lt;ExDivPct),ExDivTree!CU84+DivAmount*EXP(IntRate*(CU$2-ExDivPct)),ExDivTree!CU84))</f>
        <v>13.2795356168</v>
      </c>
      <c r="CV84" s="17">
        <f>IF(CV$3="","",IF(AND(DivAs=2,CV$2&lt;ExDivPct),ExDivTree!CV84+DivAmount*EXP(IntRate*(CV$2-ExDivPct)),ExDivTree!CV84))</f>
        <v>13.6815411595</v>
      </c>
      <c r="CW84" s="17">
        <f>IF(CW$3="","",IF(AND(DivAs=2,CW$2&lt;ExDivPct),ExDivTree!CW84+DivAmount*EXP(IntRate*(CW$2-ExDivPct)),ExDivTree!CW84))</f>
        <v>14.0957164392</v>
      </c>
      <c r="CX84" s="17">
        <f>IF(CX$3="","",IF(AND(DivAs=2,CX$2&lt;ExDivPct),ExDivTree!CX84+DivAmount*EXP(IntRate*(CX$2-ExDivPct)),ExDivTree!CX84))</f>
        <v>14.522429864999999</v>
      </c>
      <c r="CY84" s="17">
        <f>IF(CY$3="","",IF(AND(DivAs=2,CY$2&lt;ExDivPct),ExDivTree!CY84+DivAmount*EXP(IntRate*(CY$2-ExDivPct)),ExDivTree!CY84))</f>
        <v>14.9620609987</v>
      </c>
      <c r="CZ84" s="17">
        <f>IF(CZ$3="","",IF(AND(DivAs=2,CZ$2&lt;ExDivPct),ExDivTree!CZ84+DivAmount*EXP(IntRate*(CZ$2-ExDivPct)),ExDivTree!CZ84))</f>
        <v>15.4150008924</v>
      </c>
      <c r="DA84" s="17">
        <f>IF(DA$3="","",IF(AND(DivAs=2,DA$2&lt;ExDivPct),ExDivTree!DA84+DivAmount*EXP(IntRate*(DA$2-ExDivPct)),ExDivTree!DA84))</f>
        <v>15.8816524364</v>
      </c>
      <c r="DB84" s="17">
        <f>IF(DB$3="","",IF(AND(DivAs=2,DB$2&lt;ExDivPct),ExDivTree!DB84+DivAmount*EXP(IntRate*(DB$2-ExDivPct)),ExDivTree!DB84))</f>
        <v>16.362430717399999</v>
      </c>
    </row>
    <row r="85" spans="1:106" x14ac:dyDescent="0.2">
      <c r="A85">
        <f>ExDivTree!A85</f>
        <v>6.6832494334302211E+20</v>
      </c>
      <c r="B85" s="71">
        <f>ExDivTree!B85</f>
        <v>2.6360770989367893E-10</v>
      </c>
      <c r="C85" s="71">
        <f>ExDivTree!C85</f>
        <v>2.2417516300091042E-10</v>
      </c>
      <c r="D85" s="177">
        <f>ExDivTree!D85</f>
        <v>81</v>
      </c>
      <c r="CH85" s="17">
        <f>IF(CH$3="","",IF(AND(DivAs=2,CH$2&lt;ExDivPct),ExDivTree!CH85+DivAmount*EXP(IntRate*(CH$2-ExDivPct)),ExDivTree!CH85))</f>
        <v>8.4899112671000001</v>
      </c>
      <c r="CI85" s="17">
        <f>IF(CI$3="","",IF(AND(DivAs=2,CI$2&lt;ExDivPct),ExDivTree!CI85+DivAmount*EXP(IntRate*(CI$2-ExDivPct)),ExDivTree!CI85))</f>
        <v>8.7469226177999992</v>
      </c>
      <c r="CJ85" s="17">
        <f>IF(CJ$3="","",IF(AND(DivAs=2,CJ$2&lt;ExDivPct),ExDivTree!CJ85+DivAmount*EXP(IntRate*(CJ$2-ExDivPct)),ExDivTree!CJ85))</f>
        <v>9.0117143601999992</v>
      </c>
      <c r="CK85" s="17">
        <f>IF(CK$3="","",IF(AND(DivAs=2,CK$2&lt;ExDivPct),ExDivTree!CK85+DivAmount*EXP(IntRate*(CK$2-ExDivPct)),ExDivTree!CK85))</f>
        <v>9.2845220264999995</v>
      </c>
      <c r="CL85" s="17">
        <f>IF(CL$3="","",IF(AND(DivAs=2,CL$2&lt;ExDivPct),ExDivTree!CL85+DivAmount*EXP(IntRate*(CL$2-ExDivPct)),ExDivTree!CL85))</f>
        <v>9.5655882794</v>
      </c>
      <c r="CM85" s="17">
        <f>IF(CM$3="","",IF(AND(DivAs=2,CM$2&lt;ExDivPct),ExDivTree!CM85+DivAmount*EXP(IntRate*(CM$2-ExDivPct)),ExDivTree!CM85))</f>
        <v>9.8551631274000009</v>
      </c>
      <c r="CN85" s="17">
        <f>IF(CN$3="","",IF(AND(DivAs=2,CN$2&lt;ExDivPct),ExDivTree!CN85+DivAmount*EXP(IntRate*(CN$2-ExDivPct)),ExDivTree!CN85))</f>
        <v>10.1535041474</v>
      </c>
      <c r="CO85" s="17">
        <f>IF(CO$3="","",IF(AND(DivAs=2,CO$2&lt;ExDivPct),ExDivTree!CO85+DivAmount*EXP(IntRate*(CO$2-ExDivPct)),ExDivTree!CO85))</f>
        <v>10.460876713899999</v>
      </c>
      <c r="CP85" s="17">
        <f>IF(CP$3="","",IF(AND(DivAs=2,CP$2&lt;ExDivPct),ExDivTree!CP85+DivAmount*EXP(IntRate*(CP$2-ExDivPct)),ExDivTree!CP85))</f>
        <v>10.777554235</v>
      </c>
      <c r="CQ85" s="17">
        <f>IF(CQ$3="","",IF(AND(DivAs=2,CQ$2&lt;ExDivPct),ExDivTree!CQ85+DivAmount*EXP(IntRate*(CQ$2-ExDivPct)),ExDivTree!CQ85))</f>
        <v>11.103818395399999</v>
      </c>
      <c r="CR85" s="17">
        <f>IF(CR$3="","",IF(AND(DivAs=2,CR$2&lt;ExDivPct),ExDivTree!CR85+DivAmount*EXP(IntRate*(CR$2-ExDivPct)),ExDivTree!CR85))</f>
        <v>11.4399594073</v>
      </c>
      <c r="CS85" s="17">
        <f>IF(CS$3="","",IF(AND(DivAs=2,CS$2&lt;ExDivPct),ExDivTree!CS85+DivAmount*EXP(IntRate*(CS$2-ExDivPct)),ExDivTree!CS85))</f>
        <v>11.7862762683</v>
      </c>
      <c r="CT85" s="17">
        <f>IF(CT$3="","",IF(AND(DivAs=2,CT$2&lt;ExDivPct),ExDivTree!CT85+DivAmount*EXP(IntRate*(CT$2-ExDivPct)),ExDivTree!CT85))</f>
        <v>12.1430770273</v>
      </c>
      <c r="CU85" s="17">
        <f>IF(CU$3="","",IF(AND(DivAs=2,CU$2&lt;ExDivPct),ExDivTree!CU85+DivAmount*EXP(IntRate*(CU$2-ExDivPct)),ExDivTree!CU85))</f>
        <v>12.510679058799999</v>
      </c>
      <c r="CV85" s="17">
        <f>IF(CV$3="","",IF(AND(DivAs=2,CV$2&lt;ExDivPct),ExDivTree!CV85+DivAmount*EXP(IntRate*(CV$2-ExDivPct)),ExDivTree!CV85))</f>
        <v>12.889409345000001</v>
      </c>
      <c r="CW85" s="17">
        <f>IF(CW$3="","",IF(AND(DivAs=2,CW$2&lt;ExDivPct),ExDivTree!CW85+DivAmount*EXP(IntRate*(CW$2-ExDivPct)),ExDivTree!CW85))</f>
        <v>13.2796047666</v>
      </c>
      <c r="CX85" s="17">
        <f>IF(CX$3="","",IF(AND(DivAs=2,CX$2&lt;ExDivPct),ExDivTree!CX85+DivAmount*EXP(IntRate*(CX$2-ExDivPct)),ExDivTree!CX85))</f>
        <v>13.681612402600001</v>
      </c>
      <c r="CY85" s="17">
        <f>IF(CY$3="","",IF(AND(DivAs=2,CY$2&lt;ExDivPct),ExDivTree!CY85+DivAmount*EXP(IntRate*(CY$2-ExDivPct)),ExDivTree!CY85))</f>
        <v>14.095789839</v>
      </c>
      <c r="CZ85" s="17">
        <f>IF(CZ$3="","",IF(AND(DivAs=2,CZ$2&lt;ExDivPct),ExDivTree!CZ85+DivAmount*EXP(IntRate*(CZ$2-ExDivPct)),ExDivTree!CZ85))</f>
        <v>14.5225054868</v>
      </c>
      <c r="DA85" s="17">
        <f>IF(DA$3="","",IF(AND(DivAs=2,DA$2&lt;ExDivPct),ExDivTree!DA85+DivAmount*EXP(IntRate*(DA$2-ExDivPct)),ExDivTree!DA85))</f>
        <v>14.9621389098</v>
      </c>
      <c r="DB85" s="17">
        <f>IF(DB$3="","",IF(AND(DivAs=2,DB$2&lt;ExDivPct),ExDivTree!DB85+DivAmount*EXP(IntRate*(DB$2-ExDivPct)),ExDivTree!DB85))</f>
        <v>15.4150811621</v>
      </c>
    </row>
    <row r="86" spans="1:106" x14ac:dyDescent="0.2">
      <c r="A86">
        <f>ExDivTree!A86</f>
        <v>1.6300608374220046E+20</v>
      </c>
      <c r="B86" s="71">
        <f>ExDivTree!B86</f>
        <v>6.4294563388702157E-11</v>
      </c>
      <c r="C86" s="71">
        <f>ExDivTree!C86</f>
        <v>5.4387795486848943E-11</v>
      </c>
      <c r="D86" s="177">
        <f>ExDivTree!D86</f>
        <v>82</v>
      </c>
      <c r="CI86" s="17">
        <f>IF(CI$3="","",IF(AND(DivAs=2,CI$2&lt;ExDivPct),ExDivTree!CI86+DivAmount*EXP(IntRate*(CI$2-ExDivPct)),ExDivTree!CI86))</f>
        <v>8.2404946063000004</v>
      </c>
      <c r="CJ86" s="17">
        <f>IF(CJ$3="","",IF(AND(DivAs=2,CJ$2&lt;ExDivPct),ExDivTree!CJ86+DivAmount*EXP(IntRate*(CJ$2-ExDivPct)),ExDivTree!CJ86))</f>
        <v>8.4899554761000005</v>
      </c>
      <c r="CK86" s="17">
        <f>IF(CK$3="","",IF(AND(DivAs=2,CK$2&lt;ExDivPct),ExDivTree!CK86+DivAmount*EXP(IntRate*(CK$2-ExDivPct)),ExDivTree!CK86))</f>
        <v>8.7469681652000002</v>
      </c>
      <c r="CL86" s="17">
        <f>IF(CL$3="","",IF(AND(DivAs=2,CL$2&lt;ExDivPct),ExDivTree!CL86+DivAmount*EXP(IntRate*(CL$2-ExDivPct)),ExDivTree!CL86))</f>
        <v>9.0117612864000005</v>
      </c>
      <c r="CM86" s="17">
        <f>IF(CM$3="","",IF(AND(DivAs=2,CM$2&lt;ExDivPct),ExDivTree!CM86+DivAmount*EXP(IntRate*(CM$2-ExDivPct)),ExDivTree!CM86))</f>
        <v>9.2845703732999993</v>
      </c>
      <c r="CN86" s="17">
        <f>IF(CN$3="","",IF(AND(DivAs=2,CN$2&lt;ExDivPct),ExDivTree!CN86+DivAmount*EXP(IntRate*(CN$2-ExDivPct)),ExDivTree!CN86))</f>
        <v>9.5656380898000002</v>
      </c>
      <c r="CO86" s="17">
        <f>IF(CO$3="","",IF(AND(DivAs=2,CO$2&lt;ExDivPct),ExDivTree!CO86+DivAmount*EXP(IntRate*(CO$2-ExDivPct)),ExDivTree!CO86))</f>
        <v>9.8552144456999997</v>
      </c>
      <c r="CP86" s="17">
        <f>IF(CP$3="","",IF(AND(DivAs=2,CP$2&lt;ExDivPct),ExDivTree!CP86+DivAmount*EXP(IntRate*(CP$2-ExDivPct)),ExDivTree!CP86))</f>
        <v>10.153557019200001</v>
      </c>
      <c r="CQ86" s="17">
        <f>IF(CQ$3="","",IF(AND(DivAs=2,CQ$2&lt;ExDivPct),ExDivTree!CQ86+DivAmount*EXP(IntRate*(CQ$2-ExDivPct)),ExDivTree!CQ86))</f>
        <v>10.4609311863</v>
      </c>
      <c r="CR86" s="17">
        <f>IF(CR$3="","",IF(AND(DivAs=2,CR$2&lt;ExDivPct),ExDivTree!CR86+DivAmount*EXP(IntRate*(CR$2-ExDivPct)),ExDivTree!CR86))</f>
        <v>10.7776103564</v>
      </c>
      <c r="CS86" s="17">
        <f>IF(CS$3="","",IF(AND(DivAs=2,CS$2&lt;ExDivPct),ExDivTree!CS86+DivAmount*EXP(IntRate*(CS$2-ExDivPct)),ExDivTree!CS86))</f>
        <v>11.1038762158</v>
      </c>
      <c r="CT86" s="17">
        <f>IF(CT$3="","",IF(AND(DivAs=2,CT$2&lt;ExDivPct),ExDivTree!CT86+DivAmount*EXP(IntRate*(CT$2-ExDivPct)),ExDivTree!CT86))</f>
        <v>11.440018978099999</v>
      </c>
      <c r="CU86" s="17">
        <f>IF(CU$3="","",IF(AND(DivAs=2,CU$2&lt;ExDivPct),ExDivTree!CU86+DivAmount*EXP(IntRate*(CU$2-ExDivPct)),ExDivTree!CU86))</f>
        <v>11.786337642399999</v>
      </c>
      <c r="CV86" s="17">
        <f>IF(CV$3="","",IF(AND(DivAs=2,CV$2&lt;ExDivPct),ExDivTree!CV86+DivAmount*EXP(IntRate*(CV$2-ExDivPct)),ExDivTree!CV86))</f>
        <v>12.143140259400001</v>
      </c>
      <c r="CW86" s="17">
        <f>IF(CW$3="","",IF(AND(DivAs=2,CW$2&lt;ExDivPct),ExDivTree!CW86+DivAmount*EXP(IntRate*(CW$2-ExDivPct)),ExDivTree!CW86))</f>
        <v>12.5107442051</v>
      </c>
      <c r="CX86" s="17">
        <f>IF(CX$3="","",IF(AND(DivAs=2,CX$2&lt;ExDivPct),ExDivTree!CX86+DivAmount*EXP(IntRate*(CX$2-ExDivPct)),ExDivTree!CX86))</f>
        <v>12.889476463399999</v>
      </c>
      <c r="CY86" s="17">
        <f>IF(CY$3="","",IF(AND(DivAs=2,CY$2&lt;ExDivPct),ExDivTree!CY86+DivAmount*EXP(IntRate*(CY$2-ExDivPct)),ExDivTree!CY86))</f>
        <v>13.2796739168</v>
      </c>
      <c r="CZ86" s="17">
        <f>IF(CZ$3="","",IF(AND(DivAs=2,CZ$2&lt;ExDivPct),ExDivTree!CZ86+DivAmount*EXP(IntRate*(CZ$2-ExDivPct)),ExDivTree!CZ86))</f>
        <v>13.6816836462</v>
      </c>
      <c r="DA86" s="17">
        <f>IF(DA$3="","",IF(AND(DivAs=2,DA$2&lt;ExDivPct),ExDivTree!DA86+DivAmount*EXP(IntRate*(DA$2-ExDivPct)),ExDivTree!DA86))</f>
        <v>14.0958632393</v>
      </c>
      <c r="DB86" s="17">
        <f>IF(DB$3="","",IF(AND(DivAs=2,DB$2&lt;ExDivPct),ExDivTree!DB86+DivAmount*EXP(IntRate*(DB$2-ExDivPct)),ExDivTree!DB86))</f>
        <v>14.522581109100001</v>
      </c>
    </row>
    <row r="87" spans="1:106" x14ac:dyDescent="0.2">
      <c r="A87">
        <f>ExDivTree!A87</f>
        <v>3.7314645675925398E+19</v>
      </c>
      <c r="B87" s="71">
        <f>ExDivTree!B87</f>
        <v>1.4718032582955911E-11</v>
      </c>
      <c r="C87" s="71">
        <f>ExDivTree!C87</f>
        <v>1.2384394638897007E-11</v>
      </c>
      <c r="D87" s="177">
        <f>ExDivTree!D87</f>
        <v>83</v>
      </c>
      <c r="CJ87" s="17">
        <f>IF(CJ$3="","",IF(AND(DivAs=2,CJ$2&lt;ExDivPct),ExDivTree!CJ87+DivAmount*EXP(IntRate*(CJ$2-ExDivPct)),ExDivTree!CJ87))</f>
        <v>7.9984053095999998</v>
      </c>
      <c r="CK87" s="17">
        <f>IF(CK$3="","",IF(AND(DivAs=2,CK$2&lt;ExDivPct),ExDivTree!CK87+DivAmount*EXP(IntRate*(CK$2-ExDivPct)),ExDivTree!CK87))</f>
        <v>8.2405375165999999</v>
      </c>
      <c r="CL87" s="17">
        <f>IF(CL$3="","",IF(AND(DivAs=2,CL$2&lt;ExDivPct),ExDivTree!CL87+DivAmount*EXP(IntRate*(CL$2-ExDivPct)),ExDivTree!CL87))</f>
        <v>8.4899996854000008</v>
      </c>
      <c r="CM87" s="17">
        <f>IF(CM$3="","",IF(AND(DivAs=2,CM$2&lt;ExDivPct),ExDivTree!CM87+DivAmount*EXP(IntRate*(CM$2-ExDivPct)),ExDivTree!CM87))</f>
        <v>8.7470137127999994</v>
      </c>
      <c r="CN87" s="17">
        <f>IF(CN$3="","",IF(AND(DivAs=2,CN$2&lt;ExDivPct),ExDivTree!CN87+DivAmount*EXP(IntRate*(CN$2-ExDivPct)),ExDivTree!CN87))</f>
        <v>9.0118082128000001</v>
      </c>
      <c r="CO87" s="17">
        <f>IF(CO$3="","",IF(AND(DivAs=2,CO$2&lt;ExDivPct),ExDivTree!CO87+DivAmount*EXP(IntRate*(CO$2-ExDivPct)),ExDivTree!CO87))</f>
        <v>9.2846187202999992</v>
      </c>
      <c r="CP87" s="17">
        <f>IF(CP$3="","",IF(AND(DivAs=2,CP$2&lt;ExDivPct),ExDivTree!CP87+DivAmount*EXP(IntRate*(CP$2-ExDivPct)),ExDivTree!CP87))</f>
        <v>9.5656879003000004</v>
      </c>
      <c r="CQ87" s="17">
        <f>IF(CQ$3="","",IF(AND(DivAs=2,CQ$2&lt;ExDivPct),ExDivTree!CQ87+DivAmount*EXP(IntRate*(CQ$2-ExDivPct)),ExDivTree!CQ87))</f>
        <v>9.8552657640000003</v>
      </c>
      <c r="CR87" s="17">
        <f>IF(CR$3="","",IF(AND(DivAs=2,CR$2&lt;ExDivPct),ExDivTree!CR87+DivAmount*EXP(IntRate*(CR$2-ExDivPct)),ExDivTree!CR87))</f>
        <v>10.1536098911</v>
      </c>
      <c r="CS87" s="17">
        <f>IF(CS$3="","",IF(AND(DivAs=2,CS$2&lt;ExDivPct),ExDivTree!CS87+DivAmount*EXP(IntRate*(CS$2-ExDivPct)),ExDivTree!CS87))</f>
        <v>10.4609856588</v>
      </c>
      <c r="CT87" s="17">
        <f>IF(CT$3="","",IF(AND(DivAs=2,CT$2&lt;ExDivPct),ExDivTree!CT87+DivAmount*EXP(IntRate*(CT$2-ExDivPct)),ExDivTree!CT87))</f>
        <v>10.7776664779</v>
      </c>
      <c r="CU87" s="17">
        <f>IF(CU$3="","",IF(AND(DivAs=2,CU$2&lt;ExDivPct),ExDivTree!CU87+DivAmount*EXP(IntRate*(CU$2-ExDivPct)),ExDivTree!CU87))</f>
        <v>11.1039340362</v>
      </c>
      <c r="CV87" s="17">
        <f>IF(CV$3="","",IF(AND(DivAs=2,CV$2&lt;ExDivPct),ExDivTree!CV87+DivAmount*EXP(IntRate*(CV$2-ExDivPct)),ExDivTree!CV87))</f>
        <v>11.440078548800001</v>
      </c>
      <c r="CW87" s="17">
        <f>IF(CW$3="","",IF(AND(DivAs=2,CW$2&lt;ExDivPct),ExDivTree!CW87+DivAmount*EXP(IntRate*(CW$2-ExDivPct)),ExDivTree!CW87))</f>
        <v>11.786399016500001</v>
      </c>
      <c r="CX87" s="17">
        <f>IF(CX$3="","",IF(AND(DivAs=2,CX$2&lt;ExDivPct),ExDivTree!CX87+DivAmount*EXP(IntRate*(CX$2-ExDivPct)),ExDivTree!CX87))</f>
        <v>12.1432034914</v>
      </c>
      <c r="CY87" s="17">
        <f>IF(CY$3="","",IF(AND(DivAs=2,CY$2&lt;ExDivPct),ExDivTree!CY87+DivAmount*EXP(IntRate*(CY$2-ExDivPct)),ExDivTree!CY87))</f>
        <v>12.510809351300001</v>
      </c>
      <c r="CZ87" s="17">
        <f>IF(CZ$3="","",IF(AND(DivAs=2,CZ$2&lt;ExDivPct),ExDivTree!CZ87+DivAmount*EXP(IntRate*(CZ$2-ExDivPct)),ExDivTree!CZ87))</f>
        <v>12.8895435817</v>
      </c>
      <c r="DA87" s="17">
        <f>IF(DA$3="","",IF(AND(DivAs=2,DA$2&lt;ExDivPct),ExDivTree!DA87+DivAmount*EXP(IntRate*(DA$2-ExDivPct)),ExDivTree!DA87))</f>
        <v>13.279743067</v>
      </c>
      <c r="DB87" s="17">
        <f>IF(DB$3="","",IF(AND(DivAs=2,DB$2&lt;ExDivPct),ExDivTree!DB87+DivAmount*EXP(IntRate*(DB$2-ExDivPct)),ExDivTree!DB87))</f>
        <v>13.681754889700001</v>
      </c>
    </row>
    <row r="88" spans="1:106" x14ac:dyDescent="0.2">
      <c r="A88">
        <f>ExDivTree!A88</f>
        <v>7.9959955019840215E+18</v>
      </c>
      <c r="B88" s="71">
        <f>ExDivTree!B88</f>
        <v>3.153864124919127E-12</v>
      </c>
      <c r="C88" s="71">
        <f>ExDivTree!C88</f>
        <v>2.6397683656119068E-12</v>
      </c>
      <c r="D88" s="177">
        <f>ExDivTree!D88</f>
        <v>84</v>
      </c>
      <c r="CK88" s="17">
        <f>IF(CK$3="","",IF(AND(DivAs=2,CK$2&lt;ExDivPct),ExDivTree!CK88+DivAmount*EXP(IntRate*(CK$2-ExDivPct)),ExDivTree!CK88))</f>
        <v>7.7634281135999998</v>
      </c>
      <c r="CL88" s="17">
        <f>IF(CL$3="","",IF(AND(DivAs=2,CL$2&lt;ExDivPct),ExDivTree!CL88+DivAmount*EXP(IntRate*(CL$2-ExDivPct)),ExDivTree!CL88))</f>
        <v>7.9984469592999998</v>
      </c>
      <c r="CM88" s="17">
        <f>IF(CM$3="","",IF(AND(DivAs=2,CM$2&lt;ExDivPct),ExDivTree!CM88+DivAmount*EXP(IntRate*(CM$2-ExDivPct)),ExDivTree!CM88))</f>
        <v>8.2405804271999994</v>
      </c>
      <c r="CN88" s="17">
        <f>IF(CN$3="","",IF(AND(DivAs=2,CN$2&lt;ExDivPct),ExDivTree!CN88+DivAmount*EXP(IntRate*(CN$2-ExDivPct)),ExDivTree!CN88))</f>
        <v>8.4900438950999995</v>
      </c>
      <c r="CO88" s="17">
        <f>IF(CO$3="","",IF(AND(DivAs=2,CO$2&lt;ExDivPct),ExDivTree!CO88+DivAmount*EXP(IntRate*(CO$2-ExDivPct)),ExDivTree!CO88))</f>
        <v>8.7470592608000004</v>
      </c>
      <c r="CP88" s="17">
        <f>IF(CP$3="","",IF(AND(DivAs=2,CP$2&lt;ExDivPct),ExDivTree!CP88+DivAmount*EXP(IntRate*(CP$2-ExDivPct)),ExDivTree!CP88))</f>
        <v>9.0118551396999997</v>
      </c>
      <c r="CQ88" s="17">
        <f>IF(CQ$3="","",IF(AND(DivAs=2,CQ$2&lt;ExDivPct),ExDivTree!CQ88+DivAmount*EXP(IntRate*(CQ$2-ExDivPct)),ExDivTree!CQ88))</f>
        <v>9.2846670677999992</v>
      </c>
      <c r="CR88" s="17">
        <f>IF(CR$3="","",IF(AND(DivAs=2,CR$2&lt;ExDivPct),ExDivTree!CR88+DivAmount*EXP(IntRate*(CR$2-ExDivPct)),ExDivTree!CR88))</f>
        <v>9.5657377114000006</v>
      </c>
      <c r="CS88" s="17">
        <f>IF(CS$3="","",IF(AND(DivAs=2,CS$2&lt;ExDivPct),ExDivTree!CS88+DivAmount*EXP(IntRate*(CS$2-ExDivPct)),ExDivTree!CS88))</f>
        <v>9.8553170830999992</v>
      </c>
      <c r="CT88" s="17">
        <f>IF(CT$3="","",IF(AND(DivAs=2,CT$2&lt;ExDivPct),ExDivTree!CT88+DivAmount*EXP(IntRate*(CT$2-ExDivPct)),ExDivTree!CT88))</f>
        <v>10.1536627637</v>
      </c>
      <c r="CU88" s="17">
        <f>IF(CU$3="","",IF(AND(DivAs=2,CU$2&lt;ExDivPct),ExDivTree!CU88+DivAmount*EXP(IntRate*(CU$2-ExDivPct)),ExDivTree!CU88))</f>
        <v>10.461040131900001</v>
      </c>
      <c r="CV88" s="17">
        <f>IF(CV$3="","",IF(AND(DivAs=2,CV$2&lt;ExDivPct),ExDivTree!CV88+DivAmount*EXP(IntRate*(CV$2-ExDivPct)),ExDivTree!CV88))</f>
        <v>10.777722600100001</v>
      </c>
      <c r="CW88" s="17">
        <f>IF(CW$3="","",IF(AND(DivAs=2,CW$2&lt;ExDivPct),ExDivTree!CW88+DivAmount*EXP(IntRate*(CW$2-ExDivPct)),ExDivTree!CW88))</f>
        <v>11.1039918574</v>
      </c>
      <c r="CX88" s="17">
        <f>IF(CX$3="","",IF(AND(DivAs=2,CX$2&lt;ExDivPct),ExDivTree!CX88+DivAmount*EXP(IntRate*(CX$2-ExDivPct)),ExDivTree!CX88))</f>
        <v>11.4401381204</v>
      </c>
      <c r="CY88" s="17">
        <f>IF(CY$3="","",IF(AND(DivAs=2,CY$2&lt;ExDivPct),ExDivTree!CY88+DivAmount*EXP(IntRate*(CY$2-ExDivPct)),ExDivTree!CY88))</f>
        <v>11.7864603915</v>
      </c>
      <c r="CZ88" s="17">
        <f>IF(CZ$3="","",IF(AND(DivAs=2,CZ$2&lt;ExDivPct),ExDivTree!CZ88+DivAmount*EXP(IntRate*(CZ$2-ExDivPct)),ExDivTree!CZ88))</f>
        <v>12.1432667244</v>
      </c>
      <c r="DA88" s="17">
        <f>IF(DA$3="","",IF(AND(DivAs=2,DA$2&lt;ExDivPct),ExDivTree!DA88+DivAmount*EXP(IntRate*(DA$2-ExDivPct)),ExDivTree!DA88))</f>
        <v>12.5108744985</v>
      </c>
      <c r="DB88" s="17">
        <f>IF(DB$3="","",IF(AND(DivAs=2,DB$2&lt;ExDivPct),ExDivTree!DB88+DivAmount*EXP(IntRate*(DB$2-ExDivPct)),ExDivTree!DB88))</f>
        <v>12.889610701100001</v>
      </c>
    </row>
    <row r="89" spans="1:106" x14ac:dyDescent="0.2">
      <c r="A89">
        <f>ExDivTree!A89</f>
        <v>1.5991991003968033E+18</v>
      </c>
      <c r="B89" s="71">
        <f>ExDivTree!B89</f>
        <v>6.3077282498382501E-13</v>
      </c>
      <c r="C89" s="71">
        <f>ExDivTree!C89</f>
        <v>5.2516241168427777E-13</v>
      </c>
      <c r="D89" s="177">
        <f>ExDivTree!D89</f>
        <v>85</v>
      </c>
      <c r="CL89" s="17">
        <f>IF(CL$3="","",IF(AND(DivAs=2,CL$2&lt;ExDivPct),ExDivTree!CL89+DivAmount*EXP(IntRate*(CL$2-ExDivPct)),ExDivTree!CL89))</f>
        <v>7.5353540790000002</v>
      </c>
      <c r="CM89" s="17">
        <f>IF(CM$3="","",IF(AND(DivAs=2,CM$2&lt;ExDivPct),ExDivTree!CM89+DivAmount*EXP(IntRate*(CM$2-ExDivPct)),ExDivTree!CM89))</f>
        <v>7.7634685396999998</v>
      </c>
      <c r="CN89" s="17">
        <f>IF(CN$3="","",IF(AND(DivAs=2,CN$2&lt;ExDivPct),ExDivTree!CN89+DivAmount*EXP(IntRate*(CN$2-ExDivPct)),ExDivTree!CN89))</f>
        <v>7.9984886091999998</v>
      </c>
      <c r="CO89" s="17">
        <f>IF(CO$3="","",IF(AND(DivAs=2,CO$2&lt;ExDivPct),ExDivTree!CO89+DivAmount*EXP(IntRate*(CO$2-ExDivPct)),ExDivTree!CO89))</f>
        <v>8.2406233379000007</v>
      </c>
      <c r="CP89" s="17">
        <f>IF(CP$3="","",IF(AND(DivAs=2,CP$2&lt;ExDivPct),ExDivTree!CP89+DivAmount*EXP(IntRate*(CP$2-ExDivPct)),ExDivTree!CP89))</f>
        <v>8.4900881047999999</v>
      </c>
      <c r="CQ89" s="17">
        <f>IF(CQ$3="","",IF(AND(DivAs=2,CQ$2&lt;ExDivPct),ExDivTree!CQ89+DivAmount*EXP(IntRate*(CQ$2-ExDivPct)),ExDivTree!CQ89))</f>
        <v>8.7471048088999996</v>
      </c>
      <c r="CR89" s="17">
        <f>IF(CR$3="","",IF(AND(DivAs=2,CR$2&lt;ExDivPct),ExDivTree!CR89+DivAmount*EXP(IntRate*(CR$2-ExDivPct)),ExDivTree!CR89))</f>
        <v>9.0119020665999994</v>
      </c>
      <c r="CS89" s="17">
        <f>IF(CS$3="","",IF(AND(DivAs=2,CS$2&lt;ExDivPct),ExDivTree!CS89+DivAmount*EXP(IntRate*(CS$2-ExDivPct)),ExDivTree!CS89))</f>
        <v>9.2847154153000009</v>
      </c>
      <c r="CT89" s="17">
        <f>IF(CT$3="","",IF(AND(DivAs=2,CT$2&lt;ExDivPct),ExDivTree!CT89+DivAmount*EXP(IntRate*(CT$2-ExDivPct)),ExDivTree!CT89))</f>
        <v>9.5657875225000009</v>
      </c>
      <c r="CU89" s="17">
        <f>IF(CU$3="","",IF(AND(DivAs=2,CU$2&lt;ExDivPct),ExDivTree!CU89+DivAmount*EXP(IntRate*(CU$2-ExDivPct)),ExDivTree!CU89))</f>
        <v>9.8553684020999999</v>
      </c>
      <c r="CV89" s="17">
        <f>IF(CV$3="","",IF(AND(DivAs=2,CV$2&lt;ExDivPct),ExDivTree!CV89+DivAmount*EXP(IntRate*(CV$2-ExDivPct)),ExDivTree!CV89))</f>
        <v>10.153715636299999</v>
      </c>
      <c r="CW89" s="17">
        <f>IF(CW$3="","",IF(AND(DivAs=2,CW$2&lt;ExDivPct),ExDivTree!CW89+DivAmount*EXP(IntRate*(CW$2-ExDivPct)),ExDivTree!CW89))</f>
        <v>10.4610946051</v>
      </c>
      <c r="CX89" s="17">
        <f>IF(CX$3="","",IF(AND(DivAs=2,CX$2&lt;ExDivPct),ExDivTree!CX89+DivAmount*EXP(IntRate*(CX$2-ExDivPct)),ExDivTree!CX89))</f>
        <v>10.777778722300001</v>
      </c>
      <c r="CY89" s="17">
        <f>IF(CY$3="","",IF(AND(DivAs=2,CY$2&lt;ExDivPct),ExDivTree!CY89+DivAmount*EXP(IntRate*(CY$2-ExDivPct)),ExDivTree!CY89))</f>
        <v>11.104049678499999</v>
      </c>
      <c r="CZ89" s="17">
        <f>IF(CZ$3="","",IF(AND(DivAs=2,CZ$2&lt;ExDivPct),ExDivTree!CZ89+DivAmount*EXP(IntRate*(CZ$2-ExDivPct)),ExDivTree!CZ89))</f>
        <v>11.4401976919</v>
      </c>
      <c r="DA89" s="17">
        <f>IF(DA$3="","",IF(AND(DivAs=2,DA$2&lt;ExDivPct),ExDivTree!DA89+DivAmount*EXP(IntRate*(DA$2-ExDivPct)),ExDivTree!DA89))</f>
        <v>11.7865217663</v>
      </c>
      <c r="DB89" s="17">
        <f>IF(DB$3="","",IF(AND(DivAs=2,DB$2&lt;ExDivPct),ExDivTree!DB89+DivAmount*EXP(IntRate*(DB$2-ExDivPct)),ExDivTree!DB89))</f>
        <v>12.143329957200001</v>
      </c>
    </row>
    <row r="90" spans="1:106" x14ac:dyDescent="0.2">
      <c r="A90">
        <f>ExDivTree!A90</f>
        <v>2.9752541402731226E+17</v>
      </c>
      <c r="B90" s="71">
        <f>ExDivTree!B90</f>
        <v>1.1735308371792093E-13</v>
      </c>
      <c r="C90" s="71">
        <f>ExDivTree!C90</f>
        <v>9.718807581185793E-14</v>
      </c>
      <c r="D90" s="177">
        <f>ExDivTree!D90</f>
        <v>86</v>
      </c>
      <c r="CM90" s="17">
        <f>IF(CM$3="","",IF(AND(DivAs=2,CM$2&lt;ExDivPct),ExDivTree!CM90+DivAmount*EXP(IntRate*(CM$2-ExDivPct)),ExDivTree!CM90))</f>
        <v>7.3139804046999997</v>
      </c>
      <c r="CN90" s="17">
        <f>IF(CN$3="","",IF(AND(DivAs=2,CN$2&lt;ExDivPct),ExDivTree!CN90+DivAmount*EXP(IntRate*(CN$2-ExDivPct)),ExDivTree!CN90))</f>
        <v>7.5353933174999996</v>
      </c>
      <c r="CO90" s="17">
        <f>IF(CO$3="","",IF(AND(DivAs=2,CO$2&lt;ExDivPct),ExDivTree!CO90+DivAmount*EXP(IntRate*(CO$2-ExDivPct)),ExDivTree!CO90))</f>
        <v>7.7635089660999999</v>
      </c>
      <c r="CP90" s="17">
        <f>IF(CP$3="","",IF(AND(DivAs=2,CP$2&lt;ExDivPct),ExDivTree!CP90+DivAmount*EXP(IntRate*(CP$2-ExDivPct)),ExDivTree!CP90))</f>
        <v>7.9985302593999998</v>
      </c>
      <c r="CQ90" s="17">
        <f>IF(CQ$3="","",IF(AND(DivAs=2,CQ$2&lt;ExDivPct),ExDivTree!CQ90+DivAmount*EXP(IntRate*(CQ$2-ExDivPct)),ExDivTree!CQ90))</f>
        <v>8.2406662490000002</v>
      </c>
      <c r="CR90" s="17">
        <f>IF(CR$3="","",IF(AND(DivAs=2,CR$2&lt;ExDivPct),ExDivTree!CR90+DivAmount*EXP(IntRate*(CR$2-ExDivPct)),ExDivTree!CR90))</f>
        <v>8.4901323149000003</v>
      </c>
      <c r="CS90" s="17">
        <f>IF(CS$3="","",IF(AND(DivAs=2,CS$2&lt;ExDivPct),ExDivTree!CS90+DivAmount*EXP(IntRate*(CS$2-ExDivPct)),ExDivTree!CS90))</f>
        <v>8.7471503573000007</v>
      </c>
      <c r="CT90" s="17">
        <f>IF(CT$3="","",IF(AND(DivAs=2,CT$2&lt;ExDivPct),ExDivTree!CT90+DivAmount*EXP(IntRate*(CT$2-ExDivPct)),ExDivTree!CT90))</f>
        <v>9.0119489939000008</v>
      </c>
      <c r="CU90" s="17">
        <f>IF(CU$3="","",IF(AND(DivAs=2,CU$2&lt;ExDivPct),ExDivTree!CU90+DivAmount*EXP(IntRate*(CU$2-ExDivPct)),ExDivTree!CU90))</f>
        <v>9.2847637632000009</v>
      </c>
      <c r="CV90" s="17">
        <f>IF(CV$3="","",IF(AND(DivAs=2,CV$2&lt;ExDivPct),ExDivTree!CV90+DivAmount*EXP(IntRate*(CV$2-ExDivPct)),ExDivTree!CV90))</f>
        <v>9.5658373340999994</v>
      </c>
      <c r="CW90" s="17">
        <f>IF(CW$3="","",IF(AND(DivAs=2,CW$2&lt;ExDivPct),ExDivTree!CW90+DivAmount*EXP(IntRate*(CW$2-ExDivPct)),ExDivTree!CW90))</f>
        <v>9.8554197216000006</v>
      </c>
      <c r="CX90" s="17">
        <f>IF(CX$3="","",IF(AND(DivAs=2,CX$2&lt;ExDivPct),ExDivTree!CX90+DivAmount*EXP(IntRate*(CX$2-ExDivPct)),ExDivTree!CX90))</f>
        <v>10.153768509400001</v>
      </c>
      <c r="CY90" s="17">
        <f>IF(CY$3="","",IF(AND(DivAs=2,CY$2&lt;ExDivPct),ExDivTree!CY90+DivAmount*EXP(IntRate*(CY$2-ExDivPct)),ExDivTree!CY90))</f>
        <v>10.4611490788</v>
      </c>
      <c r="CZ90" s="17">
        <f>IF(CZ$3="","",IF(AND(DivAs=2,CZ$2&lt;ExDivPct),ExDivTree!CZ90+DivAmount*EXP(IntRate*(CZ$2-ExDivPct)),ExDivTree!CZ90))</f>
        <v>10.777834845099999</v>
      </c>
      <c r="DA90" s="17">
        <f>IF(DA$3="","",IF(AND(DivAs=2,DA$2&lt;ExDivPct),ExDivTree!DA90+DivAmount*EXP(IntRate*(DA$2-ExDivPct)),ExDivTree!DA90))</f>
        <v>11.1041075003</v>
      </c>
      <c r="DB90" s="17">
        <f>IF(DB$3="","",IF(AND(DivAs=2,DB$2&lt;ExDivPct),ExDivTree!DB90+DivAmount*EXP(IntRate*(DB$2-ExDivPct)),ExDivTree!DB90))</f>
        <v>11.4402572641</v>
      </c>
    </row>
    <row r="91" spans="1:106" x14ac:dyDescent="0.2">
      <c r="A91">
        <f>ExDivTree!A91</f>
        <v>5.1297485177122792E+16</v>
      </c>
      <c r="B91" s="71">
        <f>ExDivTree!B91</f>
        <v>2.023329029619326E-14</v>
      </c>
      <c r="C91" s="71">
        <f>ExDivTree!C91</f>
        <v>1.6667973777547522E-14</v>
      </c>
      <c r="D91" s="177">
        <f>ExDivTree!D91</f>
        <v>87</v>
      </c>
      <c r="CN91" s="17">
        <f>IF(CN$3="","",IF(AND(DivAs=2,CN$2&lt;ExDivPct),ExDivTree!CN91+DivAmount*EXP(IntRate*(CN$2-ExDivPct)),ExDivTree!CN91))</f>
        <v>7.0991102473999996</v>
      </c>
      <c r="CO91" s="17">
        <f>IF(CO$3="","",IF(AND(DivAs=2,CO$2&lt;ExDivPct),ExDivTree!CO91+DivAmount*EXP(IntRate*(CO$2-ExDivPct)),ExDivTree!CO91))</f>
        <v>7.3140184903999996</v>
      </c>
      <c r="CP91" s="17">
        <f>IF(CP$3="","",IF(AND(DivAs=2,CP$2&lt;ExDivPct),ExDivTree!CP91+DivAmount*EXP(IntRate*(CP$2-ExDivPct)),ExDivTree!CP91))</f>
        <v>7.5354325562</v>
      </c>
      <c r="CQ91" s="17">
        <f>IF(CQ$3="","",IF(AND(DivAs=2,CQ$2&lt;ExDivPct),ExDivTree!CQ91+DivAmount*EXP(IntRate*(CQ$2-ExDivPct)),ExDivTree!CQ91))</f>
        <v>7.7635493925999999</v>
      </c>
      <c r="CR91" s="17">
        <f>IF(CR$3="","",IF(AND(DivAs=2,CR$2&lt;ExDivPct),ExDivTree!CR91+DivAmount*EXP(IntRate*(CR$2-ExDivPct)),ExDivTree!CR91))</f>
        <v>7.9985719096999999</v>
      </c>
      <c r="CS91" s="17">
        <f>IF(CS$3="","",IF(AND(DivAs=2,CS$2&lt;ExDivPct),ExDivTree!CS91+DivAmount*EXP(IntRate*(CS$2-ExDivPct)),ExDivTree!CS91))</f>
        <v>8.2407091600999998</v>
      </c>
      <c r="CT91" s="17">
        <f>IF(CT$3="","",IF(AND(DivAs=2,CT$2&lt;ExDivPct),ExDivTree!CT91+DivAmount*EXP(IntRate*(CT$2-ExDivPct)),ExDivTree!CT91))</f>
        <v>8.4901765250000008</v>
      </c>
      <c r="CU91" s="17">
        <f>IF(CU$3="","",IF(AND(DivAs=2,CU$2&lt;ExDivPct),ExDivTree!CU91+DivAmount*EXP(IntRate*(CU$2-ExDivPct)),ExDivTree!CU91))</f>
        <v>8.7471959057999999</v>
      </c>
      <c r="CV91" s="17">
        <f>IF(CV$3="","",IF(AND(DivAs=2,CV$2&lt;ExDivPct),ExDivTree!CV91+DivAmount*EXP(IntRate*(CV$2-ExDivPct)),ExDivTree!CV91))</f>
        <v>9.0119959213000005</v>
      </c>
      <c r="CW91" s="17">
        <f>IF(CW$3="","",IF(AND(DivAs=2,CW$2&lt;ExDivPct),ExDivTree!CW91+DivAmount*EXP(IntRate*(CW$2-ExDivPct)),ExDivTree!CW91))</f>
        <v>9.2848121112000008</v>
      </c>
      <c r="CX91" s="17">
        <f>IF(CX$3="","",IF(AND(DivAs=2,CX$2&lt;ExDivPct),ExDivTree!CX91+DivAmount*EXP(IntRate*(CX$2-ExDivPct)),ExDivTree!CX91))</f>
        <v>9.5658871456999996</v>
      </c>
      <c r="CY91" s="17">
        <f>IF(CY$3="","",IF(AND(DivAs=2,CY$2&lt;ExDivPct),ExDivTree!CY91+DivAmount*EXP(IntRate*(CY$2-ExDivPct)),ExDivTree!CY91))</f>
        <v>9.8554710410999995</v>
      </c>
      <c r="CZ91" s="17">
        <f>IF(CZ$3="","",IF(AND(DivAs=2,CZ$2&lt;ExDivPct),ExDivTree!CZ91+DivAmount*EXP(IntRate*(CZ$2-ExDivPct)),ExDivTree!CZ91))</f>
        <v>10.1538213824</v>
      </c>
      <c r="DA91" s="17">
        <f>IF(DA$3="","",IF(AND(DivAs=2,DA$2&lt;ExDivPct),ExDivTree!DA91+DivAmount*EXP(IntRate*(DA$2-ExDivPct)),ExDivTree!DA91))</f>
        <v>10.461203552400001</v>
      </c>
      <c r="DB91" s="17">
        <f>IF(DB$3="","",IF(AND(DivAs=2,DB$2&lt;ExDivPct),ExDivTree!DB91+DivAmount*EXP(IntRate*(DB$2-ExDivPct)),ExDivTree!DB91))</f>
        <v>10.777890967699999</v>
      </c>
    </row>
    <row r="92" spans="1:106" x14ac:dyDescent="0.2">
      <c r="A92">
        <f>ExDivTree!A92</f>
        <v>8160963550905900</v>
      </c>
      <c r="B92" s="71">
        <f>ExDivTree!B92</f>
        <v>3.2189325471216556E-15</v>
      </c>
      <c r="C92" s="71">
        <f>ExDivTree!C92</f>
        <v>2.6377035897680631E-15</v>
      </c>
      <c r="D92" s="177">
        <f>ExDivTree!D92</f>
        <v>88</v>
      </c>
      <c r="CO92" s="17">
        <f>IF(CO$3="","",IF(AND(DivAs=2,CO$2&lt;ExDivPct),ExDivTree!CO92+DivAmount*EXP(IntRate*(CO$2-ExDivPct)),ExDivTree!CO92))</f>
        <v>6.8905525468000004</v>
      </c>
      <c r="CP92" s="17">
        <f>IF(CP$3="","",IF(AND(DivAs=2,CP$2&lt;ExDivPct),ExDivTree!CP92+DivAmount*EXP(IntRate*(CP$2-ExDivPct)),ExDivTree!CP92))</f>
        <v>7.0991472143000003</v>
      </c>
      <c r="CQ92" s="17">
        <f>IF(CQ$3="","",IF(AND(DivAs=2,CQ$2&lt;ExDivPct),ExDivTree!CQ92+DivAmount*EXP(IntRate*(CQ$2-ExDivPct)),ExDivTree!CQ92))</f>
        <v>7.3140565763999996</v>
      </c>
      <c r="CR92" s="17">
        <f>IF(CR$3="","",IF(AND(DivAs=2,CR$2&lt;ExDivPct),ExDivTree!CR92+DivAmount*EXP(IntRate*(CR$2-ExDivPct)),ExDivTree!CR92))</f>
        <v>7.5354717951000003</v>
      </c>
      <c r="CS92" s="17">
        <f>IF(CS$3="","",IF(AND(DivAs=2,CS$2&lt;ExDivPct),ExDivTree!CS92+DivAmount*EXP(IntRate*(CS$2-ExDivPct)),ExDivTree!CS92))</f>
        <v>7.7635898193999999</v>
      </c>
      <c r="CT92" s="17">
        <f>IF(CT$3="","",IF(AND(DivAs=2,CT$2&lt;ExDivPct),ExDivTree!CT92+DivAmount*EXP(IntRate*(CT$2-ExDivPct)),ExDivTree!CT92))</f>
        <v>7.9986135602999999</v>
      </c>
      <c r="CU92" s="17">
        <f>IF(CU$3="","",IF(AND(DivAs=2,CU$2&lt;ExDivPct),ExDivTree!CU92+DivAmount*EXP(IntRate*(CU$2-ExDivPct)),ExDivTree!CU92))</f>
        <v>8.2407520715999993</v>
      </c>
      <c r="CV92" s="17">
        <f>IF(CV$3="","",IF(AND(DivAs=2,CV$2&lt;ExDivPct),ExDivTree!CV92+DivAmount*EXP(IntRate*(CV$2-ExDivPct)),ExDivTree!CV92))</f>
        <v>8.4902207355999995</v>
      </c>
      <c r="CW92" s="17">
        <f>IF(CW$3="","",IF(AND(DivAs=2,CW$2&lt;ExDivPct),ExDivTree!CW92+DivAmount*EXP(IntRate*(CW$2-ExDivPct)),ExDivTree!CW92))</f>
        <v>8.7472414547999993</v>
      </c>
      <c r="CX92" s="17">
        <f>IF(CX$3="","",IF(AND(DivAs=2,CX$2&lt;ExDivPct),ExDivTree!CX92+DivAmount*EXP(IntRate*(CX$2-ExDivPct)),ExDivTree!CX92))</f>
        <v>9.0120428492000002</v>
      </c>
      <c r="CY92" s="17">
        <f>IF(CY$3="","",IF(AND(DivAs=2,CY$2&lt;ExDivPct),ExDivTree!CY92+DivAmount*EXP(IntRate*(CY$2-ExDivPct)),ExDivTree!CY92))</f>
        <v>9.2848604597000008</v>
      </c>
      <c r="CZ92" s="17">
        <f>IF(CZ$3="","",IF(AND(DivAs=2,CZ$2&lt;ExDivPct),ExDivTree!CZ92+DivAmount*EXP(IntRate*(CZ$2-ExDivPct)),ExDivTree!CZ92))</f>
        <v>9.5659369578</v>
      </c>
      <c r="DA92" s="17">
        <f>IF(DA$3="","",IF(AND(DivAs=2,DA$2&lt;ExDivPct),ExDivTree!DA92+DivAmount*EXP(IntRate*(DA$2-ExDivPct)),ExDivTree!DA92))</f>
        <v>9.8555223612000002</v>
      </c>
      <c r="DB92" s="17">
        <f>IF(DB$3="","",IF(AND(DivAs=2,DB$2&lt;ExDivPct),ExDivTree!DB92+DivAmount*EXP(IntRate*(DB$2-ExDivPct)),ExDivTree!DB92))</f>
        <v>10.1538742561</v>
      </c>
    </row>
    <row r="93" spans="1:106" x14ac:dyDescent="0.2">
      <c r="A93">
        <f>ExDivTree!A93</f>
        <v>1192050855750300.2</v>
      </c>
      <c r="B93" s="71">
        <f>ExDivTree!B93</f>
        <v>4.7018115856833181E-16</v>
      </c>
      <c r="C93" s="71">
        <f>ExDivTree!C93</f>
        <v>3.832455796192146E-16</v>
      </c>
      <c r="D93" s="177">
        <f>ExDivTree!D93</f>
        <v>89</v>
      </c>
      <c r="CP93" s="17">
        <f>IF(CP$3="","",IF(AND(DivAs=2,CP$2&lt;ExDivPct),ExDivTree!CP93+DivAmount*EXP(IntRate*(CP$2-ExDivPct)),ExDivTree!CP93))</f>
        <v>6.6881218555000004</v>
      </c>
      <c r="CQ93" s="17">
        <f>IF(CQ$3="","",IF(AND(DivAs=2,CQ$2&lt;ExDivPct),ExDivTree!CQ93+DivAmount*EXP(IntRate*(CQ$2-ExDivPct)),ExDivTree!CQ93))</f>
        <v>6.8905884276</v>
      </c>
      <c r="CR93" s="17">
        <f>IF(CR$3="","",IF(AND(DivAs=2,CR$2&lt;ExDivPct),ExDivTree!CR93+DivAmount*EXP(IntRate*(CR$2-ExDivPct)),ExDivTree!CR93))</f>
        <v>7.0991841813000001</v>
      </c>
      <c r="CS93" s="17">
        <f>IF(CS$3="","",IF(AND(DivAs=2,CS$2&lt;ExDivPct),ExDivTree!CS93+DivAmount*EXP(IntRate*(CS$2-ExDivPct)),ExDivTree!CS93))</f>
        <v>7.3140946624999996</v>
      </c>
      <c r="CT93" s="17">
        <f>IF(CT$3="","",IF(AND(DivAs=2,CT$2&lt;ExDivPct),ExDivTree!CT93+DivAmount*EXP(IntRate*(CT$2-ExDivPct)),ExDivTree!CT93))</f>
        <v>7.5355110341999998</v>
      </c>
      <c r="CU93" s="17">
        <f>IF(CU$3="","",IF(AND(DivAs=2,CU$2&lt;ExDivPct),ExDivTree!CU93+DivAmount*EXP(IntRate*(CU$2-ExDivPct)),ExDivTree!CU93))</f>
        <v>7.7636302463</v>
      </c>
      <c r="CV93" s="17">
        <f>IF(CV$3="","",IF(AND(DivAs=2,CV$2&lt;ExDivPct),ExDivTree!CV93+DivAmount*EXP(IntRate*(CV$2-ExDivPct)),ExDivTree!CV93))</f>
        <v>7.9986552111</v>
      </c>
      <c r="CW93" s="17">
        <f>IF(CW$3="","",IF(AND(DivAs=2,CW$2&lt;ExDivPct),ExDivTree!CW93+DivAmount*EXP(IntRate*(CW$2-ExDivPct)),ExDivTree!CW93))</f>
        <v>8.2407949833000007</v>
      </c>
      <c r="CX93" s="17">
        <f>IF(CX$3="","",IF(AND(DivAs=2,CX$2&lt;ExDivPct),ExDivTree!CX93+DivAmount*EXP(IntRate*(CX$2-ExDivPct)),ExDivTree!CX93))</f>
        <v>8.4902649462999999</v>
      </c>
      <c r="CY93" s="17">
        <f>IF(CY$3="","",IF(AND(DivAs=2,CY$2&lt;ExDivPct),ExDivTree!CY93+DivAmount*EXP(IntRate*(CY$2-ExDivPct)),ExDivTree!CY93))</f>
        <v>8.7472870038000003</v>
      </c>
      <c r="CZ93" s="17">
        <f>IF(CZ$3="","",IF(AND(DivAs=2,CZ$2&lt;ExDivPct),ExDivTree!CZ93+DivAmount*EXP(IntRate*(CZ$2-ExDivPct)),ExDivTree!CZ93))</f>
        <v>9.0120897770999999</v>
      </c>
      <c r="DA93" s="17">
        <f>IF(DA$3="","",IF(AND(DivAs=2,DA$2&lt;ExDivPct),ExDivTree!DA93+DivAmount*EXP(IntRate*(DA$2-ExDivPct)),ExDivTree!DA93))</f>
        <v>9.2849088083000009</v>
      </c>
      <c r="DB93" s="17">
        <f>IF(DB$3="","",IF(AND(DivAs=2,DB$2&lt;ExDivPct),ExDivTree!DB93+DivAmount*EXP(IntRate*(DB$2-ExDivPct)),ExDivTree!DB93))</f>
        <v>9.5659867700000003</v>
      </c>
    </row>
    <row r="94" spans="1:106" x14ac:dyDescent="0.2">
      <c r="A94">
        <f>ExDivTree!A94</f>
        <v>158940114100040.06</v>
      </c>
      <c r="B94" s="71">
        <f>ExDivTree!B94</f>
        <v>6.2690821142444253E-17</v>
      </c>
      <c r="C94" s="71">
        <f>ExDivTree!C94</f>
        <v>5.0829250899952012E-17</v>
      </c>
      <c r="D94" s="177">
        <f>ExDivTree!D94</f>
        <v>90</v>
      </c>
      <c r="CQ94" s="17">
        <f>IF(CQ$3="","",IF(AND(DivAs=2,CQ$2&lt;ExDivPct),ExDivTree!CQ94+DivAmount*EXP(IntRate*(CQ$2-ExDivPct)),ExDivTree!CQ94))</f>
        <v>6.4916381742000002</v>
      </c>
      <c r="CR94" s="17">
        <f>IF(CR$3="","",IF(AND(DivAs=2,CR$2&lt;ExDivPct),ExDivTree!CR94+DivAmount*EXP(IntRate*(CR$2-ExDivPct)),ExDivTree!CR94))</f>
        <v>6.6881566822999998</v>
      </c>
      <c r="CS94" s="17">
        <f>IF(CS$3="","",IF(AND(DivAs=2,CS$2&lt;ExDivPct),ExDivTree!CS94+DivAmount*EXP(IntRate*(CS$2-ExDivPct)),ExDivTree!CS94))</f>
        <v>6.8906243086999996</v>
      </c>
      <c r="CT94" s="17">
        <f>IF(CT$3="","",IF(AND(DivAs=2,CT$2&lt;ExDivPct),ExDivTree!CT94+DivAmount*EXP(IntRate*(CT$2-ExDivPct)),ExDivTree!CT94))</f>
        <v>7.0992211485999999</v>
      </c>
      <c r="CU94" s="17">
        <f>IF(CU$3="","",IF(AND(DivAs=2,CU$2&lt;ExDivPct),ExDivTree!CU94+DivAmount*EXP(IntRate*(CU$2-ExDivPct)),ExDivTree!CU94))</f>
        <v>7.3141327488999996</v>
      </c>
      <c r="CV94" s="17">
        <f>IF(CV$3="","",IF(AND(DivAs=2,CV$2&lt;ExDivPct),ExDivTree!CV94+DivAmount*EXP(IntRate*(CV$2-ExDivPct)),ExDivTree!CV94))</f>
        <v>7.5355502736000002</v>
      </c>
      <c r="CW94" s="17">
        <f>IF(CW$3="","",IF(AND(DivAs=2,CW$2&lt;ExDivPct),ExDivTree!CW94+DivAmount*EXP(IntRate*(CW$2-ExDivPct)),ExDivTree!CW94))</f>
        <v>7.7636706736000001</v>
      </c>
      <c r="CX94" s="17">
        <f>IF(CX$3="","",IF(AND(DivAs=2,CX$2&lt;ExDivPct),ExDivTree!CX94+DivAmount*EXP(IntRate*(CX$2-ExDivPct)),ExDivTree!CX94))</f>
        <v>7.9986968622000001</v>
      </c>
      <c r="CY94" s="17">
        <f>IF(CY$3="","",IF(AND(DivAs=2,CY$2&lt;ExDivPct),ExDivTree!CY94+DivAmount*EXP(IntRate*(CY$2-ExDivPct)),ExDivTree!CY94))</f>
        <v>8.2408378953000003</v>
      </c>
      <c r="CZ94" s="17">
        <f>IF(CZ$3="","",IF(AND(DivAs=2,CZ$2&lt;ExDivPct),ExDivTree!CZ94+DivAmount*EXP(IntRate*(CZ$2-ExDivPct)),ExDivTree!CZ94))</f>
        <v>8.4903091574000005</v>
      </c>
      <c r="DA94" s="17">
        <f>IF(DA$3="","",IF(AND(DivAs=2,DA$2&lt;ExDivPct),ExDivTree!DA94+DivAmount*EXP(IntRate*(DA$2-ExDivPct)),ExDivTree!DA94))</f>
        <v>8.7473325532999997</v>
      </c>
      <c r="DB94" s="17">
        <f>IF(DB$3="","",IF(AND(DivAs=2,DB$2&lt;ExDivPct),ExDivTree!DB94+DivAmount*EXP(IntRate*(DB$2-ExDivPct)),ExDivTree!DB94))</f>
        <v>9.0121367054999997</v>
      </c>
    </row>
    <row r="95" spans="1:106" x14ac:dyDescent="0.2">
      <c r="A95">
        <f>ExDivTree!A95</f>
        <v>19212541264840</v>
      </c>
      <c r="B95" s="71">
        <f>ExDivTree!B95</f>
        <v>7.5780113468888628E-18</v>
      </c>
      <c r="C95" s="71">
        <f>ExDivTree!C95</f>
        <v>6.1117111487461991E-18</v>
      </c>
      <c r="D95" s="177">
        <f>ExDivTree!D95</f>
        <v>91</v>
      </c>
      <c r="CR95" s="17">
        <f>IF(CR$3="","",IF(AND(DivAs=2,CR$2&lt;ExDivPct),ExDivTree!CR95+DivAmount*EXP(IntRate*(CR$2-ExDivPct)),ExDivTree!CR95))</f>
        <v>6.3009267916000002</v>
      </c>
      <c r="CS95" s="17">
        <f>IF(CS$3="","",IF(AND(DivAs=2,CS$2&lt;ExDivPct),ExDivTree!CS95+DivAmount*EXP(IntRate*(CS$2-ExDivPct)),ExDivTree!CS95))</f>
        <v>6.4916719778000003</v>
      </c>
      <c r="CT95" s="17">
        <f>IF(CT$3="","",IF(AND(DivAs=2,CT$2&lt;ExDivPct),ExDivTree!CT95+DivAmount*EXP(IntRate*(CT$2-ExDivPct)),ExDivTree!CT95))</f>
        <v>6.6881915092000002</v>
      </c>
      <c r="CU95" s="17">
        <f>IF(CU$3="","",IF(AND(DivAs=2,CU$2&lt;ExDivPct),ExDivTree!CU95+DivAmount*EXP(IntRate*(CU$2-ExDivPct)),ExDivTree!CU95))</f>
        <v>6.8906601899000002</v>
      </c>
      <c r="CV95" s="17">
        <f>IF(CV$3="","",IF(AND(DivAs=2,CV$2&lt;ExDivPct),ExDivTree!CV95+DivAmount*EXP(IntRate*(CV$2-ExDivPct)),ExDivTree!CV95))</f>
        <v>7.0992581159999997</v>
      </c>
      <c r="CW95" s="17">
        <f>IF(CW$3="","",IF(AND(DivAs=2,CW$2&lt;ExDivPct),ExDivTree!CW95+DivAmount*EXP(IntRate*(CW$2-ExDivPct)),ExDivTree!CW95))</f>
        <v>7.3141708353999997</v>
      </c>
      <c r="CX95" s="17">
        <f>IF(CX$3="","",IF(AND(DivAs=2,CX$2&lt;ExDivPct),ExDivTree!CX95+DivAmount*EXP(IntRate*(CX$2-ExDivPct)),ExDivTree!CX95))</f>
        <v>7.5355895129999997</v>
      </c>
      <c r="CY95" s="17">
        <f>IF(CY$3="","",IF(AND(DivAs=2,CY$2&lt;ExDivPct),ExDivTree!CY95+DivAmount*EXP(IntRate*(CY$2-ExDivPct)),ExDivTree!CY95))</f>
        <v>7.7637111009000002</v>
      </c>
      <c r="CZ95" s="17">
        <f>IF(CZ$3="","",IF(AND(DivAs=2,CZ$2&lt;ExDivPct),ExDivTree!CZ95+DivAmount*EXP(IntRate*(CZ$2-ExDivPct)),ExDivTree!CZ95))</f>
        <v>7.9987385133000002</v>
      </c>
      <c r="DA95" s="17">
        <f>IF(DA$3="","",IF(AND(DivAs=2,DA$2&lt;ExDivPct),ExDivTree!DA95+DivAmount*EXP(IntRate*(DA$2-ExDivPct)),ExDivTree!DA95))</f>
        <v>8.2408808071999999</v>
      </c>
      <c r="DB95" s="17">
        <f>IF(DB$3="","",IF(AND(DivAs=2,DB$2&lt;ExDivPct),ExDivTree!DB95+DivAmount*EXP(IntRate*(DB$2-ExDivPct)),ExDivTree!DB95))</f>
        <v>8.4903533682999992</v>
      </c>
    </row>
    <row r="96" spans="1:106" x14ac:dyDescent="0.2">
      <c r="A96">
        <f>ExDivTree!A96</f>
        <v>2088319702700</v>
      </c>
      <c r="B96" s="71">
        <f>ExDivTree!B96</f>
        <v>8.2369688553139813E-19</v>
      </c>
      <c r="C96" s="71">
        <f>ExDivTree!C96</f>
        <v>6.6080422553543262E-19</v>
      </c>
      <c r="D96" s="177">
        <f>ExDivTree!D96</f>
        <v>92</v>
      </c>
      <c r="CS96" s="17">
        <f>IF(CS$3="","",IF(AND(DivAs=2,CS$2&lt;ExDivPct),ExDivTree!CS96+DivAmount*EXP(IntRate*(CS$2-ExDivPct)),ExDivTree!CS96))</f>
        <v>6.115818129</v>
      </c>
      <c r="CT96" s="17">
        <f>IF(CT$3="","",IF(AND(DivAs=2,CT$2&lt;ExDivPct),ExDivTree!CT96+DivAmount*EXP(IntRate*(CT$2-ExDivPct)),ExDivTree!CT96))</f>
        <v>6.3009596020999998</v>
      </c>
      <c r="CU96" s="17">
        <f>IF(CU$3="","",IF(AND(DivAs=2,CU$2&lt;ExDivPct),ExDivTree!CU96+DivAmount*EXP(IntRate*(CU$2-ExDivPct)),ExDivTree!CU96))</f>
        <v>6.4917057816000003</v>
      </c>
      <c r="CV96" s="17">
        <f>IF(CV$3="","",IF(AND(DivAs=2,CV$2&lt;ExDivPct),ExDivTree!CV96+DivAmount*EXP(IntRate*(CV$2-ExDivPct)),ExDivTree!CV96))</f>
        <v>6.6882263362999996</v>
      </c>
      <c r="CW96" s="17">
        <f>IF(CW$3="","",IF(AND(DivAs=2,CW$2&lt;ExDivPct),ExDivTree!CW96+DivAmount*EXP(IntRate*(CW$2-ExDivPct)),ExDivTree!CW96))</f>
        <v>6.8906960712999998</v>
      </c>
      <c r="CX96" s="17">
        <f>IF(CX$3="","",IF(AND(DivAs=2,CX$2&lt;ExDivPct),ExDivTree!CX96+DivAmount*EXP(IntRate*(CX$2-ExDivPct)),ExDivTree!CX96))</f>
        <v>7.0992950836000004</v>
      </c>
      <c r="CY96" s="17">
        <f>IF(CY$3="","",IF(AND(DivAs=2,CY$2&lt;ExDivPct),ExDivTree!CY96+DivAmount*EXP(IntRate*(CY$2-ExDivPct)),ExDivTree!CY96))</f>
        <v>7.3142089220999997</v>
      </c>
      <c r="CZ96" s="17">
        <f>IF(CZ$3="","",IF(AND(DivAs=2,CZ$2&lt;ExDivPct),ExDivTree!CZ96+DivAmount*EXP(IntRate*(CZ$2-ExDivPct)),ExDivTree!CZ96))</f>
        <v>7.5356287527000001</v>
      </c>
      <c r="DA96" s="17">
        <f>IF(DA$3="","",IF(AND(DivAs=2,DA$2&lt;ExDivPct),ExDivTree!DA96+DivAmount*EXP(IntRate*(DA$2-ExDivPct)),ExDivTree!DA96))</f>
        <v>7.7637515285000003</v>
      </c>
      <c r="DB96" s="17">
        <f>IF(DB$3="","",IF(AND(DivAs=2,DB$2&lt;ExDivPct),ExDivTree!DB96+DivAmount*EXP(IntRate*(DB$2-ExDivPct)),ExDivTree!DB96))</f>
        <v>7.9987801648000003</v>
      </c>
    </row>
    <row r="97" spans="1:106" x14ac:dyDescent="0.2">
      <c r="A97">
        <f>ExDivTree!A97</f>
        <v>202095455099.99994</v>
      </c>
      <c r="B97" s="71">
        <f>ExDivTree!B97</f>
        <v>7.9712601825619149E-20</v>
      </c>
      <c r="C97" s="71">
        <f>ExDivTree!C97</f>
        <v>6.3610702324164437E-20</v>
      </c>
      <c r="D97" s="177">
        <f>ExDivTree!D97</f>
        <v>93</v>
      </c>
      <c r="CT97" s="17">
        <f>IF(CT$3="","",IF(AND(DivAs=2,CT$2&lt;ExDivPct),ExDivTree!CT97+DivAmount*EXP(IntRate*(CT$2-ExDivPct)),ExDivTree!CT97))</f>
        <v>5.9361475897</v>
      </c>
      <c r="CU97" s="17">
        <f>IF(CU$3="","",IF(AND(DivAs=2,CU$2&lt;ExDivPct),ExDivTree!CU97+DivAmount*EXP(IntRate*(CU$2-ExDivPct)),ExDivTree!CU97))</f>
        <v>6.1158499754999998</v>
      </c>
      <c r="CV97" s="17">
        <f>IF(CV$3="","",IF(AND(DivAs=2,CV$2&lt;ExDivPct),ExDivTree!CV97+DivAmount*EXP(IntRate*(CV$2-ExDivPct)),ExDivTree!CV97))</f>
        <v>6.3009924126000003</v>
      </c>
      <c r="CW97" s="17">
        <f>IF(CW$3="","",IF(AND(DivAs=2,CW$2&lt;ExDivPct),ExDivTree!CW97+DivAmount*EXP(IntRate*(CW$2-ExDivPct)),ExDivTree!CW97))</f>
        <v>6.4917395853000004</v>
      </c>
      <c r="CX97" s="17">
        <f>IF(CX$3="","",IF(AND(DivAs=2,CX$2&lt;ExDivPct),ExDivTree!CX97+DivAmount*EXP(IntRate*(CX$2-ExDivPct)),ExDivTree!CX97))</f>
        <v>6.6882611633</v>
      </c>
      <c r="CY97" s="17">
        <f>IF(CY$3="","",IF(AND(DivAs=2,CY$2&lt;ExDivPct),ExDivTree!CY97+DivAmount*EXP(IntRate*(CY$2-ExDivPct)),ExDivTree!CY97))</f>
        <v>6.8907319526000004</v>
      </c>
      <c r="CZ97" s="17">
        <f>IF(CZ$3="","",IF(AND(DivAs=2,CZ$2&lt;ExDivPct),ExDivTree!CZ97+DivAmount*EXP(IntRate*(CZ$2-ExDivPct)),ExDivTree!CZ97))</f>
        <v>7.0993320511000002</v>
      </c>
      <c r="DA97" s="17">
        <f>IF(DA$3="","",IF(AND(DivAs=2,DA$2&lt;ExDivPct),ExDivTree!DA97+DivAmount*EXP(IntRate*(DA$2-ExDivPct)),ExDivTree!DA97))</f>
        <v>7.3142470086999998</v>
      </c>
      <c r="DB97" s="17">
        <f>IF(DB$3="","",IF(AND(DivAs=2,DB$2&lt;ExDivPct),ExDivTree!DB97+DivAmount*EXP(IntRate*(DB$2-ExDivPct)),ExDivTree!DB97))</f>
        <v>7.5356679922999996</v>
      </c>
    </row>
    <row r="98" spans="1:106" x14ac:dyDescent="0.2">
      <c r="A98">
        <f>ExDivTree!A98</f>
        <v>17199613200</v>
      </c>
      <c r="B98" s="71">
        <f>ExDivTree!B98</f>
        <v>6.7840512192016318E-21</v>
      </c>
      <c r="C98" s="71">
        <f>ExDivTree!C98</f>
        <v>5.3850549881840646E-21</v>
      </c>
      <c r="D98" s="177">
        <f>ExDivTree!D98</f>
        <v>94</v>
      </c>
      <c r="CU98" s="17">
        <f>IF(CU$3="","",IF(AND(DivAs=2,CU$2&lt;ExDivPct),ExDivTree!CU98+DivAmount*EXP(IntRate*(CU$2-ExDivPct)),ExDivTree!CU98))</f>
        <v>5.7617554126000003</v>
      </c>
      <c r="CV98" s="17">
        <f>IF(CV$3="","",IF(AND(DivAs=2,CV$2&lt;ExDivPct),ExDivTree!CV98+DivAmount*EXP(IntRate*(CV$2-ExDivPct)),ExDivTree!CV98))</f>
        <v>5.9361785006999996</v>
      </c>
      <c r="CW98" s="17">
        <f>IF(CW$3="","",IF(AND(DivAs=2,CW$2&lt;ExDivPct),ExDivTree!CW98+DivAmount*EXP(IntRate*(CW$2-ExDivPct)),ExDivTree!CW98))</f>
        <v>6.1158818223000004</v>
      </c>
      <c r="CX98" s="17">
        <f>IF(CX$3="","",IF(AND(DivAs=2,CX$2&lt;ExDivPct),ExDivTree!CX98+DivAmount*EXP(IntRate*(CX$2-ExDivPct)),ExDivTree!CX98))</f>
        <v>6.3010252234999999</v>
      </c>
      <c r="CY98" s="17">
        <f>IF(CY$3="","",IF(AND(DivAs=2,CY$2&lt;ExDivPct),ExDivTree!CY98+DivAmount*EXP(IntRate*(CY$2-ExDivPct)),ExDivTree!CY98))</f>
        <v>6.4917733894999996</v>
      </c>
      <c r="CZ98" s="17">
        <f>IF(CZ$3="","",IF(AND(DivAs=2,CZ$2&lt;ExDivPct),ExDivTree!CZ98+DivAmount*EXP(IntRate*(CZ$2-ExDivPct)),ExDivTree!CZ98))</f>
        <v>6.6882959909000004</v>
      </c>
      <c r="DA98" s="17">
        <f>IF(DA$3="","",IF(AND(DivAs=2,DA$2&lt;ExDivPct),ExDivTree!DA98+DivAmount*EXP(IntRate*(DA$2-ExDivPct)),ExDivTree!DA98))</f>
        <v>6.8907678346000001</v>
      </c>
      <c r="DB98" s="17">
        <f>IF(DB$3="","",IF(AND(DivAs=2,DB$2&lt;ExDivPct),ExDivTree!DB98+DivAmount*EXP(IntRate*(DB$2-ExDivPct)),ExDivTree!DB98))</f>
        <v>7.0993690194000001</v>
      </c>
    </row>
    <row r="99" spans="1:106" x14ac:dyDescent="0.2">
      <c r="A99">
        <f>ExDivTree!A99</f>
        <v>1267339920.0000002</v>
      </c>
      <c r="B99" s="71">
        <f>ExDivTree!B99</f>
        <v>4.9987745825696244E-22</v>
      </c>
      <c r="C99" s="71">
        <f>ExDivTree!C99</f>
        <v>3.9469570034637146E-22</v>
      </c>
      <c r="D99" s="177">
        <f>ExDivTree!D99</f>
        <v>95</v>
      </c>
      <c r="CV99" s="17">
        <f>IF(CV$3="","",IF(AND(DivAs=2,CV$2&lt;ExDivPct),ExDivTree!CV99+DivAmount*EXP(IntRate*(CV$2-ExDivPct)),ExDivTree!CV99))</f>
        <v>5.5924865298000004</v>
      </c>
      <c r="CW99" s="17">
        <f>IF(CW$3="","",IF(AND(DivAs=2,CW$2&lt;ExDivPct),ExDivTree!CW99+DivAmount*EXP(IntRate*(CW$2-ExDivPct)),ExDivTree!CW99))</f>
        <v>5.7617854155000003</v>
      </c>
      <c r="CX99" s="17">
        <f>IF(CX$3="","",IF(AND(DivAs=2,CX$2&lt;ExDivPct),ExDivTree!CX99+DivAmount*EXP(IntRate*(CX$2-ExDivPct)),ExDivTree!CX99))</f>
        <v>5.9362094119000002</v>
      </c>
      <c r="CY99" s="17">
        <f>IF(CY$3="","",IF(AND(DivAs=2,CY$2&lt;ExDivPct),ExDivTree!CY99+DivAmount*EXP(IntRate*(CY$2-ExDivPct)),ExDivTree!CY99))</f>
        <v>6.1159136693000002</v>
      </c>
      <c r="CZ99" s="17">
        <f>IF(CZ$3="","",IF(AND(DivAs=2,CZ$2&lt;ExDivPct),ExDivTree!CZ99+DivAmount*EXP(IntRate*(CZ$2-ExDivPct)),ExDivTree!CZ99))</f>
        <v>6.3010580345999996</v>
      </c>
      <c r="DA99" s="17">
        <f>IF(DA$3="","",IF(AND(DivAs=2,DA$2&lt;ExDivPct),ExDivTree!DA99+DivAmount*EXP(IntRate*(DA$2-ExDivPct)),ExDivTree!DA99))</f>
        <v>6.4918071938999997</v>
      </c>
      <c r="DB99" s="17">
        <f>IF(DB$3="","",IF(AND(DivAs=2,DB$2&lt;ExDivPct),ExDivTree!DB99+DivAmount*EXP(IntRate*(DB$2-ExDivPct)),ExDivTree!DB99))</f>
        <v>6.6883308185999999</v>
      </c>
    </row>
    <row r="100" spans="1:106" x14ac:dyDescent="0.2">
      <c r="A100">
        <f>ExDivTree!A100</f>
        <v>79208745</v>
      </c>
      <c r="B100" s="71">
        <f>ExDivTree!B100</f>
        <v>3.1242341141060146E-23</v>
      </c>
      <c r="C100" s="71">
        <f>ExDivTree!C100</f>
        <v>2.4538060395697288E-23</v>
      </c>
      <c r="D100" s="177">
        <f>ExDivTree!D100</f>
        <v>96</v>
      </c>
      <c r="CW100" s="17">
        <f>IF(CW$3="","",IF(AND(DivAs=2,CW$2&lt;ExDivPct),ExDivTree!CW100+DivAmount*EXP(IntRate*(CW$2-ExDivPct)),ExDivTree!CW100))</f>
        <v>5.4281904291999998</v>
      </c>
      <c r="CX100" s="17">
        <f>IF(CX$3="","",IF(AND(DivAs=2,CX$2&lt;ExDivPct),ExDivTree!CX100+DivAmount*EXP(IntRate*(CX$2-ExDivPct)),ExDivTree!CX100))</f>
        <v>5.5925156513000003</v>
      </c>
      <c r="CY100" s="17">
        <f>IF(CY$3="","",IF(AND(DivAs=2,CY$2&lt;ExDivPct),ExDivTree!CY100+DivAmount*EXP(IntRate*(CY$2-ExDivPct)),ExDivTree!CY100))</f>
        <v>5.7618154186000003</v>
      </c>
      <c r="CZ100" s="17">
        <f>IF(CZ$3="","",IF(AND(DivAs=2,CZ$2&lt;ExDivPct),ExDivTree!CZ100+DivAmount*EXP(IntRate*(CZ$2-ExDivPct)),ExDivTree!CZ100))</f>
        <v>5.9362403232999998</v>
      </c>
      <c r="DA100" s="17">
        <f>IF(DA$3="","",IF(AND(DivAs=2,DA$2&lt;ExDivPct),ExDivTree!DA100+DivAmount*EXP(IntRate*(DA$2-ExDivPct)),ExDivTree!DA100))</f>
        <v>6.1159455164000001</v>
      </c>
      <c r="DB100" s="17">
        <f>IF(DB$3="","",IF(AND(DivAs=2,DB$2&lt;ExDivPct),ExDivTree!DB100+DivAmount*EXP(IntRate*(DB$2-ExDivPct)),ExDivTree!DB100))</f>
        <v>6.3010908458000001</v>
      </c>
    </row>
    <row r="101" spans="1:106" x14ac:dyDescent="0.2">
      <c r="A101">
        <f>ExDivTree!A101</f>
        <v>4082925</v>
      </c>
      <c r="B101" s="71">
        <f>ExDivTree!B101</f>
        <v>1.6104299557247498E-24</v>
      </c>
      <c r="C101" s="71">
        <f>ExDivTree!C101</f>
        <v>1.258161291113277E-24</v>
      </c>
      <c r="D101" s="177">
        <f>ExDivTree!D101</f>
        <v>97</v>
      </c>
      <c r="CX101" s="17">
        <f>IF(CX$3="","",IF(AND(DivAs=2,CX$2&lt;ExDivPct),ExDivTree!CX101+DivAmount*EXP(IntRate*(CX$2-ExDivPct)),ExDivTree!CX101))</f>
        <v>5.2687210204000001</v>
      </c>
      <c r="CY101" s="17">
        <f>IF(CY$3="","",IF(AND(DivAs=2,CY$2&lt;ExDivPct),ExDivTree!CY101+DivAmount*EXP(IntRate*(CY$2-ExDivPct)),ExDivTree!CY101))</f>
        <v>5.4282186952</v>
      </c>
      <c r="CZ101" s="17">
        <f>IF(CZ$3="","",IF(AND(DivAs=2,CZ$2&lt;ExDivPct),ExDivTree!CZ101+DivAmount*EXP(IntRate*(CZ$2-ExDivPct)),ExDivTree!CZ101))</f>
        <v>5.5925447730000002</v>
      </c>
      <c r="DA101" s="17">
        <f>IF(DA$3="","",IF(AND(DivAs=2,DA$2&lt;ExDivPct),ExDivTree!DA101+DivAmount*EXP(IntRate*(DA$2-ExDivPct)),ExDivTree!DA101))</f>
        <v>5.7618454219000004</v>
      </c>
      <c r="DB101" s="17">
        <f>IF(DB$3="","",IF(AND(DivAs=2,DB$2&lt;ExDivPct),ExDivTree!DB101+DivAmount*EXP(IntRate*(DB$2-ExDivPct)),ExDivTree!DB101))</f>
        <v>5.9362712349000004</v>
      </c>
    </row>
    <row r="102" spans="1:106" x14ac:dyDescent="0.2">
      <c r="A102">
        <f>ExDivTree!A102</f>
        <v>166650.00000000003</v>
      </c>
      <c r="B102" s="71">
        <f>ExDivTree!B102</f>
        <v>6.573183492754082E-26</v>
      </c>
      <c r="C102" s="71">
        <f>ExDivTree!C102</f>
        <v>5.108201889723128E-26</v>
      </c>
      <c r="D102" s="177">
        <f>ExDivTree!D102</f>
        <v>98</v>
      </c>
      <c r="CY102" s="17">
        <f>IF(CY$3="","",IF(AND(DivAs=2,CY$2&lt;ExDivPct),ExDivTree!CY102+DivAmount*EXP(IntRate*(CY$2-ExDivPct)),ExDivTree!CY102))</f>
        <v>5.1139365046999998</v>
      </c>
      <c r="CZ102" s="17">
        <f>IF(CZ$3="","",IF(AND(DivAs=2,CZ$2&lt;ExDivPct),ExDivTree!CZ102+DivAmount*EXP(IntRate*(CZ$2-ExDivPct)),ExDivTree!CZ102))</f>
        <v>5.2687484559</v>
      </c>
      <c r="DA102" s="17">
        <f>IF(DA$3="","",IF(AND(DivAs=2,DA$2&lt;ExDivPct),ExDivTree!DA102+DivAmount*EXP(IntRate*(DA$2-ExDivPct)),ExDivTree!DA102))</f>
        <v>5.4282469612000002</v>
      </c>
      <c r="DB102" s="17">
        <f>IF(DB$3="","",IF(AND(DivAs=2,DB$2&lt;ExDivPct),ExDivTree!DB102+DivAmount*EXP(IntRate*(DB$2-ExDivPct)),ExDivTree!DB102))</f>
        <v>5.5925738946000001</v>
      </c>
    </row>
    <row r="103" spans="1:106" x14ac:dyDescent="0.2">
      <c r="A103">
        <f>ExDivTree!A103</f>
        <v>5050</v>
      </c>
      <c r="B103" s="71">
        <f>ExDivTree!B103</f>
        <v>1.9918737856830548E-27</v>
      </c>
      <c r="C103" s="71">
        <f>ExDivTree!C103</f>
        <v>1.5397560948584372E-27</v>
      </c>
      <c r="D103" s="177">
        <f>ExDivTree!D103</f>
        <v>99</v>
      </c>
      <c r="CZ103" s="17">
        <f>IF(CZ$3="","",IF(AND(DivAs=2,CZ$2&lt;ExDivPct),ExDivTree!CZ103+DivAmount*EXP(IntRate*(CZ$2-ExDivPct)),ExDivTree!CZ103))</f>
        <v>4.9636992494000003</v>
      </c>
      <c r="DA103" s="17">
        <f>IF(DA$3="","",IF(AND(DivAs=2,DA$2&lt;ExDivPct),ExDivTree!DA103+DivAmount*EXP(IntRate*(DA$2-ExDivPct)),ExDivTree!DA103))</f>
        <v>5.1139631341999996</v>
      </c>
      <c r="DB103" s="17">
        <f>IF(DB$3="","",IF(AND(DivAs=2,DB$2&lt;ExDivPct),ExDivTree!DB103+DivAmount*EXP(IntRate*(DB$2-ExDivPct)),ExDivTree!DB103))</f>
        <v>5.2687758914999998</v>
      </c>
    </row>
    <row r="104" spans="1:106" x14ac:dyDescent="0.2">
      <c r="A104">
        <f>ExDivTree!A104</f>
        <v>101</v>
      </c>
      <c r="B104" s="71">
        <f>ExDivTree!B104</f>
        <v>3.9837475713661096E-29</v>
      </c>
      <c r="C104" s="71">
        <f>ExDivTree!C104</f>
        <v>3.0632309816091825E-29</v>
      </c>
      <c r="D104" s="177">
        <f>ExDivTree!D104</f>
        <v>100</v>
      </c>
      <c r="DA104" s="17">
        <f>IF(DA$3="","",IF(AND(DivAs=2,DA$2&lt;ExDivPct),ExDivTree!DA104+DivAmount*EXP(IntRate*(DA$2-ExDivPct)),ExDivTree!DA104))</f>
        <v>4.8178756649999999</v>
      </c>
      <c r="DB104" s="17">
        <f>IF(DB$3="","",IF(AND(DivAs=2,DB$2&lt;ExDivPct),ExDivTree!DB104+DivAmount*EXP(IntRate*(DB$2-ExDivPct)),ExDivTree!DB104))</f>
        <v>4.9637250966000002</v>
      </c>
    </row>
    <row r="105" spans="1:106" x14ac:dyDescent="0.2">
      <c r="A105">
        <f>ExDivTree!A105</f>
        <v>1</v>
      </c>
      <c r="B105" s="71">
        <f>ExDivTree!B105</f>
        <v>3.944304526105059E-31</v>
      </c>
      <c r="C105" s="71">
        <f>ExDivTree!C105</f>
        <v>3.0168671795395678E-31</v>
      </c>
      <c r="D105" s="177">
        <f>ExDivTree!D105</f>
        <v>101</v>
      </c>
      <c r="DB105" s="17">
        <f>IF(DB$3="","",IF(AND(DivAs=2,DB$2&lt;ExDivPct),ExDivTree!DB105+DivAmount*EXP(IntRate*(DB$2-ExDivPct)),ExDivTree!DB105))</f>
        <v>4.6763360867000001</v>
      </c>
    </row>
  </sheetData>
  <mergeCells count="2">
    <mergeCell ref="A1:D1"/>
    <mergeCell ref="E1:I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AC5CC9-6656-4BA0-AA45-63A1DF8A6756}">
  <sheetPr codeName="Sheet5"/>
  <dimension ref="A1:DB105"/>
  <sheetViews>
    <sheetView workbookViewId="0">
      <pane xSplit="4" ySplit="3" topLeftCell="E4" activePane="bottomRight" state="frozen"/>
      <selection pane="topRight" activeCell="B1" sqref="B1"/>
      <selection pane="bottomLeft" activeCell="A3" sqref="A3"/>
      <selection pane="bottomRight" activeCell="F10" sqref="F10"/>
    </sheetView>
  </sheetViews>
  <sheetFormatPr baseColWidth="10" defaultColWidth="8.83203125" defaultRowHeight="15" x14ac:dyDescent="0.2"/>
  <cols>
    <col min="1" max="4" width="10.1640625" customWidth="1"/>
  </cols>
  <sheetData>
    <row r="1" spans="1:106" ht="24" customHeight="1" x14ac:dyDescent="0.3">
      <c r="A1" s="207" t="s">
        <v>21</v>
      </c>
      <c r="B1" s="208"/>
      <c r="C1" s="208"/>
      <c r="D1" s="208"/>
      <c r="E1" s="202"/>
      <c r="F1" s="199"/>
      <c r="G1" s="199"/>
      <c r="H1" s="199"/>
      <c r="I1" s="199"/>
      <c r="J1" s="46"/>
      <c r="K1" s="46"/>
      <c r="L1" s="46"/>
      <c r="M1" s="46"/>
      <c r="N1" s="46"/>
      <c r="O1" s="46"/>
      <c r="P1" s="46"/>
      <c r="Q1" s="46"/>
      <c r="R1" s="46"/>
      <c r="S1" s="46"/>
      <c r="T1" s="46"/>
      <c r="U1" s="46"/>
      <c r="V1" s="46"/>
      <c r="W1" s="46"/>
      <c r="X1" s="46"/>
      <c r="Y1" s="46"/>
      <c r="Z1" s="46"/>
      <c r="AA1" s="46"/>
      <c r="AB1" s="46"/>
      <c r="AC1" s="46"/>
      <c r="AD1" s="46"/>
      <c r="AE1" s="46"/>
      <c r="AF1" s="46"/>
      <c r="AG1" s="46"/>
      <c r="AH1" s="46"/>
      <c r="AI1" s="46"/>
      <c r="AJ1" s="46"/>
      <c r="AK1" s="46"/>
      <c r="AL1" s="46"/>
      <c r="AM1" s="46"/>
      <c r="AN1" s="46"/>
      <c r="AO1" s="46"/>
      <c r="AP1" s="46"/>
      <c r="AQ1" s="46"/>
      <c r="AR1" s="46"/>
      <c r="AS1" s="46"/>
      <c r="AT1" s="46"/>
      <c r="AU1" s="46"/>
      <c r="AV1" s="46"/>
      <c r="AW1" s="46"/>
      <c r="AX1" s="46"/>
      <c r="AY1" s="46"/>
      <c r="AZ1" s="46"/>
      <c r="BA1" s="46"/>
      <c r="BB1" s="46"/>
      <c r="BC1" s="46"/>
      <c r="BD1" s="46"/>
      <c r="BE1" s="46"/>
      <c r="BF1" s="46"/>
      <c r="BG1" s="46"/>
      <c r="BH1" s="46"/>
      <c r="BI1" s="46"/>
      <c r="BJ1" s="46"/>
      <c r="BK1" s="46"/>
      <c r="BL1" s="46"/>
      <c r="BM1" s="46"/>
      <c r="BN1" s="46"/>
      <c r="BO1" s="46"/>
      <c r="BP1" s="46"/>
      <c r="BQ1" s="46"/>
      <c r="BR1" s="46"/>
      <c r="BS1" s="46"/>
      <c r="BT1" s="46"/>
      <c r="BU1" s="46"/>
      <c r="BV1" s="46"/>
      <c r="BW1" s="46"/>
      <c r="BX1" s="46"/>
      <c r="BY1" s="46"/>
      <c r="BZ1" s="46"/>
      <c r="CA1" s="46"/>
      <c r="CB1" s="46"/>
      <c r="CC1" s="46"/>
      <c r="CD1" s="46"/>
      <c r="CE1" s="46"/>
      <c r="CF1" s="46"/>
      <c r="CG1" s="46"/>
      <c r="CH1" s="46"/>
      <c r="CI1" s="46"/>
      <c r="CJ1" s="46"/>
      <c r="CK1" s="46"/>
      <c r="CL1" s="46"/>
      <c r="CM1" s="46"/>
      <c r="CN1" s="46"/>
      <c r="CO1" s="46"/>
      <c r="CP1" s="46"/>
      <c r="CQ1" s="46"/>
      <c r="CR1" s="46"/>
      <c r="CS1" s="46"/>
      <c r="CT1" s="46"/>
      <c r="CU1" s="46"/>
      <c r="CV1" s="46"/>
      <c r="CW1" s="46"/>
      <c r="CX1" s="46"/>
      <c r="CY1" s="46"/>
      <c r="CZ1" s="46"/>
      <c r="DA1" s="46"/>
      <c r="DB1" s="47"/>
    </row>
    <row r="2" spans="1:106" x14ac:dyDescent="0.2">
      <c r="A2" s="191">
        <f>Paths</f>
        <v>2.5353012004564588E+30</v>
      </c>
      <c r="B2" s="192">
        <f>ExDivTree!B2</f>
        <v>1</v>
      </c>
      <c r="C2" s="192">
        <f>ExDivTree!C2</f>
        <v>0.99999999999999778</v>
      </c>
      <c r="D2" s="20" t="s">
        <v>35</v>
      </c>
      <c r="E2" s="194">
        <f>ExDivTree!E2</f>
        <v>0</v>
      </c>
      <c r="F2" s="194">
        <f>ExDivTree!F2</f>
        <v>9.9281160992811621E-3</v>
      </c>
      <c r="G2" s="194">
        <f>ExDivTree!G2</f>
        <v>1.9856232198562324E-2</v>
      </c>
      <c r="H2" s="194">
        <f>ExDivTree!H2</f>
        <v>2.9784348297843488E-2</v>
      </c>
      <c r="I2" s="194">
        <f>ExDivTree!I2</f>
        <v>3.9712464397124649E-2</v>
      </c>
      <c r="J2" s="194">
        <f>ExDivTree!J2</f>
        <v>4.9640580496405809E-2</v>
      </c>
      <c r="K2" s="194">
        <f>ExDivTree!K2</f>
        <v>5.9568696595686976E-2</v>
      </c>
      <c r="L2" s="194">
        <f>ExDivTree!L2</f>
        <v>6.949681269496813E-2</v>
      </c>
      <c r="M2" s="194">
        <f>ExDivTree!M2</f>
        <v>7.9424928794249297E-2</v>
      </c>
      <c r="N2" s="194">
        <f>ExDivTree!N2</f>
        <v>8.9353044893530464E-2</v>
      </c>
      <c r="O2" s="194">
        <f>ExDivTree!O2</f>
        <v>9.9281160992811618E-2</v>
      </c>
      <c r="P2" s="194">
        <f>ExDivTree!P2</f>
        <v>0.10920927709209279</v>
      </c>
      <c r="Q2" s="194">
        <f>ExDivTree!Q2</f>
        <v>0.11913739319137395</v>
      </c>
      <c r="R2" s="194">
        <f>ExDivTree!R2</f>
        <v>0.12906550929065511</v>
      </c>
      <c r="S2" s="194">
        <f>ExDivTree!S2</f>
        <v>0.13899362538993626</v>
      </c>
      <c r="T2" s="194">
        <f>ExDivTree!T2</f>
        <v>0.14892174148921744</v>
      </c>
      <c r="U2" s="194">
        <f>ExDivTree!U2</f>
        <v>0.15884985758849859</v>
      </c>
      <c r="V2" s="194">
        <f>ExDivTree!V2</f>
        <v>0.16877797368777975</v>
      </c>
      <c r="W2" s="194">
        <f>ExDivTree!W2</f>
        <v>0.17870608978706093</v>
      </c>
      <c r="X2" s="194">
        <f>ExDivTree!X2</f>
        <v>0.18863420588634208</v>
      </c>
      <c r="Y2" s="194">
        <f>ExDivTree!Y2</f>
        <v>0.19856232198562324</v>
      </c>
      <c r="Z2" s="194">
        <f>ExDivTree!Z2</f>
        <v>0.20849043808490442</v>
      </c>
      <c r="AA2" s="194">
        <f>ExDivTree!AA2</f>
        <v>0.21841855418418557</v>
      </c>
      <c r="AB2" s="194">
        <f>ExDivTree!AB2</f>
        <v>0.22834667028346672</v>
      </c>
      <c r="AC2" s="194">
        <f>ExDivTree!AC2</f>
        <v>0.23827478638274791</v>
      </c>
      <c r="AD2" s="194">
        <f>ExDivTree!AD2</f>
        <v>0.24820290248202906</v>
      </c>
      <c r="AE2" s="194">
        <f>ExDivTree!AE2</f>
        <v>0.25813101858131021</v>
      </c>
      <c r="AF2" s="194">
        <f>ExDivTree!AF2</f>
        <v>0.26805913468059139</v>
      </c>
      <c r="AG2" s="194">
        <f>ExDivTree!AG2</f>
        <v>0.27798725077987252</v>
      </c>
      <c r="AH2" s="194">
        <f>ExDivTree!AH2</f>
        <v>0.2879153668791537</v>
      </c>
      <c r="AI2" s="194">
        <f>ExDivTree!AI2</f>
        <v>0.29784348297843488</v>
      </c>
      <c r="AJ2" s="194">
        <f>ExDivTree!AJ2</f>
        <v>0.30777159907771601</v>
      </c>
      <c r="AK2" s="194">
        <f>ExDivTree!AK2</f>
        <v>0.31769971517699719</v>
      </c>
      <c r="AL2" s="194">
        <f>ExDivTree!AL2</f>
        <v>0.32762783127627837</v>
      </c>
      <c r="AM2" s="194">
        <f>ExDivTree!AM2</f>
        <v>0.3375559473755595</v>
      </c>
      <c r="AN2" s="194">
        <f>ExDivTree!AN2</f>
        <v>0.34748406347484068</v>
      </c>
      <c r="AO2" s="194">
        <f>ExDivTree!AO2</f>
        <v>0.35741217957412186</v>
      </c>
      <c r="AP2" s="194">
        <f>ExDivTree!AP2</f>
        <v>0.36734029567340298</v>
      </c>
      <c r="AQ2" s="194">
        <f>ExDivTree!AQ2</f>
        <v>0.37726841177268416</v>
      </c>
      <c r="AR2" s="194">
        <f>ExDivTree!AR2</f>
        <v>0.38719652787196535</v>
      </c>
      <c r="AS2" s="194">
        <f>ExDivTree!AS2</f>
        <v>0.39712464397124647</v>
      </c>
      <c r="AT2" s="194">
        <f>ExDivTree!AT2</f>
        <v>0.40705276007052765</v>
      </c>
      <c r="AU2" s="194">
        <f>ExDivTree!AU2</f>
        <v>0.41698087616980883</v>
      </c>
      <c r="AV2" s="194">
        <f>ExDivTree!AV2</f>
        <v>0.42690899226908996</v>
      </c>
      <c r="AW2" s="194">
        <f>ExDivTree!AW2</f>
        <v>0.43683710836837114</v>
      </c>
      <c r="AX2" s="194">
        <f>ExDivTree!AX2</f>
        <v>0.44676522446765232</v>
      </c>
      <c r="AY2" s="194">
        <f>ExDivTree!AY2</f>
        <v>0.45669334056693345</v>
      </c>
      <c r="AZ2" s="194">
        <f>ExDivTree!AZ2</f>
        <v>0.46662145666621463</v>
      </c>
      <c r="BA2" s="194">
        <f>ExDivTree!BA2</f>
        <v>0.47654957276549581</v>
      </c>
      <c r="BB2" s="194">
        <f>ExDivTree!BB2</f>
        <v>0.48647768886477694</v>
      </c>
      <c r="BC2" s="194">
        <f>ExDivTree!BC2</f>
        <v>0.49640580496405812</v>
      </c>
      <c r="BD2" s="194">
        <f>ExDivTree!BD2</f>
        <v>0.5063339210633393</v>
      </c>
      <c r="BE2" s="194">
        <f>ExDivTree!BE2</f>
        <v>0.51626203716262042</v>
      </c>
      <c r="BF2" s="194">
        <f>ExDivTree!BF2</f>
        <v>0.52619015326190155</v>
      </c>
      <c r="BG2" s="194">
        <f>ExDivTree!BG2</f>
        <v>0.53611826936118279</v>
      </c>
      <c r="BH2" s="194">
        <f>ExDivTree!BH2</f>
        <v>0.54604638546046391</v>
      </c>
      <c r="BI2" s="194">
        <f>ExDivTree!BI2</f>
        <v>0.55597450155974504</v>
      </c>
      <c r="BJ2" s="194">
        <f>ExDivTree!BJ2</f>
        <v>0.56590261765902627</v>
      </c>
      <c r="BK2" s="194">
        <f>ExDivTree!BK2</f>
        <v>0.5758307337583074</v>
      </c>
      <c r="BL2" s="194">
        <f>ExDivTree!BL2</f>
        <v>0.58575884985758853</v>
      </c>
      <c r="BM2" s="194">
        <f>ExDivTree!BM2</f>
        <v>0.59568696595686976</v>
      </c>
      <c r="BN2" s="194">
        <f>ExDivTree!BN2</f>
        <v>0.60561508205615089</v>
      </c>
      <c r="BO2" s="194">
        <f>ExDivTree!BO2</f>
        <v>0.61554319815543201</v>
      </c>
      <c r="BP2" s="194">
        <f>ExDivTree!BP2</f>
        <v>0.62547131425471325</v>
      </c>
      <c r="BQ2" s="194">
        <f>ExDivTree!BQ2</f>
        <v>0.63539943035399438</v>
      </c>
      <c r="BR2" s="194">
        <f>ExDivTree!BR2</f>
        <v>0.6453275464532755</v>
      </c>
      <c r="BS2" s="194">
        <f>ExDivTree!BS2</f>
        <v>0.65525566255255674</v>
      </c>
      <c r="BT2" s="194">
        <f>ExDivTree!BT2</f>
        <v>0.66518377865183786</v>
      </c>
      <c r="BU2" s="194">
        <f>ExDivTree!BU2</f>
        <v>0.67511189475111899</v>
      </c>
      <c r="BV2" s="194">
        <f>ExDivTree!BV2</f>
        <v>0.68504001085040023</v>
      </c>
      <c r="BW2" s="194">
        <f>ExDivTree!BW2</f>
        <v>0.69496812694968135</v>
      </c>
      <c r="BX2" s="194">
        <f>ExDivTree!BX2</f>
        <v>0.70489624304896248</v>
      </c>
      <c r="BY2" s="194">
        <f>ExDivTree!BY2</f>
        <v>0.71482435914824372</v>
      </c>
      <c r="BZ2" s="194">
        <f>ExDivTree!BZ2</f>
        <v>0.72475247524752484</v>
      </c>
      <c r="CA2" s="194">
        <f>ExDivTree!CA2</f>
        <v>0.73468059134680597</v>
      </c>
      <c r="CB2" s="194">
        <f>ExDivTree!CB2</f>
        <v>0.7446087074460872</v>
      </c>
      <c r="CC2" s="194">
        <f>ExDivTree!CC2</f>
        <v>0.75453682354536833</v>
      </c>
      <c r="CD2" s="194">
        <f>ExDivTree!CD2</f>
        <v>0.76446493964464945</v>
      </c>
      <c r="CE2" s="194">
        <f>ExDivTree!CE2</f>
        <v>0.77439305574393069</v>
      </c>
      <c r="CF2" s="194">
        <f>ExDivTree!CF2</f>
        <v>0.78432117184321182</v>
      </c>
      <c r="CG2" s="194">
        <f>ExDivTree!CG2</f>
        <v>0.79424928794249294</v>
      </c>
      <c r="CH2" s="194">
        <f>ExDivTree!CH2</f>
        <v>0.80417740404177418</v>
      </c>
      <c r="CI2" s="194">
        <f>ExDivTree!CI2</f>
        <v>0.81410552014105531</v>
      </c>
      <c r="CJ2" s="194">
        <f>ExDivTree!CJ2</f>
        <v>0.82403363624033643</v>
      </c>
      <c r="CK2" s="194">
        <f>ExDivTree!CK2</f>
        <v>0.83396175233961767</v>
      </c>
      <c r="CL2" s="194">
        <f>ExDivTree!CL2</f>
        <v>0.84388986843889879</v>
      </c>
      <c r="CM2" s="194">
        <f>ExDivTree!CM2</f>
        <v>0.85381798453817992</v>
      </c>
      <c r="CN2" s="194">
        <f>ExDivTree!CN2</f>
        <v>0.86374610063746116</v>
      </c>
      <c r="CO2" s="194">
        <f>ExDivTree!CO2</f>
        <v>0.87367421673674228</v>
      </c>
      <c r="CP2" s="194">
        <f>ExDivTree!CP2</f>
        <v>0.88360233283602341</v>
      </c>
      <c r="CQ2" s="194">
        <f>ExDivTree!CQ2</f>
        <v>0.89353044893530464</v>
      </c>
      <c r="CR2" s="194">
        <f>ExDivTree!CR2</f>
        <v>0.90345856503458577</v>
      </c>
      <c r="CS2" s="194">
        <f>ExDivTree!CS2</f>
        <v>0.9133866811338669</v>
      </c>
      <c r="CT2" s="194">
        <f>ExDivTree!CT2</f>
        <v>0.92331479723314813</v>
      </c>
      <c r="CU2" s="194">
        <f>ExDivTree!CU2</f>
        <v>0.93324291333242926</v>
      </c>
      <c r="CV2" s="194">
        <f>ExDivTree!CV2</f>
        <v>0.94317102943171038</v>
      </c>
      <c r="CW2" s="194">
        <f>ExDivTree!CW2</f>
        <v>0.95309914553099162</v>
      </c>
      <c r="CX2" s="194">
        <f>ExDivTree!CX2</f>
        <v>0.96302726163027275</v>
      </c>
      <c r="CY2" s="194">
        <f>ExDivTree!CY2</f>
        <v>0.97295537772955387</v>
      </c>
      <c r="CZ2" s="194">
        <f>ExDivTree!CZ2</f>
        <v>0.982883493828835</v>
      </c>
      <c r="DA2" s="194">
        <f>ExDivTree!DA2</f>
        <v>0.99281160992811623</v>
      </c>
      <c r="DB2" s="195">
        <f>ExDivTree!DB2</f>
        <v>1.0027397260273974</v>
      </c>
    </row>
    <row r="3" spans="1:106" x14ac:dyDescent="0.2">
      <c r="A3" s="58" t="s">
        <v>18</v>
      </c>
      <c r="B3" s="3" t="s">
        <v>19</v>
      </c>
      <c r="C3" s="3" t="s">
        <v>20</v>
      </c>
      <c r="D3" s="20" t="s">
        <v>34</v>
      </c>
      <c r="E3" s="182">
        <f>ExDivTree!E3</f>
        <v>0</v>
      </c>
      <c r="F3" s="182">
        <f>ExDivTree!F3</f>
        <v>1</v>
      </c>
      <c r="G3" s="182">
        <f>ExDivTree!G3</f>
        <v>2</v>
      </c>
      <c r="H3" s="182">
        <f>ExDivTree!H3</f>
        <v>3</v>
      </c>
      <c r="I3" s="182">
        <f>ExDivTree!I3</f>
        <v>4</v>
      </c>
      <c r="J3" s="182">
        <f>ExDivTree!J3</f>
        <v>5</v>
      </c>
      <c r="K3" s="182">
        <f>ExDivTree!K3</f>
        <v>6</v>
      </c>
      <c r="L3" s="182">
        <f>ExDivTree!L3</f>
        <v>7</v>
      </c>
      <c r="M3" s="182">
        <f>ExDivTree!M3</f>
        <v>8</v>
      </c>
      <c r="N3" s="182">
        <f>ExDivTree!N3</f>
        <v>9</v>
      </c>
      <c r="O3" s="182">
        <f>ExDivTree!O3</f>
        <v>10</v>
      </c>
      <c r="P3" s="182">
        <f>ExDivTree!P3</f>
        <v>11</v>
      </c>
      <c r="Q3" s="182">
        <f>ExDivTree!Q3</f>
        <v>12</v>
      </c>
      <c r="R3" s="182">
        <f>ExDivTree!R3</f>
        <v>13</v>
      </c>
      <c r="S3" s="182">
        <f>ExDivTree!S3</f>
        <v>14</v>
      </c>
      <c r="T3" s="182">
        <f>ExDivTree!T3</f>
        <v>15</v>
      </c>
      <c r="U3" s="182">
        <f>ExDivTree!U3</f>
        <v>16</v>
      </c>
      <c r="V3" s="182">
        <f>ExDivTree!V3</f>
        <v>17</v>
      </c>
      <c r="W3" s="182">
        <f>ExDivTree!W3</f>
        <v>18</v>
      </c>
      <c r="X3" s="182">
        <f>ExDivTree!X3</f>
        <v>19</v>
      </c>
      <c r="Y3" s="182">
        <f>ExDivTree!Y3</f>
        <v>20</v>
      </c>
      <c r="Z3" s="182">
        <f>ExDivTree!Z3</f>
        <v>21</v>
      </c>
      <c r="AA3" s="182">
        <f>ExDivTree!AA3</f>
        <v>22</v>
      </c>
      <c r="AB3" s="182">
        <f>ExDivTree!AB3</f>
        <v>23</v>
      </c>
      <c r="AC3" s="182">
        <f>ExDivTree!AC3</f>
        <v>24</v>
      </c>
      <c r="AD3" s="182">
        <f>ExDivTree!AD3</f>
        <v>25</v>
      </c>
      <c r="AE3" s="182">
        <f>ExDivTree!AE3</f>
        <v>26</v>
      </c>
      <c r="AF3" s="182">
        <f>ExDivTree!AF3</f>
        <v>27</v>
      </c>
      <c r="AG3" s="182">
        <f>ExDivTree!AG3</f>
        <v>28</v>
      </c>
      <c r="AH3" s="182">
        <f>ExDivTree!AH3</f>
        <v>29</v>
      </c>
      <c r="AI3" s="182">
        <f>ExDivTree!AI3</f>
        <v>30</v>
      </c>
      <c r="AJ3" s="182">
        <f>ExDivTree!AJ3</f>
        <v>31</v>
      </c>
      <c r="AK3" s="182">
        <f>ExDivTree!AK3</f>
        <v>32</v>
      </c>
      <c r="AL3" s="182">
        <f>ExDivTree!AL3</f>
        <v>33</v>
      </c>
      <c r="AM3" s="182">
        <f>ExDivTree!AM3</f>
        <v>34</v>
      </c>
      <c r="AN3" s="182">
        <f>ExDivTree!AN3</f>
        <v>35</v>
      </c>
      <c r="AO3" s="182">
        <f>ExDivTree!AO3</f>
        <v>36</v>
      </c>
      <c r="AP3" s="182">
        <f>ExDivTree!AP3</f>
        <v>37</v>
      </c>
      <c r="AQ3" s="182">
        <f>ExDivTree!AQ3</f>
        <v>38</v>
      </c>
      <c r="AR3" s="182">
        <f>ExDivTree!AR3</f>
        <v>39</v>
      </c>
      <c r="AS3" s="182">
        <f>ExDivTree!AS3</f>
        <v>40</v>
      </c>
      <c r="AT3" s="182">
        <f>ExDivTree!AT3</f>
        <v>41</v>
      </c>
      <c r="AU3" s="182">
        <f>ExDivTree!AU3</f>
        <v>42</v>
      </c>
      <c r="AV3" s="182">
        <f>ExDivTree!AV3</f>
        <v>43</v>
      </c>
      <c r="AW3" s="182">
        <f>ExDivTree!AW3</f>
        <v>44</v>
      </c>
      <c r="AX3" s="182">
        <f>ExDivTree!AX3</f>
        <v>45</v>
      </c>
      <c r="AY3" s="182">
        <f>ExDivTree!AY3</f>
        <v>46</v>
      </c>
      <c r="AZ3" s="182">
        <f>ExDivTree!AZ3</f>
        <v>47</v>
      </c>
      <c r="BA3" s="182">
        <f>ExDivTree!BA3</f>
        <v>48</v>
      </c>
      <c r="BB3" s="182">
        <f>ExDivTree!BB3</f>
        <v>49</v>
      </c>
      <c r="BC3" s="182">
        <f>ExDivTree!BC3</f>
        <v>50</v>
      </c>
      <c r="BD3" s="182">
        <f>ExDivTree!BD3</f>
        <v>51</v>
      </c>
      <c r="BE3" s="182">
        <f>ExDivTree!BE3</f>
        <v>52</v>
      </c>
      <c r="BF3" s="182">
        <f>ExDivTree!BF3</f>
        <v>53</v>
      </c>
      <c r="BG3" s="182">
        <f>ExDivTree!BG3</f>
        <v>54</v>
      </c>
      <c r="BH3" s="182">
        <f>ExDivTree!BH3</f>
        <v>55</v>
      </c>
      <c r="BI3" s="182">
        <f>ExDivTree!BI3</f>
        <v>56</v>
      </c>
      <c r="BJ3" s="182">
        <f>ExDivTree!BJ3</f>
        <v>57</v>
      </c>
      <c r="BK3" s="182">
        <f>ExDivTree!BK3</f>
        <v>58</v>
      </c>
      <c r="BL3" s="182">
        <f>ExDivTree!BL3</f>
        <v>59</v>
      </c>
      <c r="BM3" s="182">
        <f>ExDivTree!BM3</f>
        <v>60</v>
      </c>
      <c r="BN3" s="182">
        <f>ExDivTree!BN3</f>
        <v>61</v>
      </c>
      <c r="BO3" s="182">
        <f>ExDivTree!BO3</f>
        <v>62</v>
      </c>
      <c r="BP3" s="182">
        <f>ExDivTree!BP3</f>
        <v>63</v>
      </c>
      <c r="BQ3" s="182">
        <f>ExDivTree!BQ3</f>
        <v>64</v>
      </c>
      <c r="BR3" s="182">
        <f>ExDivTree!BR3</f>
        <v>65</v>
      </c>
      <c r="BS3" s="182">
        <f>ExDivTree!BS3</f>
        <v>66</v>
      </c>
      <c r="BT3" s="182">
        <f>ExDivTree!BT3</f>
        <v>67</v>
      </c>
      <c r="BU3" s="182">
        <f>ExDivTree!BU3</f>
        <v>68</v>
      </c>
      <c r="BV3" s="182">
        <f>ExDivTree!BV3</f>
        <v>69</v>
      </c>
      <c r="BW3" s="182">
        <f>ExDivTree!BW3</f>
        <v>70</v>
      </c>
      <c r="BX3" s="182">
        <f>ExDivTree!BX3</f>
        <v>71</v>
      </c>
      <c r="BY3" s="182">
        <f>ExDivTree!BY3</f>
        <v>72</v>
      </c>
      <c r="BZ3" s="182">
        <f>ExDivTree!BZ3</f>
        <v>73</v>
      </c>
      <c r="CA3" s="182">
        <f>ExDivTree!CA3</f>
        <v>74</v>
      </c>
      <c r="CB3" s="182">
        <f>ExDivTree!CB3</f>
        <v>75</v>
      </c>
      <c r="CC3" s="182">
        <f>ExDivTree!CC3</f>
        <v>76</v>
      </c>
      <c r="CD3" s="182">
        <f>ExDivTree!CD3</f>
        <v>77</v>
      </c>
      <c r="CE3" s="182">
        <f>ExDivTree!CE3</f>
        <v>78</v>
      </c>
      <c r="CF3" s="182">
        <f>ExDivTree!CF3</f>
        <v>79</v>
      </c>
      <c r="CG3" s="182">
        <f>ExDivTree!CG3</f>
        <v>80</v>
      </c>
      <c r="CH3" s="182">
        <f>ExDivTree!CH3</f>
        <v>81</v>
      </c>
      <c r="CI3" s="182">
        <f>ExDivTree!CI3</f>
        <v>82</v>
      </c>
      <c r="CJ3" s="182">
        <f>ExDivTree!CJ3</f>
        <v>83</v>
      </c>
      <c r="CK3" s="182">
        <f>ExDivTree!CK3</f>
        <v>84</v>
      </c>
      <c r="CL3" s="182">
        <f>ExDivTree!CL3</f>
        <v>85</v>
      </c>
      <c r="CM3" s="182">
        <f>ExDivTree!CM3</f>
        <v>86</v>
      </c>
      <c r="CN3" s="182">
        <f>ExDivTree!CN3</f>
        <v>87</v>
      </c>
      <c r="CO3" s="182">
        <f>ExDivTree!CO3</f>
        <v>88</v>
      </c>
      <c r="CP3" s="182">
        <f>ExDivTree!CP3</f>
        <v>89</v>
      </c>
      <c r="CQ3" s="182">
        <f>ExDivTree!CQ3</f>
        <v>90</v>
      </c>
      <c r="CR3" s="182">
        <f>ExDivTree!CR3</f>
        <v>91</v>
      </c>
      <c r="CS3" s="182">
        <f>ExDivTree!CS3</f>
        <v>92</v>
      </c>
      <c r="CT3" s="182">
        <f>ExDivTree!CT3</f>
        <v>93</v>
      </c>
      <c r="CU3" s="182">
        <f>ExDivTree!CU3</f>
        <v>94</v>
      </c>
      <c r="CV3" s="182">
        <f>ExDivTree!CV3</f>
        <v>95</v>
      </c>
      <c r="CW3" s="182">
        <f>ExDivTree!CW3</f>
        <v>96</v>
      </c>
      <c r="CX3" s="182">
        <f>ExDivTree!CX3</f>
        <v>97</v>
      </c>
      <c r="CY3" s="182">
        <f>ExDivTree!CY3</f>
        <v>98</v>
      </c>
      <c r="CZ3" s="182">
        <f>ExDivTree!CZ3</f>
        <v>99</v>
      </c>
      <c r="DA3" s="182">
        <f>ExDivTree!DA3</f>
        <v>100</v>
      </c>
      <c r="DB3" s="193">
        <f>ExDivTree!DB3</f>
        <v>101</v>
      </c>
    </row>
    <row r="4" spans="1:106" x14ac:dyDescent="0.2">
      <c r="A4" s="69">
        <f>ExDivTree!A4</f>
        <v>1</v>
      </c>
      <c r="B4" s="70">
        <f>ExDivTree!B4</f>
        <v>3.944304526105059E-31</v>
      </c>
      <c r="C4" s="70">
        <f>ExDivTree!C4</f>
        <v>5.1531945648814299E-31</v>
      </c>
      <c r="D4" s="177">
        <f>ExDivTree!D4</f>
        <v>0</v>
      </c>
      <c r="E4" s="17">
        <f>IF(E$3="","",IF(E$3=Steps,MAX(IF(CallPut=1,UndTree!E4-Strike,Strike-UndTree!E4),0),MAX((2-AmEur)*IF(CallPut=1,UndTree!E4-Strike,Strike-UndTree!E4),(UpProb*F4+DownProb*F5)*StepDiscount)))</f>
        <v>11.429209130581711</v>
      </c>
      <c r="F4" s="17">
        <f>IF(F$3="","",IF(F$3=Steps,MAX(IF(CallPut=1,UndTree!F4-Strike,Strike-UndTree!F4),0),MAX((2-AmEur)*IF(CallPut=1,UndTree!F4-Strike,Strike-UndTree!F4),(UpProb*G4+DownProb*G5)*StepDiscount)))</f>
        <v>13.023925598093184</v>
      </c>
      <c r="G4" s="17">
        <f>IF(G$3="","",IF(G$3=Steps,MAX(IF(CallPut=1,UndTree!G4-Strike,Strike-UndTree!G4),0),MAX((2-AmEur)*IF(CallPut=1,UndTree!G4-Strike,Strike-UndTree!G4),(UpProb*H4+DownProb*H5)*StepDiscount)))</f>
        <v>14.778472081190365</v>
      </c>
      <c r="H4" s="17">
        <f>IF(H$3="","",IF(H$3=Steps,MAX(IF(CallPut=1,UndTree!H4-Strike,Strike-UndTree!H4),0),MAX((2-AmEur)*IF(CallPut=1,UndTree!H4-Strike,Strike-UndTree!H4),(UpProb*I4+DownProb*I5)*StepDiscount)))</f>
        <v>16.699410835153973</v>
      </c>
      <c r="I4" s="17">
        <f>IF(I$3="","",IF(I$3=Steps,MAX(IF(CallPut=1,UndTree!I4-Strike,Strike-UndTree!I4),0),MAX((2-AmEur)*IF(CallPut=1,UndTree!I4-Strike,Strike-UndTree!I4),(UpProb*J4+DownProb*J5)*StepDiscount)))</f>
        <v>18.792412559057976</v>
      </c>
      <c r="J4" s="17">
        <f>IF(J$3="","",IF(J$3=Steps,MAX(IF(CallPut=1,UndTree!J4-Strike,Strike-UndTree!J4),0),MAX((2-AmEur)*IF(CallPut=1,UndTree!J4-Strike,Strike-UndTree!J4),(UpProb*K4+DownProb*K5)*StepDiscount)))</f>
        <v>21.062178212131137</v>
      </c>
      <c r="K4" s="17">
        <f>IF(K$3="","",IF(K$3=Steps,MAX(IF(CallPut=1,UndTree!K4-Strike,Strike-UndTree!K4),0),MAX((2-AmEur)*IF(CallPut=1,UndTree!K4-Strike,Strike-UndTree!K4),(UpProb*L4+DownProb*L5)*StepDiscount)))</f>
        <v>23.512391283988787</v>
      </c>
      <c r="L4" s="17">
        <f>IF(L$3="","",IF(L$3=Steps,MAX(IF(CallPut=1,UndTree!L4-Strike,Strike-UndTree!L4),0),MAX((2-AmEur)*IF(CallPut=1,UndTree!L4-Strike,Strike-UndTree!L4),(UpProb*M4+DownProb*M5)*StepDiscount)))</f>
        <v>26.145704075977132</v>
      </c>
      <c r="M4" s="17">
        <f>IF(M$3="","",IF(M$3=Steps,MAX(IF(CallPut=1,UndTree!M4-Strike,Strike-UndTree!M4),0),MAX((2-AmEur)*IF(CallPut=1,UndTree!M4-Strike,Strike-UndTree!M4),(UpProb*N4+DownProb*N5)*StepDiscount)))</f>
        <v>28.963759978401395</v>
      </c>
      <c r="N4" s="17">
        <f>IF(N$3="","",IF(N$3=Steps,MAX(IF(CallPut=1,UndTree!N4-Strike,Strike-UndTree!N4),0),MAX((2-AmEur)*IF(CallPut=1,UndTree!N4-Strike,Strike-UndTree!N4),(UpProb*O4+DownProb*O5)*StepDiscount)))</f>
        <v>31.967251913868317</v>
      </c>
      <c r="O4" s="17">
        <f>IF(O$3="","",IF(O$3=Steps,MAX(IF(CallPut=1,UndTree!O4-Strike,Strike-UndTree!O4),0),MAX((2-AmEur)*IF(CallPut=1,UndTree!O4-Strike,Strike-UndTree!O4),(UpProb*P4+DownProb*P5)*StepDiscount)))</f>
        <v>35.15601517594272</v>
      </c>
      <c r="P4" s="17">
        <f>IF(P$3="","",IF(P$3=Steps,MAX(IF(CallPut=1,UndTree!P4-Strike,Strike-UndTree!P4),0),MAX((2-AmEur)*IF(CallPut=1,UndTree!P4-Strike,Strike-UndTree!P4),(UpProb*Q4+DownProb*Q5)*StepDiscount)))</f>
        <v>38.529150962740879</v>
      </c>
      <c r="Q4" s="17">
        <f>IF(Q$3="","",IF(Q$3=Steps,MAX(IF(CallPut=1,UndTree!Q4-Strike,Strike-UndTree!Q4),0),MAX((2-AmEur)*IF(CallPut=1,UndTree!Q4-Strike,Strike-UndTree!Q4),(UpProb*R4+DownProb*R5)*StepDiscount)))</f>
        <v>42.085175136144038</v>
      </c>
      <c r="R4" s="17">
        <f>IF(R$3="","",IF(R$3=Steps,MAX(IF(CallPut=1,UndTree!R4-Strike,Strike-UndTree!R4),0),MAX((2-AmEur)*IF(CallPut=1,UndTree!R4-Strike,Strike-UndTree!R4),(UpProb*S4+DownProb*S5)*StepDiscount)))</f>
        <v>45.822185275683097</v>
      </c>
      <c r="S4" s="17">
        <f>IF(S$3="","",IF(S$3=Steps,MAX(IF(CallPut=1,UndTree!S4-Strike,Strike-UndTree!S4),0),MAX((2-AmEur)*IF(CallPut=1,UndTree!S4-Strike,Strike-UndTree!S4),(UpProb*T4+DownProb*T5)*StepDiscount)))</f>
        <v>49.738038070938373</v>
      </c>
      <c r="T4" s="17">
        <f>IF(T$3="","",IF(T$3=Steps,MAX(IF(CallPut=1,UndTree!T4-Strike,Strike-UndTree!T4),0),MAX((2-AmEur)*IF(CallPut=1,UndTree!T4-Strike,Strike-UndTree!T4),(UpProb*U4+DownProb*U5)*StepDiscount)))</f>
        <v>53.830528604465442</v>
      </c>
      <c r="U4" s="17">
        <f>IF(U$3="","",IF(U$3=Steps,MAX(IF(CallPut=1,UndTree!U4-Strike,Strike-UndTree!U4),0),MAX((2-AmEur)*IF(CallPut=1,UndTree!U4-Strike,Strike-UndTree!U4),(UpProb*V4+DownProb*V5)*StepDiscount)))</f>
        <v>58.097563171279653</v>
      </c>
      <c r="V4" s="17">
        <f>IF(V$3="","",IF(V$3=Steps,MAX(IF(CallPut=1,UndTree!V4-Strike,Strike-UndTree!V4),0),MAX((2-AmEur)*IF(CallPut=1,UndTree!V4-Strike,Strike-UndTree!V4),(UpProb*W4+DownProb*W5)*StepDiscount)))</f>
        <v>62.537317960658399</v>
      </c>
      <c r="W4" s="17">
        <f>IF(W$3="","",IF(W$3=Steps,MAX(IF(CallPut=1,UndTree!W4-Strike,Strike-UndTree!W4),0),MAX((2-AmEur)*IF(CallPut=1,UndTree!W4-Strike,Strike-UndTree!W4),(UpProb*X4+DownProb*X5)*StepDiscount)))</f>
        <v>67.14837713609549</v>
      </c>
      <c r="X4" s="17">
        <f>IF(X$3="","",IF(X$3=Steps,MAX(IF(CallPut=1,UndTree!X4-Strike,Strike-UndTree!X4),0),MAX((2-AmEur)*IF(CallPut=1,UndTree!X4-Strike,Strike-UndTree!X4),(UpProb*Y4+DownProb*Y5)*StepDiscount)))</f>
        <v>71.929845482940379</v>
      </c>
      <c r="Y4" s="17">
        <f>IF(Y$3="","",IF(Y$3=Steps,MAX(IF(CallPut=1,UndTree!Y4-Strike,Strike-UndTree!Y4),0),MAX((2-AmEur)*IF(CallPut=1,UndTree!Y4-Strike,Strike-UndTree!Y4),(UpProb*Z4+DownProb*Z5)*StepDiscount)))</f>
        <v>76.881432702697026</v>
      </c>
      <c r="Z4" s="17">
        <f>IF(Z$3="","",IF(Z$3=Steps,MAX(IF(CallPut=1,UndTree!Z4-Strike,Strike-UndTree!Z4),0),MAX((2-AmEur)*IF(CallPut=1,UndTree!Z4-Strike,Strike-UndTree!Z4),(UpProb*AA4+DownProb*AA5)*StepDiscount)))</f>
        <v>82.003508444745677</v>
      </c>
      <c r="AA4" s="17">
        <f>IF(AA$3="","",IF(AA$3=Steps,MAX(IF(CallPut=1,UndTree!AA4-Strike,Strike-UndTree!AA4),0),MAX((2-AmEur)*IF(CallPut=1,UndTree!AA4-Strike,Strike-UndTree!AA4),(UpProb*AB4+DownProb*AB5)*StepDiscount)))</f>
        <v>87.297129100693397</v>
      </c>
      <c r="AB4" s="17">
        <f>IF(AB$3="","",IF(AB$3=Steps,MAX(IF(CallPut=1,UndTree!AB4-Strike,Strike-UndTree!AB4),0),MAX((2-AmEur)*IF(CallPut=1,UndTree!AB4-Strike,Strike-UndTree!AB4),(UpProb*AC4+DownProb*AC5)*StepDiscount)))</f>
        <v>92.764039077976307</v>
      </c>
      <c r="AC4" s="17">
        <f>IF(AC$3="","",IF(AC$3=Steps,MAX(IF(CallPut=1,UndTree!AC4-Strike,Strike-UndTree!AC4),0),MAX((2-AmEur)*IF(CallPut=1,UndTree!AC4-Strike,Strike-UndTree!AC4),(UpProb*AD4+DownProb*AD5)*StepDiscount)))</f>
        <v>98.406650584664305</v>
      </c>
      <c r="AD4" s="17">
        <f>IF(AD$3="","",IF(AD$3=Steps,MAX(IF(CallPut=1,UndTree!AD4-Strike,Strike-UndTree!AD4),0),MAX((2-AmEur)*IF(CallPut=1,UndTree!AD4-Strike,Strike-UndTree!AD4),(UpProb*AE4+DownProb*AE5)*StepDiscount)))</f>
        <v>104.22800681045197</v>
      </c>
      <c r="AE4" s="17">
        <f>IF(AE$3="","",IF(AE$3=Steps,MAX(IF(CallPut=1,UndTree!AE4-Strike,Strike-UndTree!AE4),0),MAX((2-AmEur)*IF(CallPut=1,UndTree!AE4-Strike,Strike-UndTree!AE4),(UpProb*AF4+DownProb*AF5)*StepDiscount)))</f>
        <v>110.23173374804277</v>
      </c>
      <c r="AF4" s="17">
        <f>IF(AF$3="","",IF(AF$3=Steps,MAX(IF(CallPut=1,UndTree!AF4-Strike,Strike-UndTree!AF4),0),MAX((2-AmEur)*IF(CallPut=1,UndTree!AF4-Strike,Strike-UndTree!AF4),(UpProb*AG4+DownProb*AG5)*StepDiscount)))</f>
        <v>116.42198578807341</v>
      </c>
      <c r="AG4" s="17">
        <f>IF(AG$3="","",IF(AG$3=Steps,MAX(IF(CallPut=1,UndTree!AG4-Strike,Strike-UndTree!AG4),0),MAX((2-AmEur)*IF(CallPut=1,UndTree!AG4-Strike,Strike-UndTree!AG4),(UpProb*AH4+DownProb*AH5)*StepDiscount)))</f>
        <v>122.8033897109253</v>
      </c>
      <c r="AH4" s="17">
        <f>IF(AH$3="","",IF(AH$3=Steps,MAX(IF(CallPut=1,UndTree!AH4-Strike,Strike-UndTree!AH4),0),MAX((2-AmEur)*IF(CallPut=1,UndTree!AH4-Strike,Strike-UndTree!AH4),(UpProb*AI4+DownProb*AI5)*StepDiscount)))</f>
        <v>129.38099089671383</v>
      </c>
      <c r="AI4" s="17">
        <f>IF(AI$3="","",IF(AI$3=Steps,MAX(IF(CallPut=1,UndTree!AI4-Strike,Strike-UndTree!AI4),0),MAX((2-AmEur)*IF(CallPut=1,UndTree!AI4-Strike,Strike-UndTree!AI4),(UpProb*AJ4+DownProb*AJ5)*StepDiscount)))</f>
        <v>136.16020460500823</v>
      </c>
      <c r="AJ4" s="17">
        <f>IF(AJ$3="","",IF(AJ$3=Steps,MAX(IF(CallPut=1,UndTree!AJ4-Strike,Strike-UndTree!AJ4),0),MAX((2-AmEur)*IF(CallPut=1,UndTree!AJ4-Strike,Strike-UndTree!AJ4),(UpProb*AK4+DownProb*AK5)*StepDiscount)))</f>
        <v>143.14677416325247</v>
      </c>
      <c r="AK4" s="17">
        <f>IF(AK$3="","",IF(AK$3=Steps,MAX(IF(CallPut=1,UndTree!AK4-Strike,Strike-UndTree!AK4),0),MAX((2-AmEur)*IF(CallPut=1,UndTree!AK4-Strike,Strike-UndTree!AK4),(UpProb*AL4+DownProb*AL5)*StepDiscount)))</f>
        <v>150.34673695661655</v>
      </c>
      <c r="AL4" s="17">
        <f>IF(AL$3="","",IF(AL$3=Steps,MAX(IF(CallPut=1,UndTree!AL4-Strike,Strike-UndTree!AL4),0),MAX((2-AmEur)*IF(CallPut=1,UndTree!AL4-Strike,Strike-UndTree!AL4),(UpProb*AM4+DownProb*AM5)*StepDiscount)))</f>
        <v>157.76639831390676</v>
      </c>
      <c r="AM4" s="17">
        <f>IF(AM$3="","",IF(AM$3=Steps,MAX(IF(CallPut=1,UndTree!AM4-Strike,Strike-UndTree!AM4),0),MAX((2-AmEur)*IF(CallPut=1,UndTree!AM4-Strike,Strike-UndTree!AM4),(UpProb*AN4+DownProb*AN5)*StepDiscount)))</f>
        <v>165.4123127825238</v>
      </c>
      <c r="AN4" s="17">
        <f>IF(AN$3="","",IF(AN$3=Steps,MAX(IF(CallPut=1,UndTree!AN4-Strike,Strike-UndTree!AN4),0),MAX((2-AmEur)*IF(CallPut=1,UndTree!AN4-Strike,Strike-UndTree!AN4),(UpProb*AO4+DownProb*AO5)*StepDiscount)))</f>
        <v>173.29127189490151</v>
      </c>
      <c r="AO4" s="17">
        <f>IF(AO$3="","",IF(AO$3=Steps,MAX(IF(CallPut=1,UndTree!AO4-Strike,Strike-UndTree!AO4),0),MAX((2-AmEur)*IF(CallPut=1,UndTree!AO4-Strike,Strike-UndTree!AO4),(UpProb*AP4+DownProb*AP5)*StepDiscount)))</f>
        <v>181.41029733519122</v>
      </c>
      <c r="AP4" s="17">
        <f>IF(AP$3="","",IF(AP$3=Steps,MAX(IF(CallPut=1,UndTree!AP4-Strike,Strike-UndTree!AP4),0),MAX((2-AmEur)*IF(CallPut=1,UndTree!AP4-Strike,Strike-UndTree!AP4),(UpProb*AQ4+DownProb*AQ5)*StepDiscount)))</f>
        <v>189.77663838348226</v>
      </c>
      <c r="AQ4" s="17">
        <f>IF(AQ$3="","",IF(AQ$3=Steps,MAX(IF(CallPut=1,UndTree!AQ4-Strike,Strike-UndTree!AQ4),0),MAX((2-AmEur)*IF(CallPut=1,UndTree!AQ4-Strike,Strike-UndTree!AQ4),(UpProb*AR4+DownProb*AR5)*StepDiscount)))</f>
        <v>198.3977726001269</v>
      </c>
      <c r="AR4" s="17">
        <f>IF(AR$3="","",IF(AR$3=Steps,MAX(IF(CallPut=1,UndTree!AR4-Strike,Strike-UndTree!AR4),0),MAX((2-AmEur)*IF(CallPut=1,UndTree!AR4-Strike,Strike-UndTree!AR4),(UpProb*AS4+DownProb*AS5)*StepDiscount)))</f>
        <v>207.28140886778539</v>
      </c>
      <c r="AS4" s="17">
        <f>IF(AS$3="","",IF(AS$3=Steps,MAX(IF(CallPut=1,UndTree!AS4-Strike,Strike-UndTree!AS4),0),MAX((2-AmEur)*IF(CallPut=1,UndTree!AS4-Strike,Strike-UndTree!AS4),(UpProb*AT4+DownProb*AT5)*StepDiscount)))</f>
        <v>216.43549209229954</v>
      </c>
      <c r="AT4" s="17">
        <f>IF(AT$3="","",IF(AT$3=Steps,MAX(IF(CallPut=1,UndTree!AT4-Strike,Strike-UndTree!AT4),0),MAX((2-AmEur)*IF(CallPut=1,UndTree!AT4-Strike,Strike-UndTree!AT4),(UpProb*AU4+DownProb*AU5)*StepDiscount)))</f>
        <v>225.86820904409689</v>
      </c>
      <c r="AU4" s="17">
        <f>IF(AU$3="","",IF(AU$3=Steps,MAX(IF(CallPut=1,UndTree!AU4-Strike,Strike-UndTree!AU4),0),MAX((2-AmEur)*IF(CallPut=1,UndTree!AU4-Strike,Strike-UndTree!AU4),(UpProb*AV4+DownProb*AV5)*StepDiscount)))</f>
        <v>235.58799497963781</v>
      </c>
      <c r="AV4" s="17">
        <f>IF(AV$3="","",IF(AV$3=Steps,MAX(IF(CallPut=1,UndTree!AV4-Strike,Strike-UndTree!AV4),0),MAX((2-AmEur)*IF(CallPut=1,UndTree!AV4-Strike,Strike-UndTree!AV4),(UpProb*AW4+DownProb*AW5)*StepDiscount)))</f>
        <v>245.60354080808926</v>
      </c>
      <c r="AW4" s="17">
        <f>IF(AW$3="","",IF(AW$3=Steps,MAX(IF(CallPut=1,UndTree!AW4-Strike,Strike-UndTree!AW4),0),MAX((2-AmEur)*IF(CallPut=1,UndTree!AW4-Strike,Strike-UndTree!AW4),(UpProb*AX4+DownProb*AX5)*StepDiscount)))</f>
        <v>255.9238006607157</v>
      </c>
      <c r="AX4" s="17">
        <f>IF(AX$3="","",IF(AX$3=Steps,MAX(IF(CallPut=1,UndTree!AX4-Strike,Strike-UndTree!AX4),0),MAX((2-AmEur)*IF(CallPut=1,UndTree!AX4-Strike,Strike-UndTree!AX4),(UpProb*AY4+DownProb*AY5)*StepDiscount)))</f>
        <v>266.55799978336768</v>
      </c>
      <c r="AY4" s="17">
        <f>IF(AY$3="","",IF(AY$3=Steps,MAX(IF(CallPut=1,UndTree!AY4-Strike,Strike-UndTree!AY4),0),MAX((2-AmEur)*IF(CallPut=1,UndTree!AY4-Strike,Strike-UndTree!AY4),(UpProb*AZ4+DownProb*AZ5)*StepDiscount)))</f>
        <v>277.51564271227335</v>
      </c>
      <c r="AZ4" s="17">
        <f>IF(AZ$3="","",IF(AZ$3=Steps,MAX(IF(CallPut=1,UndTree!AZ4-Strike,Strike-UndTree!AZ4),0),MAX((2-AmEur)*IF(CallPut=1,UndTree!AZ4-Strike,Strike-UndTree!AZ4),(UpProb*BA4+DownProb*BA5)*StepDiscount)))</f>
        <v>288.80652171678673</v>
      </c>
      <c r="BA4" s="17">
        <f>IF(BA$3="","",IF(BA$3=Steps,MAX(IF(CallPut=1,UndTree!BA4-Strike,Strike-UndTree!BA4),0),MAX((2-AmEur)*IF(CallPut=1,UndTree!BA4-Strike,Strike-UndTree!BA4),(UpProb*BB4+DownProb*BB5)*StepDiscount)))</f>
        <v>300.44072550557468</v>
      </c>
      <c r="BB4" s="17">
        <f>IF(BB$3="","",IF(BB$3=Steps,MAX(IF(CallPut=1,UndTree!BB4-Strike,Strike-UndTree!BB4),0),MAX((2-AmEur)*IF(CallPut=1,UndTree!BB4-Strike,Strike-UndTree!BB4),(UpProb*BC4+DownProb*BC5)*StepDiscount)))</f>
        <v>312.42864819925683</v>
      </c>
      <c r="BC4" s="17">
        <f>IF(BC$3="","",IF(BC$3=Steps,MAX(IF(CallPut=1,UndTree!BC4-Strike,Strike-UndTree!BC4),0),MAX((2-AmEur)*IF(CallPut=1,UndTree!BC4-Strike,Strike-UndTree!BC4),(UpProb*BD4+DownProb*BD5)*StepDiscount)))</f>
        <v>324.780998575632</v>
      </c>
      <c r="BD4" s="17">
        <f>IF(BD$3="","",IF(BD$3=Steps,MAX(IF(CallPut=1,UndTree!BD4-Strike,Strike-UndTree!BD4),0),MAX((2-AmEur)*IF(CallPut=1,UndTree!BD4-Strike,Strike-UndTree!BD4),(UpProb*BE4+DownProb*BE5)*StepDiscount)))</f>
        <v>337.50880959506475</v>
      </c>
      <c r="BE4" s="17">
        <f>IF(BE$3="","",IF(BE$3=Steps,MAX(IF(CallPut=1,UndTree!BE4-Strike,Strike-UndTree!BE4),0),MAX((2-AmEur)*IF(CallPut=1,UndTree!BE4-Strike,Strike-UndTree!BE4),(UpProb*BF4+DownProb*BF5)*StepDiscount)))</f>
        <v>350.62344821430293</v>
      </c>
      <c r="BF4" s="17">
        <f>IF(BF$3="","",IF(BF$3=Steps,MAX(IF(CallPut=1,UndTree!BF4-Strike,Strike-UndTree!BF4),0),MAX((2-AmEur)*IF(CallPut=1,UndTree!BF4-Strike,Strike-UndTree!BF4),(UpProb*BG4+DownProb*BG5)*StepDiscount)))</f>
        <v>364.1366254974007</v>
      </c>
      <c r="BG4" s="17">
        <f>IF(BG$3="","",IF(BG$3=Steps,MAX(IF(CallPut=1,UndTree!BG4-Strike,Strike-UndTree!BG4),0),MAX((2-AmEur)*IF(CallPut=1,UndTree!BG4-Strike,Strike-UndTree!BG4),(UpProb*BH4+DownProb*BH5)*StepDiscount)))</f>
        <v>378.06040703272708</v>
      </c>
      <c r="BH4" s="17">
        <f>IF(BH$3="","",IF(BH$3=Steps,MAX(IF(CallPut=1,UndTree!BH4-Strike,Strike-UndTree!BH4),0),MAX((2-AmEur)*IF(CallPut=1,UndTree!BH4-Strike,Strike-UndTree!BH4),(UpProb*BI4+DownProb*BI5)*StepDiscount)))</f>
        <v>392.40722366532538</v>
      </c>
      <c r="BI4" s="17">
        <f>IF(BI$3="","",IF(BI$3=Steps,MAX(IF(CallPut=1,UndTree!BI4-Strike,Strike-UndTree!BI4),0),MAX((2-AmEur)*IF(CallPut=1,UndTree!BI4-Strike,Strike-UndTree!BI4),(UpProb*BJ4+DownProb*BJ5)*StepDiscount)))</f>
        <v>407.18988255416764</v>
      </c>
      <c r="BJ4" s="17">
        <f>IF(BJ$3="","",IF(BJ$3=Steps,MAX(IF(CallPut=1,UndTree!BJ4-Strike,Strike-UndTree!BJ4),0),MAX((2-AmEur)*IF(CallPut=1,UndTree!BJ4-Strike,Strike-UndTree!BJ4),(UpProb*BK4+DownProb*BK5)*StepDiscount)))</f>
        <v>422.42157856414127</v>
      </c>
      <c r="BK4" s="17">
        <f>IF(BK$3="","",IF(BK$3=Steps,MAX(IF(CallPut=1,UndTree!BK4-Strike,Strike-UndTree!BK4),0),MAX((2-AmEur)*IF(CallPut=1,UndTree!BK4-Strike,Strike-UndTree!BK4),(UpProb*BL4+DownProb*BL5)*StepDiscount)))</f>
        <v>438.11590600290003</v>
      </c>
      <c r="BL4" s="17">
        <f>IF(BL$3="","",IF(BL$3=Steps,MAX(IF(CallPut=1,UndTree!BL4-Strike,Strike-UndTree!BL4),0),MAX((2-AmEur)*IF(CallPut=1,UndTree!BL4-Strike,Strike-UndTree!BL4),(UpProb*BM4+DownProb*BM5)*StepDiscount)))</f>
        <v>454.28687071301948</v>
      </c>
      <c r="BM4" s="17">
        <f>IF(BM$3="","",IF(BM$3=Steps,MAX(IF(CallPut=1,UndTree!BM4-Strike,Strike-UndTree!BM4),0),MAX((2-AmEur)*IF(CallPut=1,UndTree!BM4-Strike,Strike-UndTree!BM4),(UpProb*BN4+DownProb*BN5)*StepDiscount)))</f>
        <v>470.94890253021276</v>
      </c>
      <c r="BN4" s="17">
        <f>IF(BN$3="","",IF(BN$3=Steps,MAX(IF(CallPut=1,UndTree!BN4-Strike,Strike-UndTree!BN4),0),MAX((2-AmEur)*IF(CallPut=1,UndTree!BN4-Strike,Strike-UndTree!BN4),(UpProb*BO4+DownProb*BO5)*StepDiscount)))</f>
        <v>488.11686811868879</v>
      </c>
      <c r="BO4" s="17">
        <f>IF(BO$3="","",IF(BO$3=Steps,MAX(IF(CallPut=1,UndTree!BO4-Strike,Strike-UndTree!BO4),0),MAX((2-AmEur)*IF(CallPut=1,UndTree!BO4-Strike,Strike-UndTree!BO4),(UpProb*BP4+DownProb*BP5)*StepDiscount)))</f>
        <v>505.80608419506956</v>
      </c>
      <c r="BP4" s="17">
        <f>IF(BP$3="","",IF(BP$3=Steps,MAX(IF(CallPut=1,UndTree!BP4-Strike,Strike-UndTree!BP4),0),MAX((2-AmEur)*IF(CallPut=1,UndTree!BP4-Strike,Strike-UndTree!BP4),(UpProb*BQ4+DownProb*BQ5)*StepDiscount)))</f>
        <v>524.03233115262879</v>
      </c>
      <c r="BQ4" s="17">
        <f>IF(BQ$3="","",IF(BQ$3=Steps,MAX(IF(CallPut=1,UndTree!BQ4-Strike,Strike-UndTree!BQ4),0),MAX((2-AmEur)*IF(CallPut=1,UndTree!BQ4-Strike,Strike-UndTree!BQ4),(UpProb*BR4+DownProb*BR5)*StepDiscount)))</f>
        <v>542.81186709797191</v>
      </c>
      <c r="BR4" s="17">
        <f>IF(BR$3="","",IF(BR$3=Steps,MAX(IF(CallPut=1,UndTree!BR4-Strike,Strike-UndTree!BR4),0),MAX((2-AmEur)*IF(CallPut=1,UndTree!BR4-Strike,Strike-UndTree!BR4),(UpProb*BS4+DownProb*BS5)*StepDiscount)))</f>
        <v>562.16144231264161</v>
      </c>
      <c r="BS4" s="17">
        <f>IF(BS$3="","",IF(BS$3=Steps,MAX(IF(CallPut=1,UndTree!BS4-Strike,Strike-UndTree!BS4),0),MAX((2-AmEur)*IF(CallPut=1,UndTree!BS4-Strike,Strike-UndTree!BS4),(UpProb*BT4+DownProb*BT5)*StepDiscount)))</f>
        <v>582.09831415251358</v>
      </c>
      <c r="BT4" s="17">
        <f>IF(BT$3="","",IF(BT$3=Steps,MAX(IF(CallPut=1,UndTree!BT4-Strike,Strike-UndTree!BT4),0),MAX((2-AmEur)*IF(CallPut=1,UndTree!BT4-Strike,Strike-UndTree!BT4),(UpProb*BU4+DownProb*BU5)*StepDiscount)))</f>
        <v>602.64026239823511</v>
      </c>
      <c r="BU4" s="17">
        <f>IF(BU$3="","",IF(BU$3=Steps,MAX(IF(CallPut=1,UndTree!BU4-Strike,Strike-UndTree!BU4),0),MAX((2-AmEur)*IF(CallPut=1,UndTree!BU4-Strike,Strike-UndTree!BU4),(UpProb*BV4+DownProb*BV5)*StepDiscount)))</f>
        <v>623.80560507036103</v>
      </c>
      <c r="BV4" s="17">
        <f>IF(BV$3="","",IF(BV$3=Steps,MAX(IF(CallPut=1,UndTree!BV4-Strike,Strike-UndTree!BV4),0),MAX((2-AmEur)*IF(CallPut=1,UndTree!BV4-Strike,Strike-UndTree!BV4),(UpProb*BW4+DownProb*BW5)*StepDiscount)))</f>
        <v>645.61321472325301</v>
      </c>
      <c r="BW4" s="17">
        <f>IF(BW$3="","",IF(BW$3=Steps,MAX(IF(CallPut=1,UndTree!BW4-Strike,Strike-UndTree!BW4),0),MAX((2-AmEur)*IF(CallPut=1,UndTree!BW4-Strike,Strike-UndTree!BW4),(UpProb*BX4+DownProb*BX5)*StepDiscount)))</f>
        <v>668.08253523223937</v>
      </c>
      <c r="BX4" s="17">
        <f>IF(BX$3="","",IF(BX$3=Steps,MAX(IF(CallPut=1,UndTree!BX4-Strike,Strike-UndTree!BX4),0),MAX((2-AmEur)*IF(CallPut=1,UndTree!BX4-Strike,Strike-UndTree!BX4),(UpProb*BY4+DownProb*BY5)*StepDiscount)))</f>
        <v>691.23359908896225</v>
      </c>
      <c r="BY4" s="17">
        <f>IF(BY$3="","",IF(BY$3=Steps,MAX(IF(CallPut=1,UndTree!BY4-Strike,Strike-UndTree!BY4),0),MAX((2-AmEur)*IF(CallPut=1,UndTree!BY4-Strike,Strike-UndTree!BY4),(UpProb*BZ4+DownProb*BZ5)*StepDiscount)))</f>
        <v>715.08704522030234</v>
      </c>
      <c r="BZ4" s="17">
        <f>IF(BZ$3="","",IF(BZ$3=Steps,MAX(IF(CallPut=1,UndTree!BZ4-Strike,Strike-UndTree!BZ4),0),MAX((2-AmEur)*IF(CallPut=1,UndTree!BZ4-Strike,Strike-UndTree!BZ4),(UpProb*CA4+DownProb*CA5)*StepDiscount)))</f>
        <v>739.66413734672517</v>
      </c>
      <c r="CA4" s="17">
        <f>IF(CA$3="","",IF(CA$3=Steps,MAX(IF(CallPut=1,UndTree!CA4-Strike,Strike-UndTree!CA4),0),MAX((2-AmEur)*IF(CallPut=1,UndTree!CA4-Strike,Strike-UndTree!CA4),(UpProb*CB4+DownProb*CB5)*StepDiscount)))</f>
        <v>764.98678289638372</v>
      </c>
      <c r="CB4" s="17">
        <f>IF(CB$3="","",IF(CB$3=Steps,MAX(IF(CallPut=1,UndTree!CB4-Strike,Strike-UndTree!CB4),0),MAX((2-AmEur)*IF(CallPut=1,UndTree!CB4-Strike,Strike-UndTree!CB4),(UpProb*CC4+DownProb*CC5)*StepDiscount)))</f>
        <v>791.07755249179775</v>
      </c>
      <c r="CC4" s="17">
        <f>IF(CC$3="","",IF(CC$3=Steps,MAX(IF(CallPut=1,UndTree!CC4-Strike,Strike-UndTree!CC4),0),MAX((2-AmEur)*IF(CallPut=1,UndTree!CC4-Strike,Strike-UndTree!CC4),(UpProb*CD4+DownProb*CD5)*StepDiscount)))</f>
        <v>817.95970002644583</v>
      </c>
      <c r="CD4" s="17">
        <f>IF(CD$3="","",IF(CD$3=Steps,MAX(IF(CallPut=1,UndTree!CD4-Strike,Strike-UndTree!CD4),0),MAX((2-AmEur)*IF(CallPut=1,UndTree!CD4-Strike,Strike-UndTree!CD4),(UpProb*CE4+DownProb*CE5)*StepDiscount)))</f>
        <v>845.65718334912663</v>
      </c>
      <c r="CE4" s="17">
        <f>IF(CE$3="","",IF(CE$3=Steps,MAX(IF(CallPut=1,UndTree!CE4-Strike,Strike-UndTree!CE4),0),MAX((2-AmEur)*IF(CallPut=1,UndTree!CE4-Strike,Strike-UndTree!CE4),(UpProb*CF4+DownProb*CF5)*StepDiscount)))</f>
        <v>874.19468557448863</v>
      </c>
      <c r="CF4" s="17">
        <f>IF(CF$3="","",IF(CF$3=Steps,MAX(IF(CallPut=1,UndTree!CF4-Strike,Strike-UndTree!CF4),0),MAX((2-AmEur)*IF(CallPut=1,UndTree!CF4-Strike,Strike-UndTree!CF4),(UpProb*CG4+DownProb*CG5)*StepDiscount)))</f>
        <v>903.59763703868316</v>
      </c>
      <c r="CG4" s="17">
        <f>IF(CG$3="","",IF(CG$3=Steps,MAX(IF(CallPut=1,UndTree!CG4-Strike,Strike-UndTree!CG4),0),MAX((2-AmEur)*IF(CallPut=1,UndTree!CG4-Strike,Strike-UndTree!CG4),(UpProb*CH4+DownProb*CH5)*StepDiscount)))</f>
        <v>933.89223791967208</v>
      </c>
      <c r="CH4" s="17">
        <f>IF(CH$3="","",IF(CH$3=Steps,MAX(IF(CallPut=1,UndTree!CH4-Strike,Strike-UndTree!CH4),0),MAX((2-AmEur)*IF(CallPut=1,UndTree!CH4-Strike,Strike-UndTree!CH4),(UpProb*CI4+DownProb*CI5)*StepDiscount)))</f>
        <v>965.10548154230867</v>
      </c>
      <c r="CI4" s="17">
        <f>IF(CI$3="","",IF(CI$3=Steps,MAX(IF(CallPut=1,UndTree!CI4-Strike,Strike-UndTree!CI4),0),MAX((2-AmEur)*IF(CallPut=1,UndTree!CI4-Strike,Strike-UndTree!CI4),(UpProb*CJ4+DownProb*CJ5)*StepDiscount)))</f>
        <v>997.26517838892448</v>
      </c>
      <c r="CJ4" s="17">
        <f>IF(CJ$3="","",IF(CJ$3=Steps,MAX(IF(CallPut=1,UndTree!CJ4-Strike,Strike-UndTree!CJ4),0),MAX((2-AmEur)*IF(CallPut=1,UndTree!CJ4-Strike,Strike-UndTree!CJ4),(UpProb*CK4+DownProb*CK5)*StepDiscount)))</f>
        <v>1030.3999808367773</v>
      </c>
      <c r="CK4" s="17">
        <f>IF(CK$3="","",IF(CK$3=Steps,MAX(IF(CallPut=1,UndTree!CK4-Strike,Strike-UndTree!CK4),0),MAX((2-AmEur)*IF(CallPut=1,UndTree!CK4-Strike,Strike-UndTree!CK4),(UpProb*CL4+DownProb*CL5)*StepDiscount)))</f>
        <v>1064.539408644368</v>
      </c>
      <c r="CL4" s="17">
        <f>IF(CL$3="","",IF(CL$3=Steps,MAX(IF(CallPut=1,UndTree!CL4-Strike,Strike-UndTree!CL4),0),MAX((2-AmEur)*IF(CallPut=1,UndTree!CL4-Strike,Strike-UndTree!CL4),(UpProb*CM4+DownProb*CM5)*StepDiscount)))</f>
        <v>1099.7138752092928</v>
      </c>
      <c r="CM4" s="17">
        <f>IF(CM$3="","",IF(CM$3=Steps,MAX(IF(CallPut=1,UndTree!CM4-Strike,Strike-UndTree!CM4),0),MAX((2-AmEur)*IF(CallPut=1,UndTree!CM4-Strike,Strike-UndTree!CM4),(UpProb*CN4+DownProb*CN5)*StepDiscount)))</f>
        <v>1135.95471462099</v>
      </c>
      <c r="CN4" s="17">
        <f>IF(CN$3="","",IF(CN$3=Steps,MAX(IF(CallPut=1,UndTree!CN4-Strike,Strike-UndTree!CN4),0),MAX((2-AmEur)*IF(CallPut=1,UndTree!CN4-Strike,Strike-UndTree!CN4),(UpProb*CO4+DownProb*CO5)*StepDiscount)))</f>
        <v>1173.2942095324443</v>
      </c>
      <c r="CO4" s="17">
        <f>IF(CO$3="","",IF(CO$3=Steps,MAX(IF(CallPut=1,UndTree!CO4-Strike,Strike-UndTree!CO4),0),MAX((2-AmEur)*IF(CallPut=1,UndTree!CO4-Strike,Strike-UndTree!CO4),(UpProb*CP4+DownProb*CP5)*StepDiscount)))</f>
        <v>1211.7656198756365</v>
      </c>
      <c r="CP4" s="17">
        <f>IF(CP$3="","",IF(CP$3=Steps,MAX(IF(CallPut=1,UndTree!CP4-Strike,Strike-UndTree!CP4),0),MAX((2-AmEur)*IF(CallPut=1,UndTree!CP4-Strike,Strike-UndTree!CP4),(UpProb*CQ4+DownProb*CQ5)*StepDiscount)))</f>
        <v>1251.4032124462867</v>
      </c>
      <c r="CQ4" s="17">
        <f>IF(CQ$3="","",IF(CQ$3=Steps,MAX(IF(CallPut=1,UndTree!CQ4-Strike,Strike-UndTree!CQ4),0),MAX((2-AmEur)*IF(CallPut=1,UndTree!CQ4-Strike,Strike-UndTree!CQ4),(UpProb*CR4+DownProb*CR5)*StepDiscount)))</f>
        <v>1292.2422913842008</v>
      </c>
      <c r="CR4" s="17">
        <f>IF(CR$3="","",IF(CR$3=Steps,MAX(IF(CallPut=1,UndTree!CR4-Strike,Strike-UndTree!CR4),0),MAX((2-AmEur)*IF(CallPut=1,UndTree!CR4-Strike,Strike-UndTree!CR4),(UpProb*CS4+DownProb*CS5)*StepDiscount)))</f>
        <v>1334.3192295763331</v>
      </c>
      <c r="CS4" s="17">
        <f>IF(CS$3="","",IF(CS$3=Steps,MAX(IF(CallPut=1,UndTree!CS4-Strike,Strike-UndTree!CS4),0),MAX((2-AmEur)*IF(CallPut=1,UndTree!CS4-Strike,Strike-UndTree!CS4),(UpProb*CT4+DownProb*CT5)*StepDiscount)))</f>
        <v>1377.6715010104986</v>
      </c>
      <c r="CT4" s="17">
        <f>IF(CT$3="","",IF(CT$3=Steps,MAX(IF(CallPut=1,UndTree!CT4-Strike,Strike-UndTree!CT4),0),MAX((2-AmEur)*IF(CallPut=1,UndTree!CT4-Strike,Strike-UndTree!CT4),(UpProb*CU4+DownProb*CU5)*StepDiscount)))</f>
        <v>1422.3377141085041</v>
      </c>
      <c r="CU4" s="17">
        <f>IF(CU$3="","",IF(CU$3=Steps,MAX(IF(CallPut=1,UndTree!CU4-Strike,Strike-UndTree!CU4),0),MAX((2-AmEur)*IF(CallPut=1,UndTree!CU4-Strike,Strike-UndTree!CU4),(UpProb*CV4+DownProb*CV5)*StepDiscount)))</f>
        <v>1468.357646068348</v>
      </c>
      <c r="CV4" s="17">
        <f>IF(CV$3="","",IF(CV$3=Steps,MAX(IF(CallPut=1,UndTree!CV4-Strike,Strike-UndTree!CV4),0),MAX((2-AmEur)*IF(CallPut=1,UndTree!CV4-Strike,Strike-UndTree!CV4),(UpProb*CW4+DownProb*CW5)*StepDiscount)))</f>
        <v>1515.7722782460382</v>
      </c>
      <c r="CW4" s="17">
        <f>IF(CW$3="","",IF(CW$3=Steps,MAX(IF(CallPut=1,UndTree!CW4-Strike,Strike-UndTree!CW4),0),MAX((2-AmEur)*IF(CallPut=1,UndTree!CW4-Strike,Strike-UndTree!CW4),(UpProb*CX4+DownProb*CX5)*StepDiscount)))</f>
        <v>1564.6238326085211</v>
      </c>
      <c r="CX4" s="17">
        <f>IF(CX$3="","",IF(CX$3=Steps,MAX(IF(CallPut=1,UndTree!CX4-Strike,Strike-UndTree!CX4),0),MAX((2-AmEur)*IF(CallPut=1,UndTree!CX4-Strike,Strike-UndTree!CX4),(UpProb*CY4+DownProb*CY5)*StepDiscount)))</f>
        <v>1614.9558092901659</v>
      </c>
      <c r="CY4" s="17">
        <f>IF(CY$3="","",IF(CY$3=Steps,MAX(IF(CallPut=1,UndTree!CY4-Strike,Strike-UndTree!CY4),0),MAX((2-AmEur)*IF(CallPut=1,UndTree!CY4-Strike,Strike-UndTree!CY4),(UpProb*CZ4+DownProb*CZ5)*StepDiscount)))</f>
        <v>1666.8130252862038</v>
      </c>
      <c r="CZ4" s="17">
        <f>IF(CZ$3="","",IF(CZ$3=Steps,MAX(IF(CallPut=1,UndTree!CZ4-Strike,Strike-UndTree!CZ4),0),MAX((2-AmEur)*IF(CallPut=1,UndTree!CZ4-Strike,Strike-UndTree!CZ4),(UpProb*DA4+DownProb*DA5)*StepDiscount)))</f>
        <v>1720.2416543175475</v>
      </c>
      <c r="DA4" s="17">
        <f>IF(DA$3="","",IF(DA$3=Steps,MAX(IF(CallPut=1,UndTree!DA4-Strike,Strike-UndTree!DA4),0),MAX((2-AmEur)*IF(CallPut=1,UndTree!DA4-Strike,Strike-UndTree!DA4),(UpProb*DB4+DownProb*DB5)*StepDiscount)))</f>
        <v>1775.2892679026259</v>
      </c>
      <c r="DB4" s="17">
        <f>IF(DB$3="","",IF(DB$3=Steps,MAX(IF(CallPut=1,UndTree!DB4-Strike,Strike-UndTree!DB4),0),MAX((2-AmEur)*IF(CallPut=1,UndTree!DB4-Strike,Strike-UndTree!DB4),(UpProb*DC4+DownProb*DC5)*StepDiscount)))</f>
        <v>1832.0048776725</v>
      </c>
    </row>
    <row r="5" spans="1:106" x14ac:dyDescent="0.2">
      <c r="A5">
        <f>ExDivTree!A5</f>
        <v>101</v>
      </c>
      <c r="B5" s="71">
        <f>ExDivTree!B5</f>
        <v>3.9837475713661096E-29</v>
      </c>
      <c r="C5" s="71">
        <f>ExDivTree!C5</f>
        <v>5.1772094135872507E-29</v>
      </c>
      <c r="D5" s="177">
        <f>ExDivTree!D5</f>
        <v>1</v>
      </c>
      <c r="F5" s="17">
        <f>IF(F$3="","",IF(F$3=Steps,MAX(IF(CallPut=1,UndTree!F5-Strike,Strike-UndTree!F5),0),MAX((2-AmEur)*IF(CallPut=1,UndTree!F5-Strike,Strike-UndTree!F5),(UpProb*G5+DownProb*G6)*StepDiscount)))</f>
        <v>9.8380796869268714</v>
      </c>
      <c r="G5" s="17">
        <f>IF(G$3="","",IF(G$3=Steps,MAX(IF(CallPut=1,UndTree!G5-Strike,Strike-UndTree!G5),0),MAX((2-AmEur)*IF(CallPut=1,UndTree!G5-Strike,Strike-UndTree!G5),(UpProb*H5+DownProb*H6)*StepDiscount)))</f>
        <v>11.273799786229439</v>
      </c>
      <c r="H5" s="17">
        <f>IF(H$3="","",IF(H$3=Steps,MAX(IF(CallPut=1,UndTree!H5-Strike,Strike-UndTree!H5),0),MAX((2-AmEur)*IF(CallPut=1,UndTree!H5-Strike,Strike-UndTree!H5),(UpProb*I5+DownProb*I6)*StepDiscount)))</f>
        <v>12.862921460499741</v>
      </c>
      <c r="I5" s="17">
        <f>IF(I$3="","",IF(I$3=Steps,MAX(IF(CallPut=1,UndTree!I5-Strike,Strike-UndTree!I5),0),MAX((2-AmEur)*IF(CallPut=1,UndTree!I5-Strike,Strike-UndTree!I5),(UpProb*J5+DownProb*J6)*StepDiscount)))</f>
        <v>14.612910186049037</v>
      </c>
      <c r="J5" s="17">
        <f>IF(J$3="","",IF(J$3=Steps,MAX(IF(CallPut=1,UndTree!J5-Strike,Strike-UndTree!J5),0),MAX((2-AmEur)*IF(CallPut=1,UndTree!J5-Strike,Strike-UndTree!J5),(UpProb*K5+DownProb*K6)*StepDiscount)))</f>
        <v>16.530417541172586</v>
      </c>
      <c r="K5" s="17">
        <f>IF(K$3="","",IF(K$3=Steps,MAX(IF(CallPut=1,UndTree!K5-Strike,Strike-UndTree!K5),0),MAX((2-AmEur)*IF(CallPut=1,UndTree!K5-Strike,Strike-UndTree!K5),(UpProb*L5+DownProb*L6)*StepDiscount)))</f>
        <v>18.621172324258044</v>
      </c>
      <c r="L5" s="17">
        <f>IF(L$3="","",IF(L$3=Steps,MAX(IF(CallPut=1,UndTree!L5-Strike,Strike-UndTree!L5),0),MAX((2-AmEur)*IF(CallPut=1,UndTree!L5-Strike,Strike-UndTree!L5),(UpProb*M5+DownProb*M6)*StepDiscount)))</f>
        <v>20.889898581757489</v>
      </c>
      <c r="M5" s="17">
        <f>IF(M$3="","",IF(M$3=Steps,MAX(IF(CallPut=1,UndTree!M5-Strike,Strike-UndTree!M5),0),MAX((2-AmEur)*IF(CallPut=1,UndTree!M5-Strike,Strike-UndTree!M5),(UpProb*N5+DownProb*N6)*StepDiscount)))</f>
        <v>23.34026568784882</v>
      </c>
      <c r="N5" s="17">
        <f>IF(N$3="","",IF(N$3=Steps,MAX(IF(CallPut=1,UndTree!N5-Strike,Strike-UndTree!N5),0),MAX((2-AmEur)*IF(CallPut=1,UndTree!N5-Strike,Strike-UndTree!N5),(UpProb*O5+DownProb*O6)*StepDiscount)))</f>
        <v>25.974874286837572</v>
      </c>
      <c r="O5" s="17">
        <f>IF(O$3="","",IF(O$3=Steps,MAX(IF(CallPut=1,UndTree!O5-Strike,Strike-UndTree!O5),0),MAX((2-AmEur)*IF(CallPut=1,UndTree!O5-Strike,Strike-UndTree!O5),(UpProb*P5+DownProb*P6)*StepDiscount)))</f>
        <v>28.795280220057119</v>
      </c>
      <c r="P5" s="17">
        <f>IF(P$3="","",IF(P$3=Steps,MAX(IF(CallPut=1,UndTree!P5-Strike,Strike-UndTree!P5),0),MAX((2-AmEur)*IF(CallPut=1,UndTree!P5-Strike,Strike-UndTree!P5),(UpProb*Q5+DownProb*Q6)*StepDiscount)))</f>
        <v>31.802056604430398</v>
      </c>
      <c r="Q5" s="17">
        <f>IF(Q$3="","",IF(Q$3=Steps,MAX(IF(CallPut=1,UndTree!Q5-Strike,Strike-UndTree!Q5),0),MAX((2-AmEur)*IF(CallPut=1,UndTree!Q5-Strike,Strike-UndTree!Q5),(UpProb*R5+DownProb*R6)*StepDiscount)))</f>
        <v>34.994892136752028</v>
      </c>
      <c r="R5" s="17">
        <f>IF(R$3="","",IF(R$3=Steps,MAX(IF(CallPut=1,UndTree!R5-Strike,Strike-UndTree!R5),0),MAX((2-AmEur)*IF(CallPut=1,UndTree!R5-Strike,Strike-UndTree!R5),(UpProb*S5+DownProb*S6)*StepDiscount)))</f>
        <v>38.372721618002267</v>
      </c>
      <c r="S5" s="17">
        <f>IF(S$3="","",IF(S$3=Steps,MAX(IF(CallPut=1,UndTree!S5-Strike,Strike-UndTree!S5),0),MAX((2-AmEur)*IF(CallPut=1,UndTree!S5-Strike,Strike-UndTree!S5),(UpProb*T5+DownProb*T6)*StepDiscount)))</f>
        <v>41.933882790084674</v>
      </c>
      <c r="T5" s="17">
        <f>IF(T$3="","",IF(T$3=Steps,MAX(IF(CallPut=1,UndTree!T5-Strike,Strike-UndTree!T5),0),MAX((2-AmEur)*IF(CallPut=1,UndTree!T5-Strike,Strike-UndTree!T5),(UpProb*U5+DownProb*U6)*StepDiscount)))</f>
        <v>45.676292014881369</v>
      </c>
      <c r="U5" s="17">
        <f>IF(U$3="","",IF(U$3=Steps,MAX(IF(CallPut=1,UndTree!U5-Strike,Strike-UndTree!U5),0),MAX((2-AmEur)*IF(CallPut=1,UndTree!U5-Strike,Strike-UndTree!U5),(UpProb*V5+DownProb*V6)*StepDiscount)))</f>
        <v>49.597630244198555</v>
      </c>
      <c r="V5" s="17">
        <f>IF(V$3="","",IF(V$3=Steps,MAX(IF(CallPut=1,UndTree!V5-Strike,Strike-UndTree!V5),0),MAX((2-AmEur)*IF(CallPut=1,UndTree!V5-Strike,Strike-UndTree!V5),(UpProb*W5+DownProb*W6)*StepDiscount)))</f>
        <v>53.695530234478831</v>
      </c>
      <c r="W5" s="17">
        <f>IF(W$3="","",IF(W$3=Steps,MAX(IF(CallPut=1,UndTree!W5-Strike,Strike-UndTree!W5),0),MAX((2-AmEur)*IF(CallPut=1,UndTree!W5-Strike,Strike-UndTree!W5),(UpProb*X5+DownProb*X6)*StepDiscount)))</f>
        <v>57.967756107432628</v>
      </c>
      <c r="X5" s="17">
        <f>IF(X$3="","",IF(X$3=Steps,MAX(IF(CallPut=1,UndTree!X5-Strike,Strike-UndTree!X5),0),MAX((2-AmEur)*IF(CallPut=1,UndTree!X5-Strike,Strike-UndTree!X5),(UpProb*Y5+DownProb*Y6)*StepDiscount)))</f>
        <v>62.412367143218624</v>
      </c>
      <c r="Y5" s="17">
        <f>IF(Y$3="","",IF(Y$3=Steps,MAX(IF(CallPut=1,UndTree!Y5-Strike,Strike-UndTree!Y5),0),MAX((2-AmEur)*IF(CallPut=1,UndTree!Y5-Strike,Strike-UndTree!Y5),(UpProb*Z5+DownProb*Z6)*StepDiscount)))</f>
        <v>67.027859051017145</v>
      </c>
      <c r="Z5" s="17">
        <f>IF(Z$3="","",IF(Z$3=Steps,MAX(IF(CallPut=1,UndTree!Z5-Strike,Strike-UndTree!Z5),0),MAX((2-AmEur)*IF(CallPut=1,UndTree!Z5-Strike,Strike-UndTree!Z5),(UpProb*AA5+DownProb*AA6)*StepDiscount)))</f>
        <v>71.813277770406842</v>
      </c>
      <c r="AA5" s="17">
        <f>IF(AA$3="","",IF(AA$3=Steps,MAX(IF(CallPut=1,UndTree!AA5-Strike,Strike-UndTree!AA5),0),MAX((2-AmEur)*IF(CallPut=1,UndTree!AA5-Strike,Strike-UndTree!AA5),(UpProb*AB5+DownProb*AB6)*StepDiscount)))</f>
        <v>76.768302948623997</v>
      </c>
      <c r="AB5" s="17">
        <f>IF(AB$3="","",IF(AB$3=Steps,MAX(IF(CallPut=1,UndTree!AB5-Strike,Strike-UndTree!AB5),0),MAX((2-AmEur)*IF(CallPut=1,UndTree!AB5-Strike,Strike-UndTree!AB5),(UpProb*AC5+DownProb*AC6)*StepDiscount)))</f>
        <v>81.893300419585543</v>
      </c>
      <c r="AC5" s="17">
        <f>IF(AC$3="","",IF(AC$3=Steps,MAX(IF(CallPut=1,UndTree!AC5-Strike,Strike-UndTree!AC5),0),MAX((2-AmEur)*IF(CallPut=1,UndTree!AC5-Strike,Strike-UndTree!AC5),(UpProb*AD5+DownProb*AD6)*StepDiscount)))</f>
        <v>87.189345081846909</v>
      </c>
      <c r="AD5" s="17">
        <f>IF(AD$3="","",IF(AD$3=Steps,MAX(IF(CallPut=1,UndTree!AD5-Strike,Strike-UndTree!AD5),0),MAX((2-AmEur)*IF(CallPut=1,UndTree!AD5-Strike,Strike-UndTree!AD5),(UpProb*AE5+DownProb*AE6)*StepDiscount)))</f>
        <v>92.658217354134436</v>
      </c>
      <c r="AE5" s="17">
        <f>IF(AE$3="","",IF(AE$3=Steps,MAX(IF(CallPut=1,UndTree!AE5-Strike,Strike-UndTree!AE5),0),MAX((2-AmEur)*IF(CallPut=1,UndTree!AE5-Strike,Strike-UndTree!AE5),(UpProb*AF5+DownProb*AF6)*StepDiscount)))</f>
        <v>98.302377737458954</v>
      </c>
      <c r="AF5" s="17">
        <f>IF(AF$3="","",IF(AF$3=Steps,MAX(IF(CallPut=1,UndTree!AF5-Strike,Strike-UndTree!AF5),0),MAX((2-AmEur)*IF(CallPut=1,UndTree!AF5-Strike,Strike-UndTree!AF5),(UpProb*AG5+DownProb*AG6)*StepDiscount)))</f>
        <v>104.1249248452032</v>
      </c>
      <c r="AG5" s="17">
        <f>IF(AG$3="","",IF(AG$3=Steps,MAX(IF(CallPut=1,UndTree!AG5-Strike,Strike-UndTree!AG5),0),MAX((2-AmEur)*IF(CallPut=1,UndTree!AG5-Strike,Strike-UndTree!AG5),(UpProb*AH5+DownProb*AH6)*StepDiscount)))</f>
        <v>110.129542552258</v>
      </c>
      <c r="AH5" s="17">
        <f>IF(AH$3="","",IF(AH$3=Steps,MAX(IF(CallPut=1,UndTree!AH5-Strike,Strike-UndTree!AH5),0),MAX((2-AmEur)*IF(CallPut=1,UndTree!AH5-Strike,Strike-UndTree!AH5),(UpProb*AI5+DownProb*AI6)*StepDiscount)))</f>
        <v>116.32044169775163</v>
      </c>
      <c r="AI5" s="17">
        <f>IF(AI$3="","",IF(AI$3=Steps,MAX(IF(CallPut=1,UndTree!AI5-Strike,Strike-UndTree!AI5),0),MAX((2-AmEur)*IF(CallPut=1,UndTree!AI5-Strike,Strike-UndTree!AI5),(UpProb*AJ5+DownProb*AJ6)*StepDiscount)))</f>
        <v>122.70230114159018</v>
      </c>
      <c r="AJ5" s="17">
        <f>IF(AJ$3="","",IF(AJ$3=Steps,MAX(IF(CallPut=1,UndTree!AJ5-Strike,Strike-UndTree!AJ5),0),MAX((2-AmEur)*IF(CallPut=1,UndTree!AJ5-Strike,Strike-UndTree!AJ5),(UpProb*AK5+DownProb*AK6)*StepDiscount)))</f>
        <v>129.28021204733398</v>
      </c>
      <c r="AK5" s="17">
        <f>IF(AK$3="","",IF(AK$3=Steps,MAX(IF(CallPut=1,UndTree!AK5-Strike,Strike-UndTree!AK5),0),MAX((2-AmEur)*IF(CallPut=1,UndTree!AK5-Strike,Strike-UndTree!AK5),(UpProb*AL5+DownProb*AL6)*StepDiscount)))</f>
        <v>136.05962818359308</v>
      </c>
      <c r="AL5" s="17">
        <f>IF(AL$3="","",IF(AL$3=Steps,MAX(IF(CallPut=1,UndTree!AL5-Strike,Strike-UndTree!AL5),0),MAX((2-AmEur)*IF(CallPut=1,UndTree!AL5-Strike,Strike-UndTree!AL5),(UpProb*AM5+DownProb*AM6)*StepDiscount)))</f>
        <v>143.04632393995533</v>
      </c>
      <c r="AM5" s="17">
        <f>IF(AM$3="","",IF(AM$3=Steps,MAX(IF(CallPut=1,UndTree!AM5-Strike,Strike-UndTree!AM5),0),MAX((2-AmEur)*IF(CallPut=1,UndTree!AM5-Strike,Strike-UndTree!AM5),(UpProb*AN5+DownProb*AN6)*StepDiscount)))</f>
        <v>150.24636075701369</v>
      </c>
      <c r="AN5" s="17">
        <f>IF(AN$3="","",IF(AN$3=Steps,MAX(IF(CallPut=1,UndTree!AN5-Strike,Strike-UndTree!AN5),0),MAX((2-AmEur)*IF(CallPut=1,UndTree!AN5-Strike,Strike-UndTree!AN5),(UpProb*AO5+DownProb*AO6)*StepDiscount)))</f>
        <v>157.66606185557757</v>
      </c>
      <c r="AO5" s="17">
        <f>IF(AO$3="","",IF(AO$3=Steps,MAX(IF(CallPut=1,UndTree!AO5-Strike,Strike-UndTree!AO5),0),MAX((2-AmEur)*IF(CallPut=1,UndTree!AO5-Strike,Strike-UndTree!AO5),(UpProb*AP5+DownProb*AP6)*StepDiscount)))</f>
        <v>165.31199456125159</v>
      </c>
      <c r="AP5" s="17">
        <f>IF(AP$3="","",IF(AP$3=Steps,MAX(IF(CallPut=1,UndTree!AP5-Strike,Strike-UndTree!AP5),0),MAX((2-AmEur)*IF(CallPut=1,UndTree!AP5-Strike,Strike-UndTree!AP5),(UpProb*AQ5+DownProb*AQ6)*StepDiscount)))</f>
        <v>173.19095916363591</v>
      </c>
      <c r="AQ5" s="17">
        <f>IF(AQ$3="","",IF(AQ$3=Steps,MAX(IF(CallPut=1,UndTree!AQ5-Strike,Strike-UndTree!AQ5),0),MAX((2-AmEur)*IF(CallPut=1,UndTree!AQ5-Strike,Strike-UndTree!AQ5),(UpProb*AR5+DownProb*AR6)*StepDiscount)))</f>
        <v>181.30998310052416</v>
      </c>
      <c r="AR5" s="17">
        <f>IF(AR$3="","",IF(AR$3=Steps,MAX(IF(CallPut=1,UndTree!AR5-Strike,Strike-UndTree!AR5),0),MAX((2-AmEur)*IF(CallPut=1,UndTree!AR5-Strike,Strike-UndTree!AR5),(UpProb*AS5+DownProb*AS6)*StepDiscount)))</f>
        <v>189.67631927269832</v>
      </c>
      <c r="AS5" s="17">
        <f>IF(AS$3="","",IF(AS$3=Steps,MAX(IF(CallPut=1,UndTree!AS5-Strike,Strike-UndTree!AS5),0),MAX((2-AmEur)*IF(CallPut=1,UndTree!AS5-Strike,Strike-UndTree!AS5),(UpProb*AT5+DownProb*AT6)*StepDiscount)))</f>
        <v>198.29744742153977</v>
      </c>
      <c r="AT5" s="17">
        <f>IF(AT$3="","",IF(AT$3=Steps,MAX(IF(CallPut=1,UndTree!AT5-Strike,Strike-UndTree!AT5),0),MAX((2-AmEur)*IF(CallPut=1,UndTree!AT5-Strike,Strike-UndTree!AT5),(UpProb*AU5+DownProb*AU6)*StepDiscount)))</f>
        <v>207.1810776882719</v>
      </c>
      <c r="AU5" s="17">
        <f>IF(AU$3="","",IF(AU$3=Steps,MAX(IF(CallPut=1,UndTree!AU5-Strike,Strike-UndTree!AU5),0),MAX((2-AmEur)*IF(CallPut=1,UndTree!AU5-Strike,Strike-UndTree!AU5),(UpProb*AV5+DownProb*AV6)*StepDiscount)))</f>
        <v>216.33515567734028</v>
      </c>
      <c r="AV5" s="17">
        <f>IF(AV$3="","",IF(AV$3=Steps,MAX(IF(CallPut=1,UndTree!AV5-Strike,Strike-UndTree!AV5),0),MAX((2-AmEur)*IF(CallPut=1,UndTree!AV5-Strike,Strike-UndTree!AV5),(UpProb*AW5+DownProb*AW6)*StepDiscount)))</f>
        <v>225.76786853672445</v>
      </c>
      <c r="AW5" s="17">
        <f>IF(AW$3="","",IF(AW$3=Steps,MAX(IF(CallPut=1,UndTree!AW5-Strike,Strike-UndTree!AW5),0),MAX((2-AmEur)*IF(CallPut=1,UndTree!AW5-Strike,Strike-UndTree!AW5),(UpProb*AX5+DownProb*AX6)*StepDiscount)))</f>
        <v>235.48765172731743</v>
      </c>
      <c r="AX5" s="17">
        <f>IF(AX$3="","",IF(AX$3=Steps,MAX(IF(CallPut=1,UndTree!AX5-Strike,Strike-UndTree!AX5),0),MAX((2-AmEur)*IF(CallPut=1,UndTree!AX5-Strike,Strike-UndTree!AX5),(UpProb*AY5+DownProb*AY6)*StepDiscount)))</f>
        <v>245.50319627549149</v>
      </c>
      <c r="AY5" s="17">
        <f>IF(AY$3="","",IF(AY$3=Steps,MAX(IF(CallPut=1,UndTree!AY5-Strike,Strike-UndTree!AY5),0),MAX((2-AmEur)*IF(CallPut=1,UndTree!AY5-Strike,Strike-UndTree!AY5),(UpProb*AZ5+DownProb*AZ6)*StepDiscount)))</f>
        <v>255.82345638910778</v>
      </c>
      <c r="AZ5" s="17">
        <f>IF(AZ$3="","",IF(AZ$3=Steps,MAX(IF(CallPut=1,UndTree!AZ5-Strike,Strike-UndTree!AZ5),0),MAX((2-AmEur)*IF(CallPut=1,UndTree!AZ5-Strike,Strike-UndTree!AZ5),(UpProb*BA5+DownProb*BA6)*StepDiscount)))</f>
        <v>266.45765737356186</v>
      </c>
      <c r="BA5" s="17">
        <f>IF(BA$3="","",IF(BA$3=Steps,MAX(IF(CallPut=1,UndTree!BA5-Strike,Strike-UndTree!BA5),0),MAX((2-AmEur)*IF(CallPut=1,UndTree!BA5-Strike,Strike-UndTree!BA5),(UpProb*BB5+DownProb*BB6)*StepDiscount)))</f>
        <v>277.41530381860349</v>
      </c>
      <c r="BB5" s="17">
        <f>IF(BB$3="","",IF(BB$3=Steps,MAX(IF(CallPut=1,UndTree!BB5-Strike,Strike-UndTree!BB5),0),MAX((2-AmEur)*IF(CallPut=1,UndTree!BB5-Strike,Strike-UndTree!BB5),(UpProb*BC5+DownProb*BC6)*StepDiscount)))</f>
        <v>288.70618804584342</v>
      </c>
      <c r="BC5" s="17">
        <f>IF(BC$3="","",IF(BC$3=Steps,MAX(IF(CallPut=1,UndTree!BC5-Strike,Strike-UndTree!BC5),0),MAX((2-AmEur)*IF(CallPut=1,UndTree!BC5-Strike,Strike-UndTree!BC5),(UpProb*BD5+DownProb*BD6)*StepDiscount)))</f>
        <v>300.34039881682878</v>
      </c>
      <c r="BD5" s="17">
        <f>IF(BD$3="","",IF(BD$3=Steps,MAX(IF(CallPut=1,UndTree!BD5-Strike,Strike-UndTree!BD5),0),MAX((2-AmEur)*IF(CallPut=1,UndTree!BD5-Strike,Strike-UndTree!BD5),(UpProb*BE5+DownProb*BE6)*StepDiscount)))</f>
        <v>312.32833030637755</v>
      </c>
      <c r="BE5" s="17">
        <f>IF(BE$3="","",IF(BE$3=Steps,MAX(IF(CallPut=1,UndTree!BE5-Strike,Strike-UndTree!BE5),0),MAX((2-AmEur)*IF(CallPut=1,UndTree!BE5-Strike,Strike-UndTree!BE5),(UpProb*BF5+DownProb*BF6)*StepDiscount)))</f>
        <v>324.68069134805529</v>
      </c>
      <c r="BF5" s="17">
        <f>IF(BF$3="","",IF(BF$3=Steps,MAX(IF(CallPut=1,UndTree!BF5-Strike,Strike-UndTree!BF5),0),MAX((2-AmEur)*IF(CallPut=1,UndTree!BF5-Strike,Strike-UndTree!BF5),(UpProb*BG5+DownProb*BG6)*StepDiscount)))</f>
        <v>337.40851495966609</v>
      </c>
      <c r="BG5" s="17">
        <f>IF(BG$3="","",IF(BG$3=Steps,MAX(IF(CallPut=1,UndTree!BG5-Strike,Strike-UndTree!BG5),0),MAX((2-AmEur)*IF(CallPut=1,UndTree!BG5-Strike,Strike-UndTree!BG5),(UpProb*BH5+DownProb*BH6)*StepDiscount)))</f>
        <v>350.52316815713402</v>
      </c>
      <c r="BH5" s="17">
        <f>IF(BH$3="","",IF(BH$3=Steps,MAX(IF(CallPut=1,UndTree!BH5-Strike,Strike-UndTree!BH5),0),MAX((2-AmEur)*IF(CallPut=1,UndTree!BH5-Strike,Strike-UndTree!BH5),(UpProb*BI5+DownProb*BI6)*StepDiscount)))</f>
        <v>364.0363620654806</v>
      </c>
      <c r="BI5" s="17">
        <f>IF(BI$3="","",IF(BI$3=Steps,MAX(IF(CallPut=1,UndTree!BI5-Strike,Strike-UndTree!BI5),0),MAX((2-AmEur)*IF(CallPut=1,UndTree!BI5-Strike,Strike-UndTree!BI5),(UpProb*BJ5+DownProb*BJ6)*StepDiscount)))</f>
        <v>377.96016233588853</v>
      </c>
      <c r="BJ5" s="17">
        <f>IF(BJ$3="","",IF(BJ$3=Steps,MAX(IF(CallPut=1,UndTree!BJ5-Strike,Strike-UndTree!BJ5),0),MAX((2-AmEur)*IF(CallPut=1,UndTree!BJ5-Strike,Strike-UndTree!BJ5),(UpProb*BK5+DownProb*BK6)*StepDiscount)))</f>
        <v>392.30699987811653</v>
      </c>
      <c r="BK5" s="17">
        <f>IF(BK$3="","",IF(BK$3=Steps,MAX(IF(CallPut=1,UndTree!BK5-Strike,Strike-UndTree!BK5),0),MAX((2-AmEur)*IF(CallPut=1,UndTree!BK5-Strike,Strike-UndTree!BK5),(UpProb*BL5+DownProb*BL6)*StepDiscount)))</f>
        <v>407.08968191781196</v>
      </c>
      <c r="BL5" s="17">
        <f>IF(BL$3="","",IF(BL$3=Steps,MAX(IF(CallPut=1,UndTree!BL5-Strike,Strike-UndTree!BL5),0),MAX((2-AmEur)*IF(CallPut=1,UndTree!BL5-Strike,Strike-UndTree!BL5),(UpProb*BM5+DownProb*BM6)*StepDiscount)))</f>
        <v>422.32140338855618</v>
      </c>
      <c r="BM5" s="17">
        <f>IF(BM$3="","",IF(BM$3=Steps,MAX(IF(CallPut=1,UndTree!BM5-Strike,Strike-UndTree!BM5),0),MAX((2-AmEur)*IF(CallPut=1,UndTree!BM5-Strike,Strike-UndTree!BM5),(UpProb*BN5+DownProb*BN6)*StepDiscount)))</f>
        <v>438.0157586687771</v>
      </c>
      <c r="BN5" s="17">
        <f>IF(BN$3="","",IF(BN$3=Steps,MAX(IF(CallPut=1,UndTree!BN5-Strike,Strike-UndTree!BN5),0),MAX((2-AmEur)*IF(CallPut=1,UndTree!BN5-Strike,Strike-UndTree!BN5),(UpProb*BO5+DownProb*BO6)*StepDiscount)))</f>
        <v>454.18675367396702</v>
      </c>
      <c r="BO5" s="17">
        <f>IF(BO$3="","",IF(BO$3=Steps,MAX(IF(CallPut=1,UndTree!BO5-Strike,Strike-UndTree!BO5),0),MAX((2-AmEur)*IF(CallPut=1,UndTree!BO5-Strike,Strike-UndTree!BO5),(UpProb*BP5+DownProb*BP6)*StepDiscount)))</f>
        <v>470.84881831496398</v>
      </c>
      <c r="BP5" s="17">
        <f>IF(BP$3="","",IF(BP$3=Steps,MAX(IF(CallPut=1,UndTree!BP5-Strike,Strike-UndTree!BP5),0),MAX((2-AmEur)*IF(CallPut=1,UndTree!BP5-Strike,Strike-UndTree!BP5),(UpProb*BQ5+DownProb*BQ6)*StepDiscount)))</f>
        <v>488.01681933337659</v>
      </c>
      <c r="BQ5" s="17">
        <f>IF(BQ$3="","",IF(BQ$3=Steps,MAX(IF(CallPut=1,UndTree!BQ5-Strike,Strike-UndTree!BQ5),0),MAX((2-AmEur)*IF(CallPut=1,UndTree!BQ5-Strike,Strike-UndTree!BQ5),(UpProb*BR5+DownProb*BR6)*StepDiscount)))</f>
        <v>505.70607352556959</v>
      </c>
      <c r="BR5" s="17">
        <f>IF(BR$3="","",IF(BR$3=Steps,MAX(IF(CallPut=1,UndTree!BR5-Strike,Strike-UndTree!BR5),0),MAX((2-AmEur)*IF(CallPut=1,UndTree!BR5-Strike,Strike-UndTree!BR5),(UpProb*BS5+DownProb*BS6)*StepDiscount)))</f>
        <v>523.93236136697442</v>
      </c>
      <c r="BS5" s="17">
        <f>IF(BS$3="","",IF(BS$3=Steps,MAX(IF(CallPut=1,UndTree!BS5-Strike,Strike-UndTree!BS5),0),MAX((2-AmEur)*IF(CallPut=1,UndTree!BS5-Strike,Strike-UndTree!BS5),(UpProb*BT5+DownProb*BT6)*StepDiscount)))</f>
        <v>542.71194104884148</v>
      </c>
      <c r="BT5" s="17">
        <f>IF(BT$3="","",IF(BT$3=Steps,MAX(IF(CallPut=1,UndTree!BT5-Strike,Strike-UndTree!BT5),0),MAX((2-AmEur)*IF(CallPut=1,UndTree!BT5-Strike,Strike-UndTree!BT5),(UpProb*BU5+DownProb*BU6)*StepDiscount)))</f>
        <v>562.06156293992115</v>
      </c>
      <c r="BU5" s="17">
        <f>IF(BU$3="","",IF(BU$3=Steps,MAX(IF(CallPut=1,UndTree!BU5-Strike,Strike-UndTree!BU5),0),MAX((2-AmEur)*IF(CallPut=1,UndTree!BU5-Strike,Strike-UndTree!BU5),(UpProb*BV5+DownProb*BV6)*StepDiscount)))</f>
        <v>581.99848448593787</v>
      </c>
      <c r="BV5" s="17">
        <f>IF(BV$3="","",IF(BV$3=Steps,MAX(IF(CallPut=1,UndTree!BV5-Strike,Strike-UndTree!BV5),0),MAX((2-AmEur)*IF(CallPut=1,UndTree!BV5-Strike,Strike-UndTree!BV5),(UpProb*BW5+DownProb*BW6)*StepDiscount)))</f>
        <v>602.54048556010753</v>
      </c>
      <c r="BW5" s="17">
        <f>IF(BW$3="","",IF(BW$3=Steps,MAX(IF(CallPut=1,UndTree!BW5-Strike,Strike-UndTree!BW5),0),MAX((2-AmEur)*IF(CallPut=1,UndTree!BW5-Strike,Strike-UndTree!BW5),(UpProb*BX5+DownProb*BX6)*StepDiscount)))</f>
        <v>623.70588427835617</v>
      </c>
      <c r="BX5" s="17">
        <f>IF(BX$3="","",IF(BX$3=Steps,MAX(IF(CallPut=1,UndTree!BX5-Strike,Strike-UndTree!BX5),0),MAX((2-AmEur)*IF(CallPut=1,UndTree!BX5-Strike,Strike-UndTree!BX5),(UpProb*BY5+DownProb*BY6)*StepDiscount)))</f>
        <v>645.51355329330477</v>
      </c>
      <c r="BY5" s="17">
        <f>IF(BY$3="","",IF(BY$3=Steps,MAX(IF(CallPut=1,UndTree!BY5-Strike,Strike-UndTree!BY5),0),MAX((2-AmEur)*IF(CallPut=1,UndTree!BY5-Strike,Strike-UndTree!BY5),(UpProb*BZ5+DownProb*BZ6)*StepDiscount)))</f>
        <v>667.98293658151522</v>
      </c>
      <c r="BZ5" s="17">
        <f>IF(BZ$3="","",IF(BZ$3=Steps,MAX(IF(CallPut=1,UndTree!BZ5-Strike,Strike-UndTree!BZ5),0),MAX((2-AmEur)*IF(CallPut=1,UndTree!BZ5-Strike,Strike-UndTree!BZ5),(UpProb*CA5+DownProb*CA6)*StepDiscount)))</f>
        <v>691.13406673892939</v>
      </c>
      <c r="CA5" s="17">
        <f>IF(CA$3="","",IF(CA$3=Steps,MAX(IF(CallPut=1,UndTree!CA5-Strike,Strike-UndTree!CA5),0),MAX((2-AmEur)*IF(CallPut=1,UndTree!CA5-Strike,Strike-UndTree!CA5),(UpProb*CB5+DownProb*CB6)*StepDiscount)))</f>
        <v>714.98758279988454</v>
      </c>
      <c r="CB5" s="17">
        <f>IF(CB$3="","",IF(CB$3=Steps,MAX(IF(CallPut=1,UndTree!CB5-Strike,Strike-UndTree!CB5),0),MAX((2-AmEur)*IF(CallPut=1,UndTree!CB5-Strike,Strike-UndTree!CB5),(UpProb*CC5+DownProb*CC6)*StepDiscount)))</f>
        <v>739.56474859555647</v>
      </c>
      <c r="CC5" s="17">
        <f>IF(CC$3="","",IF(CC$3=Steps,MAX(IF(CallPut=1,UndTree!CC5-Strike,Strike-UndTree!CC5),0),MAX((2-AmEur)*IF(CallPut=1,UndTree!CC5-Strike,Strike-UndTree!CC5),(UpProb*CD5+DownProb*CD6)*StepDiscount)))</f>
        <v>764.88747166816086</v>
      </c>
      <c r="CD5" s="17">
        <f>IF(CD$3="","",IF(CD$3=Steps,MAX(IF(CallPut=1,UndTree!CD5-Strike,Strike-UndTree!CD5),0),MAX((2-AmEur)*IF(CallPut=1,UndTree!CD5-Strike,Strike-UndTree!CD5),(UpProb*CE5+DownProb*CE6)*StepDiscount)))</f>
        <v>790.97832275773328</v>
      </c>
      <c r="CE5" s="17">
        <f>IF(CE$3="","",IF(CE$3=Steps,MAX(IF(CallPut=1,UndTree!CE5-Strike,Strike-UndTree!CE5),0),MAX((2-AmEur)*IF(CallPut=1,UndTree!CE5-Strike,Strike-UndTree!CE5),(UpProb*CF5+DownProb*CF6)*StepDiscount)))</f>
        <v>817.86055587882663</v>
      </c>
      <c r="CF5" s="17">
        <f>IF(CF$3="","",IF(CF$3=Steps,MAX(IF(CallPut=1,UndTree!CF5-Strike,Strike-UndTree!CF5),0),MAX((2-AmEur)*IF(CallPut=1,UndTree!CF5-Strike,Strike-UndTree!CF5),(UpProb*CG5+DownProb*CG6)*StepDiscount)))</f>
        <v>845.55812900498006</v>
      </c>
      <c r="CG5" s="17">
        <f>IF(CG$3="","",IF(CG$3=Steps,MAX(IF(CallPut=1,UndTree!CG5-Strike,Strike-UndTree!CG5),0),MAX((2-AmEur)*IF(CallPut=1,UndTree!CG5-Strike,Strike-UndTree!CG5),(UpProb*CH5+DownProb*CH6)*StepDiscount)))</f>
        <v>874.09572537935901</v>
      </c>
      <c r="CH5" s="17">
        <f>IF(CH$3="","",IF(CH$3=Steps,MAX(IF(CallPut=1,UndTree!CH5-Strike,Strike-UndTree!CH5),0),MAX((2-AmEur)*IF(CallPut=1,UndTree!CH5-Strike,Strike-UndTree!CH5),(UpProb*CI5+DownProb*CI6)*StepDiscount)))</f>
        <v>903.49877547052347</v>
      </c>
      <c r="CI5" s="17">
        <f>IF(CI$3="","",IF(CI$3=Steps,MAX(IF(CallPut=1,UndTree!CI5-Strike,Strike-UndTree!CI5),0),MAX((2-AmEur)*IF(CallPut=1,UndTree!CI5-Strike,Strike-UndTree!CI5),(UpProb*CJ5+DownProb*CJ6)*StepDiscount)))</f>
        <v>933.79347959285201</v>
      </c>
      <c r="CJ5" s="17">
        <f>IF(CJ$3="","",IF(CJ$3=Steps,MAX(IF(CallPut=1,UndTree!CJ5-Strike,Strike-UndTree!CJ5),0),MAX((2-AmEur)*IF(CallPut=1,UndTree!CJ5-Strike,Strike-UndTree!CJ5),(UpProb*CK5+DownProb*CK6)*StepDiscount)))</f>
        <v>965.00683121174484</v>
      </c>
      <c r="CK5" s="17">
        <f>IF(CK$3="","",IF(CK$3=Steps,MAX(IF(CallPut=1,UndTree!CK5-Strike,Strike-UndTree!CK5),0),MAX((2-AmEur)*IF(CallPut=1,UndTree!CK5-Strike,Strike-UndTree!CK5),(UpProb*CL5+DownProb*CL6)*StepDiscount)))</f>
        <v>997.16664095433373</v>
      </c>
      <c r="CL5" s="17">
        <f>IF(CL$3="","",IF(CL$3=Steps,MAX(IF(CallPut=1,UndTree!CL5-Strike,Strike-UndTree!CL5),0),MAX((2-AmEur)*IF(CallPut=1,UndTree!CL5-Strike,Strike-UndTree!CL5),(UpProb*CM5+DownProb*CM6)*StepDiscount)))</f>
        <v>1030.3015613470598</v>
      </c>
      <c r="CM5" s="17">
        <f>IF(CM$3="","",IF(CM$3=Steps,MAX(IF(CallPut=1,UndTree!CM5-Strike,Strike-UndTree!CM5),0),MAX((2-AmEur)*IF(CallPut=1,UndTree!CM5-Strike,Strike-UndTree!CM5),(UpProb*CN5+DownProb*CN6)*StepDiscount)))</f>
        <v>1064.4411123021223</v>
      </c>
      <c r="CN5" s="17">
        <f>IF(CN$3="","",IF(CN$3=Steps,MAX(IF(CallPut=1,UndTree!CN5-Strike,Strike-UndTree!CN5),0),MAX((2-AmEur)*IF(CallPut=1,UndTree!CN5-Strike,Strike-UndTree!CN5),(UpProb*CO5+DownProb*CO6)*StepDiscount)))</f>
        <v>1099.6157073754687</v>
      </c>
      <c r="CO5" s="17">
        <f>IF(CO$3="","",IF(CO$3=Steps,MAX(IF(CallPut=1,UndTree!CO5-Strike,Strike-UndTree!CO5),0),MAX((2-AmEur)*IF(CallPut=1,UndTree!CO5-Strike,Strike-UndTree!CO5),(UpProb*CP5+DownProb*CP6)*StepDiscount)))</f>
        <v>1135.8566808196827</v>
      </c>
      <c r="CP5" s="17">
        <f>IF(CP$3="","",IF(CP$3=Steps,MAX(IF(CallPut=1,UndTree!CP5-Strike,Strike-UndTree!CP5),0),MAX((2-AmEur)*IF(CallPut=1,UndTree!CP5-Strike,Strike-UndTree!CP5),(UpProb*CQ5+DownProb*CQ6)*StepDiscount)))</f>
        <v>1173.1963154558325</v>
      </c>
      <c r="CQ5" s="17">
        <f>IF(CQ$3="","",IF(CQ$3=Steps,MAX(IF(CallPut=1,UndTree!CQ5-Strike,Strike-UndTree!CQ5),0),MAX((2-AmEur)*IF(CallPut=1,UndTree!CQ5-Strike,Strike-UndTree!CQ5),(UpProb*CR5+DownProb*CR6)*StepDiscount)))</f>
        <v>1211.667871389074</v>
      </c>
      <c r="CR5" s="17">
        <f>IF(CR$3="","",IF(CR$3=Steps,MAX(IF(CallPut=1,UndTree!CR5-Strike,Strike-UndTree!CR5),0),MAX((2-AmEur)*IF(CallPut=1,UndTree!CR5-Strike,Strike-UndTree!CR5),(UpProb*CS5+DownProb*CS6)*StepDiscount)))</f>
        <v>1251.3056155935444</v>
      </c>
      <c r="CS5" s="17">
        <f>IF(CS$3="","",IF(CS$3=Steps,MAX(IF(CallPut=1,UndTree!CS5-Strike,Strike-UndTree!CS5),0),MAX((2-AmEur)*IF(CallPut=1,UndTree!CS5-Strike,Strike-UndTree!CS5),(UpProb*CT5+DownProb*CT6)*StepDiscount)))</f>
        <v>1292.1448523928723</v>
      </c>
      <c r="CT5" s="17">
        <f>IF(CT$3="","",IF(CT$3=Steps,MAX(IF(CallPut=1,UndTree!CT5-Strike,Strike-UndTree!CT5),0),MAX((2-AmEur)*IF(CallPut=1,UndTree!CT5-Strike,Strike-UndTree!CT5),(UpProb*CU5+DownProb*CU6)*StepDiscount)))</f>
        <v>1334.2219548634105</v>
      </c>
      <c r="CU5" s="17">
        <f>IF(CU$3="","",IF(CU$3=Steps,MAX(IF(CallPut=1,UndTree!CU5-Strike,Strike-UndTree!CU5),0),MAX((2-AmEur)*IF(CallPut=1,UndTree!CU5-Strike,Strike-UndTree!CU5),(UpProb*CV5+DownProb*CV6)*StepDiscount)))</f>
        <v>1377.5743971881177</v>
      </c>
      <c r="CV5" s="17">
        <f>IF(CV$3="","",IF(CV$3=Steps,MAX(IF(CallPut=1,UndTree!CV5-Strike,Strike-UndTree!CV5),0),MAX((2-AmEur)*IF(CallPut=1,UndTree!CV5-Strike,Strike-UndTree!CV5),(UpProb*CW5+DownProb*CW6)*StepDiscount)))</f>
        <v>1422.2407879898592</v>
      </c>
      <c r="CW5" s="17">
        <f>IF(CW$3="","",IF(CW$3=Steps,MAX(IF(CallPut=1,UndTree!CW5-Strike,Strike-UndTree!CW5),0),MAX((2-AmEur)*IF(CallPut=1,UndTree!CW5-Strike,Strike-UndTree!CW5),(UpProb*CX5+DownProb*CX6)*StepDiscount)))</f>
        <v>1468.2609046737668</v>
      </c>
      <c r="CX5" s="17">
        <f>IF(CX$3="","",IF(CX$3=Steps,MAX(IF(CallPut=1,UndTree!CX5-Strike,Strike-UndTree!CX5),0),MAX((2-AmEur)*IF(CallPut=1,UndTree!CX5-Strike,Strike-UndTree!CX5),(UpProb*CY5+DownProb*CY6)*StepDiscount)))</f>
        <v>1515.6757288092206</v>
      </c>
      <c r="CY5" s="17">
        <f>IF(CY$3="","",IF(CY$3=Steps,MAX(IF(CallPut=1,UndTree!CY5-Strike,Strike-UndTree!CY5),0),MAX((2-AmEur)*IF(CallPut=1,UndTree!CY5-Strike,Strike-UndTree!CY5),(UpProb*CZ5+DownProb*CZ6)*StepDiscount)))</f>
        <v>1564.5274825829756</v>
      </c>
      <c r="CZ5" s="17">
        <f>IF(CZ$3="","",IF(CZ$3=Steps,MAX(IF(CallPut=1,UndTree!CZ5-Strike,Strike-UndTree!CZ5),0),MAX((2-AmEur)*IF(CallPut=1,UndTree!CZ5-Strike,Strike-UndTree!CZ5),(UpProb*DA5+DownProb*DA6)*StepDiscount)))</f>
        <v>1614.8596663558326</v>
      </c>
      <c r="DA5" s="17">
        <f>IF(DA$3="","",IF(DA$3=Steps,MAX(IF(CallPut=1,UndTree!DA5-Strike,Strike-UndTree!DA5),0),MAX((2-AmEur)*IF(CallPut=1,UndTree!DA5-Strike,Strike-UndTree!DA5),(UpProb*DB5+DownProb*DB6)*StepDiscount)))</f>
        <v>1666.7170973561017</v>
      </c>
      <c r="DB5" s="17">
        <f>IF(DB$3="","",IF(DB$3=Steps,MAX(IF(CallPut=1,UndTree!DB5-Strike,Strike-UndTree!DB5),0),MAX((2-AmEur)*IF(CallPut=1,UndTree!DB5-Strike,Strike-UndTree!DB5),(UpProb*DC5+DownProb*DC6)*StepDiscount)))</f>
        <v>1720.1459495449001</v>
      </c>
    </row>
    <row r="6" spans="1:106" x14ac:dyDescent="0.2">
      <c r="A6">
        <f>ExDivTree!A6</f>
        <v>5050</v>
      </c>
      <c r="B6" s="71">
        <f>ExDivTree!B6</f>
        <v>1.9918737856830548E-27</v>
      </c>
      <c r="C6" s="71">
        <f>ExDivTree!C6</f>
        <v>2.5749188989956923E-27</v>
      </c>
      <c r="D6" s="177">
        <f>ExDivTree!D6</f>
        <v>2</v>
      </c>
      <c r="G6" s="17">
        <f>IF(G$3="","",IF(G$3=Steps,MAX(IF(CallPut=1,UndTree!G6-Strike,Strike-UndTree!G6),0),MAX((2-AmEur)*IF(CallPut=1,UndTree!G6-Strike,Strike-UndTree!G6),(UpProb*H6+DownProb*H7)*StepDiscount)))</f>
        <v>8.4051123191726269</v>
      </c>
      <c r="H6" s="17">
        <f>IF(H$3="","",IF(H$3=Steps,MAX(IF(CallPut=1,UndTree!H6-Strike,Strike-UndTree!H6),0),MAX((2-AmEur)*IF(CallPut=1,UndTree!H6-Strike,Strike-UndTree!H6),(UpProb*I6+DownProb*I7)*StepDiscount)))</f>
        <v>9.688130844867695</v>
      </c>
      <c r="I6" s="17">
        <f>IF(I$3="","",IF(I$3=Steps,MAX(IF(CallPut=1,UndTree!I6-Strike,Strike-UndTree!I6),0),MAX((2-AmEur)*IF(CallPut=1,UndTree!I6-Strike,Strike-UndTree!I6),(UpProb*J6+DownProb*J7)*StepDiscount)))</f>
        <v>11.117207698294472</v>
      </c>
      <c r="J6" s="17">
        <f>IF(J$3="","",IF(J$3=Steps,MAX(IF(CallPut=1,UndTree!J6-Strike,Strike-UndTree!J6),0),MAX((2-AmEur)*IF(CallPut=1,UndTree!J6-Strike,Strike-UndTree!J6),(UpProb*K6+DownProb*K7)*StepDiscount)))</f>
        <v>12.700634459156145</v>
      </c>
      <c r="K6" s="17">
        <f>IF(K$3="","",IF(K$3=Steps,MAX(IF(CallPut=1,UndTree!K6-Strike,Strike-UndTree!K6),0),MAX((2-AmEur)*IF(CallPut=1,UndTree!K6-Strike,Strike-UndTree!K6),(UpProb*L6+DownProb*L7)*StepDiscount)))</f>
        <v>14.445997410711106</v>
      </c>
      <c r="L6" s="17">
        <f>IF(L$3="","",IF(L$3=Steps,MAX(IF(CallPut=1,UndTree!L6-Strike,Strike-UndTree!L6),0),MAX((2-AmEur)*IF(CallPut=1,UndTree!L6-Strike,Strike-UndTree!L6),(UpProb*M6+DownProb*M7)*StepDiscount)))</f>
        <v>16.360041490070685</v>
      </c>
      <c r="M6" s="17">
        <f>IF(M$3="","",IF(M$3=Steps,MAX(IF(CallPut=1,UndTree!M6-Strike,Strike-UndTree!M6),0),MAX((2-AmEur)*IF(CallPut=1,UndTree!M6-Strike,Strike-UndTree!M6),(UpProb*N6+DownProb*N7)*StepDiscount)))</f>
        <v>18.448556007607902</v>
      </c>
      <c r="N6" s="17">
        <f>IF(N$3="","",IF(N$3=Steps,MAX(IF(CallPut=1,UndTree!N6-Strike,Strike-UndTree!N6),0),MAX((2-AmEur)*IF(CallPut=1,UndTree!N6-Strike,Strike-UndTree!N6),(UpProb*O6+DownProb*O7)*StepDiscount)))</f>
        <v>20.716288620577721</v>
      </c>
      <c r="O6" s="17">
        <f>IF(O$3="","",IF(O$3=Steps,MAX(IF(CallPut=1,UndTree!O6-Strike,Strike-UndTree!O6),0),MAX((2-AmEur)*IF(CallPut=1,UndTree!O6-Strike,Strike-UndTree!O6),(UpProb*P6+DownProb*P7)*StepDiscount)))</f>
        <v>23.166893074294073</v>
      </c>
      <c r="P6" s="17">
        <f>IF(P$3="","",IF(P$3=Steps,MAX(IF(CallPut=1,UndTree!P6-Strike,Strike-UndTree!P6),0),MAX((2-AmEur)*IF(CallPut=1,UndTree!P6-Strike,Strike-UndTree!P6),(UpProb*Q6+DownProb*Q7)*StepDiscount)))</f>
        <v>25.802914799844487</v>
      </c>
      <c r="Q6" s="17">
        <f>IF(Q$3="","",IF(Q$3=Steps,MAX(IF(CallPut=1,UndTree!Q6-Strike,Strike-UndTree!Q6),0),MAX((2-AmEur)*IF(CallPut=1,UndTree!Q6-Strike,Strike-UndTree!Q6),(UpProb*R6+DownProb*R7)*StepDiscount)))</f>
        <v>28.62581663991126</v>
      </c>
      <c r="R6" s="17">
        <f>IF(R$3="","",IF(R$3=Steps,MAX(IF(CallPut=1,UndTree!R6-Strike,Strike-UndTree!R6),0),MAX((2-AmEur)*IF(CallPut=1,UndTree!R6-Strike,Strike-UndTree!R6),(UpProb*S6+DownProb*S7)*StepDiscount)))</f>
        <v>31.636044865526536</v>
      </c>
      <c r="S6" s="17">
        <f>IF(S$3="","",IF(S$3=Steps,MAX(IF(CallPut=1,UndTree!S6-Strike,Strike-UndTree!S6),0),MAX((2-AmEur)*IF(CallPut=1,UndTree!S6-Strike,Strike-UndTree!S6),(UpProb*T6+DownProb*T7)*StepDiscount)))</f>
        <v>34.833133385873332</v>
      </c>
      <c r="T6" s="17">
        <f>IF(T$3="","",IF(T$3=Steps,MAX(IF(CallPut=1,UndTree!T6-Strike,Strike-UndTree!T6),0),MAX((2-AmEur)*IF(CallPut=1,UndTree!T6-Strike,Strike-UndTree!T6),(UpProb*U6+DownProb*U7)*StepDiscount)))</f>
        <v>38.215841808092016</v>
      </c>
      <c r="U6" s="17">
        <f>IF(U$3="","",IF(U$3=Steps,MAX(IF(CallPut=1,UndTree!U6-Strike,Strike-UndTree!U6),0),MAX((2-AmEur)*IF(CallPut=1,UndTree!U6-Strike,Strike-UndTree!U6),(UpProb*V6+DownProb*V7)*StepDiscount)))</f>
        <v>41.782320956169954</v>
      </c>
      <c r="V6" s="17">
        <f>IF(V$3="","",IF(V$3=Steps,MAX(IF(CallPut=1,UndTree!V6-Strike,Strike-UndTree!V6),0),MAX((2-AmEur)*IF(CallPut=1,UndTree!V6-Strike,Strike-UndTree!V6),(UpProb*W6+DownProb*W7)*StepDiscount)))</f>
        <v>45.530297785787127</v>
      </c>
      <c r="W6" s="17">
        <f>IF(W$3="","",IF(W$3=Steps,MAX(IF(CallPut=1,UndTree!W6-Strike,Strike-UndTree!W6),0),MAX((2-AmEur)*IF(CallPut=1,UndTree!W6-Strike,Strike-UndTree!W6),(UpProb*X6+DownProb*X7)*StepDiscount)))</f>
        <v>49.45727049138781</v>
      </c>
      <c r="X6" s="17">
        <f>IF(X$3="","",IF(X$3=Steps,MAX(IF(CallPut=1,UndTree!X6-Strike,Strike-UndTree!X6),0),MAX((2-AmEur)*IF(CallPut=1,UndTree!X6-Strike,Strike-UndTree!X6),(UpProb*Y6+DownProb*Y7)*StepDiscount)))</f>
        <v>53.560704107585714</v>
      </c>
      <c r="Y6" s="17">
        <f>IF(Y$3="","",IF(Y$3=Steps,MAX(IF(CallPut=1,UndTree!Y6-Strike,Strike-UndTree!Y6),0),MAX((2-AmEur)*IF(CallPut=1,UndTree!Y6-Strike,Strike-UndTree!Y6),(UpProb*Z6+DownProb*Z7)*StepDiscount)))</f>
        <v>57.838217117536502</v>
      </c>
      <c r="Z6" s="17">
        <f>IF(Z$3="","",IF(Z$3=Steps,MAX(IF(CallPut=1,UndTree!Z6-Strike,Strike-UndTree!Z6),0),MAX((2-AmEur)*IF(CallPut=1,UndTree!Z6-Strike,Strike-UndTree!Z6),(UpProb*AA6+DownProb*AA7)*StepDiscount)))</f>
        <v>62.287750487812502</v>
      </c>
      <c r="AA6" s="17">
        <f>IF(AA$3="","",IF(AA$3=Steps,MAX(IF(CallPut=1,UndTree!AA6-Strike,Strike-UndTree!AA6),0),MAX((2-AmEur)*IF(CallPut=1,UndTree!AA6-Strike,Strike-UndTree!AA6),(UpProb*AB6+DownProb*AB7)*StepDiscount)))</f>
        <v>66.907712075182857</v>
      </c>
      <c r="AB6" s="17">
        <f>IF(AB$3="","",IF(AB$3=Steps,MAX(IF(CallPut=1,UndTree!AB6-Strike,Strike-UndTree!AB6),0),MAX((2-AmEur)*IF(CallPut=1,UndTree!AB6-Strike,Strike-UndTree!AB6),(UpProb*AC6+DownProb*AC7)*StepDiscount)))</f>
        <v>71.697091354972912</v>
      </c>
      <c r="AC6" s="17">
        <f>IF(AC$3="","",IF(AC$3=Steps,MAX(IF(CallPut=1,UndTree!AC6-Strike,Strike-UndTree!AC6),0),MAX((2-AmEur)*IF(CallPut=1,UndTree!AC6-Strike,Strike-UndTree!AC6),(UpProb*AD6+DownProb*AD7)*StepDiscount)))</f>
        <v>76.655541713872339</v>
      </c>
      <c r="AD6" s="17">
        <f>IF(AD$3="","",IF(AD$3=Steps,MAX(IF(CallPut=1,UndTree!AD6-Strike,Strike-UndTree!AD6),0),MAX((2-AmEur)*IF(CallPut=1,UndTree!AD6-Strike,Strike-UndTree!AD6),(UpProb*AE6+DownProb*AE7)*StepDiscount)))</f>
        <v>81.783429914901404</v>
      </c>
      <c r="AE6" s="17">
        <f>IF(AE$3="","",IF(AE$3=Steps,MAX(IF(CallPut=1,UndTree!AE6-Strike,Strike-UndTree!AE6),0),MAX((2-AmEur)*IF(CallPut=1,UndTree!AE6-Strike,Strike-UndTree!AE6),(UpProb*AF6+DownProb*AF7)*StepDiscount)))</f>
        <v>87.081854558985867</v>
      </c>
      <c r="AF6" s="17">
        <f>IF(AF$3="","",IF(AF$3=Steps,MAX(IF(CallPut=1,UndTree!AF6-Strike,Strike-UndTree!AF6),0),MAX((2-AmEur)*IF(CallPut=1,UndTree!AF6-Strike,Strike-UndTree!AF6),(UpProb*AG6+DownProb*AG7)*StepDiscount)))</f>
        <v>92.552637240116539</v>
      </c>
      <c r="AG6" s="17">
        <f>IF(AG$3="","",IF(AG$3=Steps,MAX(IF(CallPut=1,UndTree!AG6-Strike,Strike-UndTree!AG6),0),MAX((2-AmEur)*IF(CallPut=1,UndTree!AG6-Strike,Strike-UndTree!AG6),(UpProb*AH6+DownProb*AH7)*StepDiscount)))</f>
        <v>98.198291469923291</v>
      </c>
      <c r="AH6" s="17">
        <f>IF(AH$3="","",IF(AH$3=Steps,MAX(IF(CallPut=1,UndTree!AH6-Strike,Strike-UndTree!AH6),0),MAX((2-AmEur)*IF(CallPut=1,UndTree!AH6-Strike,Strike-UndTree!AH6),(UpProb*AI6+DownProb*AI7)*StepDiscount)))</f>
        <v>104.02197524638432</v>
      </c>
      <c r="AI6" s="17">
        <f>IF(AI$3="","",IF(AI$3=Steps,MAX(IF(CallPut=1,UndTree!AI6-Strike,Strike-UndTree!AI6),0),MAX((2-AmEur)*IF(CallPut=1,UndTree!AI6-Strike,Strike-UndTree!AI6),(UpProb*AJ6+DownProb*AJ7)*StepDiscount)))</f>
        <v>110.0274333446489</v>
      </c>
      <c r="AJ6" s="17">
        <f>IF(AJ$3="","",IF(AJ$3=Steps,MAX(IF(CallPut=1,UndTree!AJ6-Strike,Strike-UndTree!AJ6),0),MAX((2-AmEur)*IF(CallPut=1,UndTree!AJ6-Strike,Strike-UndTree!AJ6),(UpProb*AK6+DownProb*AK7)*StepDiscount)))</f>
        <v>116.21893506788132</v>
      </c>
      <c r="AK6" s="17">
        <f>IF(AK$3="","",IF(AK$3=Steps,MAX(IF(CallPut=1,UndTree!AK6-Strike,Strike-UndTree!AK6),0),MAX((2-AmEur)*IF(CallPut=1,UndTree!AK6-Strike,Strike-UndTree!AK6),(UpProb*AL6+DownProb*AL7)*StepDiscount)))</f>
        <v>122.60121242082272</v>
      </c>
      <c r="AL6" s="17">
        <f>IF(AL$3="","",IF(AL$3=Steps,MAX(IF(CallPut=1,UndTree!AL6-Strike,Strike-UndTree!AL6),0),MAX((2-AmEur)*IF(CallPut=1,UndTree!AL6-Strike,Strike-UndTree!AL6),(UpProb*AM6+DownProb*AM7)*StepDiscount)))</f>
        <v>129.17940260319642</v>
      </c>
      <c r="AM6" s="17">
        <f>IF(AM$3="","",IF(AM$3=Steps,MAX(IF(CallPut=1,UndTree!AM6-Strike,Strike-UndTree!AM6),0),MAX((2-AmEur)*IF(CallPut=1,UndTree!AM6-Strike,Strike-UndTree!AM6),(UpProb*AN6+DownProb*AN7)*StepDiscount)))</f>
        <v>135.95899752250304</v>
      </c>
      <c r="AN6" s="17">
        <f>IF(AN$3="","",IF(AN$3=Steps,MAX(IF(CallPut=1,UndTree!AN6-Strike,Strike-UndTree!AN6),0),MAX((2-AmEur)*IF(CallPut=1,UndTree!AN6-Strike,Strike-UndTree!AN6),(UpProb*AO6+DownProb*AO7)*StepDiscount)))</f>
        <v>142.94580184532143</v>
      </c>
      <c r="AO6" s="17">
        <f>IF(AO$3="","",IF(AO$3=Steps,MAX(IF(CallPut=1,UndTree!AO6-Strike,Strike-UndTree!AO6),0),MAX((2-AmEur)*IF(CallPut=1,UndTree!AO6-Strike,Strike-UndTree!AO6),(UpProb*AP6+DownProb*AP7)*StepDiscount)))</f>
        <v>150.14590006411112</v>
      </c>
      <c r="AP6" s="17">
        <f>IF(AP$3="","",IF(AP$3=Steps,MAX(IF(CallPut=1,UndTree!AP6-Strike,Strike-UndTree!AP6),0),MAX((2-AmEur)*IF(CallPut=1,UndTree!AP6-Strike,Strike-UndTree!AP6),(UpProb*AQ6+DownProb*AQ7)*StepDiscount)))</f>
        <v>157.56563223378194</v>
      </c>
      <c r="AQ6" s="17">
        <f>IF(AQ$3="","",IF(AQ$3=Steps,MAX(IF(CallPut=1,UndTree!AQ6-Strike,Strike-UndTree!AQ6),0),MAX((2-AmEur)*IF(CallPut=1,UndTree!AQ6-Strike,Strike-UndTree!AQ6),(UpProb*AR6+DownProb*AR7)*StepDiscount)))</f>
        <v>165.21157746583529</v>
      </c>
      <c r="AR6" s="17">
        <f>IF(AR$3="","",IF(AR$3=Steps,MAX(IF(CallPut=1,UndTree!AR6-Strike,Strike-UndTree!AR6),0),MAX((2-AmEur)*IF(CallPut=1,UndTree!AR6-Strike,Strike-UndTree!AR6),(UpProb*AS6+DownProb*AS7)*StepDiscount)))</f>
        <v>173.09054395387298</v>
      </c>
      <c r="AS6" s="17">
        <f>IF(AS$3="","",IF(AS$3=Steps,MAX(IF(CallPut=1,UndTree!AS6-Strike,Strike-UndTree!AS6),0),MAX((2-AmEur)*IF(CallPut=1,UndTree!AS6-Strike,Strike-UndTree!AS6),(UpProb*AT6+DownProb*AT7)*StepDiscount)))</f>
        <v>181.2095642075179</v>
      </c>
      <c r="AT6" s="17">
        <f>IF(AT$3="","",IF(AT$3=Steps,MAX(IF(CallPut=1,UndTree!AT6-Strike,Strike-UndTree!AT6),0),MAX((2-AmEur)*IF(CallPut=1,UndTree!AT6-Strike,Strike-UndTree!AT6),(UpProb*AU6+DownProb*AU7)*StepDiscount)))</f>
        <v>189.57589423825235</v>
      </c>
      <c r="AU6" s="17">
        <f>IF(AU$3="","",IF(AU$3=Steps,MAX(IF(CallPut=1,UndTree!AU6-Strike,Strike-UndTree!AU6),0),MAX((2-AmEur)*IF(CallPut=1,UndTree!AU6-Strike,Strike-UndTree!AU6),(UpProb*AV6+DownProb*AV7)*StepDiscount)))</f>
        <v>198.19701561028461</v>
      </c>
      <c r="AV6" s="17">
        <f>IF(AV$3="","",IF(AV$3=Steps,MAX(IF(CallPut=1,UndTree!AV6-Strike,Strike-UndTree!AV6),0),MAX((2-AmEur)*IF(CallPut=1,UndTree!AV6-Strike,Strike-UndTree!AV6),(UpProb*AW6+DownProb*AW7)*StepDiscount)))</f>
        <v>207.08063948693737</v>
      </c>
      <c r="AW6" s="17">
        <f>IF(AW$3="","",IF(AW$3=Steps,MAX(IF(CallPut=1,UndTree!AW6-Strike,Strike-UndTree!AW6),0),MAX((2-AmEur)*IF(CallPut=1,UndTree!AW6-Strike,Strike-UndTree!AW6),(UpProb*AX6+DownProb*AX7)*StepDiscount)))</f>
        <v>216.23471202464611</v>
      </c>
      <c r="AX6" s="17">
        <f>IF(AX$3="","",IF(AX$3=Steps,MAX(IF(CallPut=1,UndTree!AX6-Strike,Strike-UndTree!AX6),0),MAX((2-AmEur)*IF(CallPut=1,UndTree!AX6-Strike,Strike-UndTree!AX6),(UpProb*AY6+DownProb*AY7)*StepDiscount)))</f>
        <v>225.66742066372976</v>
      </c>
      <c r="AY6" s="17">
        <f>IF(AY$3="","",IF(AY$3=Steps,MAX(IF(CallPut=1,UndTree!AY6-Strike,Strike-UndTree!AY6),0),MAX((2-AmEur)*IF(CallPut=1,UndTree!AY6-Strike,Strike-UndTree!AY6),(UpProb*AZ6+DownProb*AZ7)*StepDiscount)))</f>
        <v>235.38720102323492</v>
      </c>
      <c r="AZ6" s="17">
        <f>IF(AZ$3="","",IF(AZ$3=Steps,MAX(IF(CallPut=1,UndTree!AZ6-Strike,Strike-UndTree!AZ6),0),MAX((2-AmEur)*IF(CallPut=1,UndTree!AZ6-Strike,Strike-UndTree!AZ6),(UpProb*BA6+DownProb*BA7)*StepDiscount)))</f>
        <v>245.40274422335366</v>
      </c>
      <c r="BA6" s="17">
        <f>IF(BA$3="","",IF(BA$3=Steps,MAX(IF(CallPut=1,UndTree!BA6-Strike,Strike-UndTree!BA6),0),MAX((2-AmEur)*IF(CallPut=1,UndTree!BA6-Strike,Strike-UndTree!BA6),(UpProb*BB6+DownProb*BB7)*StepDiscount)))</f>
        <v>255.72300453761062</v>
      </c>
      <c r="BB6" s="17">
        <f>IF(BB$3="","",IF(BB$3=Steps,MAX(IF(CallPut=1,UndTree!BB6-Strike,Strike-UndTree!BB6),0),MAX((2-AmEur)*IF(CallPut=1,UndTree!BB6-Strike,Strike-UndTree!BB6),(UpProb*BC6+DownProb*BC7)*StepDiscount)))</f>
        <v>266.35720732625043</v>
      </c>
      <c r="BC6" s="17">
        <f>IF(BC$3="","",IF(BC$3=Steps,MAX(IF(CallPut=1,UndTree!BC6-Strike,Strike-UndTree!BC6),0),MAX((2-AmEur)*IF(CallPut=1,UndTree!BC6-Strike,Strike-UndTree!BC6),(UpProb*BD6+DownProb*BD7)*StepDiscount)))</f>
        <v>277.31485723070841</v>
      </c>
      <c r="BD6" s="17">
        <f>IF(BD$3="","",IF(BD$3=Steps,MAX(IF(CallPut=1,UndTree!BD6-Strike,Strike-UndTree!BD6),0),MAX((2-AmEur)*IF(CallPut=1,UndTree!BD6-Strike,Strike-UndTree!BD6),(UpProb*BE6+DownProb*BE7)*StepDiscount)))</f>
        <v>288.60574662420623</v>
      </c>
      <c r="BE6" s="17">
        <f>IF(BE$3="","",IF(BE$3=Steps,MAX(IF(CallPut=1,UndTree!BE6-Strike,Strike-UndTree!BE6),0),MAX((2-AmEur)*IF(CallPut=1,UndTree!BE6-Strike,Strike-UndTree!BE6),(UpProb*BF6+DownProb*BF7)*StepDiscount)))</f>
        <v>300.23996432096976</v>
      </c>
      <c r="BF6" s="17">
        <f>IF(BF$3="","",IF(BF$3=Steps,MAX(IF(CallPut=1,UndTree!BF6-Strike,Strike-UndTree!BF6),0),MAX((2-AmEur)*IF(CallPut=1,UndTree!BF6-Strike,Strike-UndTree!BF6),(UpProb*BG6+DownProb*BG7)*StepDiscount)))</f>
        <v>312.2279045499609</v>
      </c>
      <c r="BG6" s="17">
        <f>IF(BG$3="","",IF(BG$3=Steps,MAX(IF(CallPut=1,UndTree!BG6-Strike,Strike-UndTree!BG6),0),MAX((2-AmEur)*IF(CallPut=1,UndTree!BG6-Strike,Strike-UndTree!BG6),(UpProb*BH6+DownProb*BH7)*StepDiscount)))</f>
        <v>324.58027620049967</v>
      </c>
      <c r="BH6" s="17">
        <f>IF(BH$3="","",IF(BH$3=Steps,MAX(IF(CallPut=1,UndTree!BH6-Strike,Strike-UndTree!BH6),0),MAX((2-AmEur)*IF(CallPut=1,UndTree!BH6-Strike,Strike-UndTree!BH6),(UpProb*BI6+DownProb*BI7)*StepDiscount)))</f>
        <v>337.30811234782772</v>
      </c>
      <c r="BI6" s="17">
        <f>IF(BI$3="","",IF(BI$3=Steps,MAX(IF(CallPut=1,UndTree!BI6-Strike,Strike-UndTree!BI6),0),MAX((2-AmEur)*IF(CallPut=1,UndTree!BI6-Strike,Strike-UndTree!BI6),(UpProb*BJ6+DownProb*BJ7)*StepDiscount)))</f>
        <v>350.4227800670451</v>
      </c>
      <c r="BJ6" s="17">
        <f>IF(BJ$3="","",IF(BJ$3=Steps,MAX(IF(CallPut=1,UndTree!BJ6-Strike,Strike-UndTree!BJ6),0),MAX((2-AmEur)*IF(CallPut=1,UndTree!BJ6-Strike,Strike-UndTree!BJ6),(UpProb*BK6+DownProb*BK7)*StepDiscount)))</f>
        <v>363.93599054414108</v>
      </c>
      <c r="BK6" s="17">
        <f>IF(BK$3="","",IF(BK$3=Steps,MAX(IF(CallPut=1,UndTree!BK6-Strike,Strike-UndTree!BK6),0),MAX((2-AmEur)*IF(CallPut=1,UndTree!BK6-Strike,Strike-UndTree!BK6),(UpProb*BL6+DownProb*BL7)*StepDiscount)))</f>
        <v>377.85980949311232</v>
      </c>
      <c r="BL6" s="17">
        <f>IF(BL$3="","",IF(BL$3=Steps,MAX(IF(CallPut=1,UndTree!BL6-Strike,Strike-UndTree!BL6),0),MAX((2-AmEur)*IF(CallPut=1,UndTree!BL6-Strike,Strike-UndTree!BL6),(UpProb*BM6+DownProb*BM7)*StepDiscount)))</f>
        <v>392.20666788843346</v>
      </c>
      <c r="BM6" s="17">
        <f>IF(BM$3="","",IF(BM$3=Steps,MAX(IF(CallPut=1,UndTree!BM6-Strike,Strike-UndTree!BM6),0),MAX((2-AmEur)*IF(CallPut=1,UndTree!BM6-Strike,Strike-UndTree!BM6),(UpProb*BN6+DownProb*BN7)*StepDiscount)))</f>
        <v>406.98937302242723</v>
      </c>
      <c r="BN6" s="17">
        <f>IF(BN$3="","",IF(BN$3=Steps,MAX(IF(CallPut=1,UndTree!BN6-Strike,Strike-UndTree!BN6),0),MAX((2-AmEur)*IF(CallPut=1,UndTree!BN6-Strike,Strike-UndTree!BN6),(UpProb*BO6+DownProb*BO7)*StepDiscount)))</f>
        <v>422.22111989736953</v>
      </c>
      <c r="BO6" s="17">
        <f>IF(BO$3="","",IF(BO$3=Steps,MAX(IF(CallPut=1,UndTree!BO6-Strike,Strike-UndTree!BO6),0),MAX((2-AmEur)*IF(CallPut=1,UndTree!BO6-Strike,Strike-UndTree!BO6),(UpProb*BP6+DownProb*BP7)*StepDiscount)))</f>
        <v>437.91550296246237</v>
      </c>
      <c r="BP6" s="17">
        <f>IF(BP$3="","",IF(BP$3=Steps,MAX(IF(CallPut=1,UndTree!BP6-Strike,Strike-UndTree!BP6),0),MAX((2-AmEur)*IF(CallPut=1,UndTree!BP6-Strike,Strike-UndTree!BP6),(UpProb*BQ6+DownProb*BQ7)*StepDiscount)))</f>
        <v>454.08652820611564</v>
      </c>
      <c r="BQ6" s="17">
        <f>IF(BQ$3="","",IF(BQ$3=Steps,MAX(IF(CallPut=1,UndTree!BQ6-Strike,Strike-UndTree!BQ6),0),MAX((2-AmEur)*IF(CallPut=1,UndTree!BQ6-Strike,Strike-UndTree!BQ6),(UpProb*BR6+DownProb*BR7)*StepDiscount)))</f>
        <v>470.74862561429256</v>
      </c>
      <c r="BR6" s="17">
        <f>IF(BR$3="","",IF(BR$3=Steps,MAX(IF(CallPut=1,UndTree!BR6-Strike,Strike-UndTree!BR6),0),MAX((2-AmEur)*IF(CallPut=1,UndTree!BR6-Strike,Strike-UndTree!BR6),(UpProb*BS6+DownProb*BS7)*StepDiscount)))</f>
        <v>487.91666200600139</v>
      </c>
      <c r="BS6" s="17">
        <f>IF(BS$3="","",IF(BS$3=Steps,MAX(IF(CallPut=1,UndTree!BS6-Strike,Strike-UndTree!BS6),0),MAX((2-AmEur)*IF(CallPut=1,UndTree!BS6-Strike,Strike-UndTree!BS6),(UpProb*BT6+DownProb*BT7)*StepDiscount)))</f>
        <v>505.60595425735062</v>
      </c>
      <c r="BT6" s="17">
        <f>IF(BT$3="","",IF(BT$3=Steps,MAX(IF(CallPut=1,UndTree!BT6-Strike,Strike-UndTree!BT6),0),MAX((2-AmEur)*IF(CallPut=1,UndTree!BT6-Strike,Strike-UndTree!BT6),(UpProb*BU6+DownProb*BU7)*StepDiscount)))</f>
        <v>523.83228292592935</v>
      </c>
      <c r="BU6" s="17">
        <f>IF(BU$3="","",IF(BU$3=Steps,MAX(IF(CallPut=1,UndTree!BU6-Strike,Strike-UndTree!BU6),0),MAX((2-AmEur)*IF(CallPut=1,UndTree!BU6-Strike,Strike-UndTree!BU6),(UpProb*BV6+DownProb*BV7)*StepDiscount)))</f>
        <v>542.61190628763347</v>
      </c>
      <c r="BV6" s="17">
        <f>IF(BV$3="","",IF(BV$3=Steps,MAX(IF(CallPut=1,UndTree!BV6-Strike,Strike-UndTree!BV6),0),MAX((2-AmEur)*IF(CallPut=1,UndTree!BV6-Strike,Strike-UndTree!BV6),(UpProb*BW6+DownProb*BW7)*StepDiscount)))</f>
        <v>561.96157479842202</v>
      </c>
      <c r="BW6" s="17">
        <f>IF(BW$3="","",IF(BW$3=Steps,MAX(IF(CallPut=1,UndTree!BW6-Strike,Strike-UndTree!BW6),0),MAX((2-AmEur)*IF(CallPut=1,UndTree!BW6-Strike,Strike-UndTree!BW6),(UpProb*BX6+DownProb*BX7)*StepDiscount)))</f>
        <v>581.89854599386797</v>
      </c>
      <c r="BX6" s="17">
        <f>IF(BX$3="","",IF(BX$3=Steps,MAX(IF(CallPut=1,UndTree!BX6-Strike,Strike-UndTree!BX6),0),MAX((2-AmEur)*IF(CallPut=1,UndTree!BX6-Strike,Strike-UndTree!BX6),(UpProb*BY6+DownProb*BY7)*StepDiscount)))</f>
        <v>602.44059983975649</v>
      </c>
      <c r="BY6" s="17">
        <f>IF(BY$3="","",IF(BY$3=Steps,MAX(IF(CallPut=1,UndTree!BY6-Strike,Strike-UndTree!BY6),0),MAX((2-AmEur)*IF(CallPut=1,UndTree!BY6-Strike,Strike-UndTree!BY6),(UpProb*BZ6+DownProb*BZ7)*StepDiscount)))</f>
        <v>623.60605454738538</v>
      </c>
      <c r="BZ6" s="17">
        <f>IF(BZ$3="","",IF(BZ$3=Steps,MAX(IF(CallPut=1,UndTree!BZ6-Strike,Strike-UndTree!BZ6),0),MAX((2-AmEur)*IF(CallPut=1,UndTree!BZ6-Strike,Strike-UndTree!BZ6),(UpProb*CA6+DownProb*CA7)*StepDiscount)))</f>
        <v>645.41378286763529</v>
      </c>
      <c r="CA6" s="17">
        <f>IF(CA$3="","",IF(CA$3=Steps,MAX(IF(CallPut=1,UndTree!CA6-Strike,Strike-UndTree!CA6),0),MAX((2-AmEur)*IF(CallPut=1,UndTree!CA6-Strike,Strike-UndTree!CA6),(UpProb*CB6+DownProb*CB7)*StepDiscount)))</f>
        <v>667.8832288783027</v>
      </c>
      <c r="CB6" s="17">
        <f>IF(CB$3="","",IF(CB$3=Steps,MAX(IF(CallPut=1,UndTree!CB6-Strike,Strike-UndTree!CB6),0),MAX((2-AmEur)*IF(CallPut=1,UndTree!CB6-Strike,Strike-UndTree!CB6),(UpProb*CC6+DownProb*CC7)*StepDiscount)))</f>
        <v>691.03442527962886</v>
      </c>
      <c r="CC6" s="17">
        <f>IF(CC$3="","",IF(CC$3=Steps,MAX(IF(CallPut=1,UndTree!CC6-Strike,Strike-UndTree!CC6),0),MAX((2-AmEur)*IF(CallPut=1,UndTree!CC6-Strike,Strike-UndTree!CC6),(UpProb*CD6+DownProb*CD7)*StepDiscount)))</f>
        <v>714.8880112134085</v>
      </c>
      <c r="CD6" s="17">
        <f>IF(CD$3="","",IF(CD$3=Steps,MAX(IF(CallPut=1,UndTree!CD6-Strike,Strike-UndTree!CD6),0),MAX((2-AmEur)*IF(CallPut=1,UndTree!CD6-Strike,Strike-UndTree!CD6),(UpProb*CE6+DownProb*CE7)*StepDiscount)))</f>
        <v>739.46525062152864</v>
      </c>
      <c r="CE6" s="17">
        <f>IF(CE$3="","",IF(CE$3=Steps,MAX(IF(CallPut=1,UndTree!CE6-Strike,Strike-UndTree!CE6),0),MAX((2-AmEur)*IF(CallPut=1,UndTree!CE6-Strike,Strike-UndTree!CE6),(UpProb*CF6+DownProb*CF7)*StepDiscount)))</f>
        <v>764.78805116026706</v>
      </c>
      <c r="CF6" s="17">
        <f>IF(CF$3="","",IF(CF$3=Steps,MAX(IF(CallPut=1,UndTree!CF6-Strike,Strike-UndTree!CF6),0),MAX((2-AmEur)*IF(CallPut=1,UndTree!CF6-Strike,Strike-UndTree!CF6),(UpProb*CG6+DownProb*CG7)*StepDiscount)))</f>
        <v>790.87898368717663</v>
      </c>
      <c r="CG6" s="17">
        <f>IF(CG$3="","",IF(CG$3=Steps,MAX(IF(CallPut=1,UndTree!CG6-Strike,Strike-UndTree!CG6),0),MAX((2-AmEur)*IF(CallPut=1,UndTree!CG6-Strike,Strike-UndTree!CG6),(UpProb*CH6+DownProb*CH7)*StepDiscount)))</f>
        <v>817.7613023378849</v>
      </c>
      <c r="CH6" s="17">
        <f>IF(CH$3="","",IF(CH$3=Steps,MAX(IF(CallPut=1,UndTree!CH6-Strike,Strike-UndTree!CH6),0),MAX((2-AmEur)*IF(CallPut=1,UndTree!CH6-Strike,Strike-UndTree!CH6),(UpProb*CI6+DownProb*CI7)*StepDiscount)))</f>
        <v>845.45896521067186</v>
      </c>
      <c r="CI6" s="17">
        <f>IF(CI$3="","",IF(CI$3=Steps,MAX(IF(CallPut=1,UndTree!CI6-Strike,Strike-UndTree!CI6),0),MAX((2-AmEur)*IF(CallPut=1,UndTree!CI6-Strike,Strike-UndTree!CI6),(UpProb*CJ6+DownProb*CJ7)*StepDiscount)))</f>
        <v>873.9966556772215</v>
      </c>
      <c r="CJ6" s="17">
        <f>IF(CJ$3="","",IF(CJ$3=Steps,MAX(IF(CallPut=1,UndTree!CJ6-Strike,Strike-UndTree!CJ6),0),MAX((2-AmEur)*IF(CallPut=1,UndTree!CJ6-Strike,Strike-UndTree!CJ6),(UpProb*CK6+DownProb*CK7)*StepDiscount)))</f>
        <v>903.39980433850315</v>
      </c>
      <c r="CK6" s="17">
        <f>IF(CK$3="","",IF(CK$3=Steps,MAX(IF(CallPut=1,UndTree!CK6-Strike,Strike-UndTree!CK6),0),MAX((2-AmEur)*IF(CallPut=1,UndTree!CK6-Strike,Strike-UndTree!CK6),(UpProb*CL6+DownProb*CL7)*StepDiscount)))</f>
        <v>933.69461164531401</v>
      </c>
      <c r="CL6" s="17">
        <f>IF(CL$3="","",IF(CL$3=Steps,MAX(IF(CallPut=1,UndTree!CL6-Strike,Strike-UndTree!CL6),0),MAX((2-AmEur)*IF(CallPut=1,UndTree!CL6-Strike,Strike-UndTree!CL6),(UpProb*CM6+DownProb*CM7)*StepDiscount)))</f>
        <v>964.90807120360125</v>
      </c>
      <c r="CM6" s="17">
        <f>IF(CM$3="","",IF(CM$3=Steps,MAX(IF(CallPut=1,UndTree!CM6-Strike,Strike-UndTree!CM6),0),MAX((2-AmEur)*IF(CallPut=1,UndTree!CM6-Strike,Strike-UndTree!CM6),(UpProb*CN6+DownProb*CN7)*StepDiscount)))</f>
        <v>997.0679937852982</v>
      </c>
      <c r="CN6" s="17">
        <f>IF(CN$3="","",IF(CN$3=Steps,MAX(IF(CallPut=1,UndTree!CN6-Strike,Strike-UndTree!CN6),0),MAX((2-AmEur)*IF(CallPut=1,UndTree!CN6-Strike,Strike-UndTree!CN6),(UpProb*CO6+DownProb*CO7)*StepDiscount)))</f>
        <v>1030.2030320660292</v>
      </c>
      <c r="CO6" s="17">
        <f>IF(CO$3="","",IF(CO$3=Steps,MAX(IF(CallPut=1,UndTree!CO6-Strike,Strike-UndTree!CO6),0),MAX((2-AmEur)*IF(CallPut=1,UndTree!CO6-Strike,Strike-UndTree!CO6),(UpProb*CP6+DownProb*CP7)*StepDiscount)))</f>
        <v>1064.3427061116925</v>
      </c>
      <c r="CP6" s="17">
        <f>IF(CP$3="","",IF(CP$3=Steps,MAX(IF(CallPut=1,UndTree!CP6-Strike,Strike-UndTree!CP6),0),MAX((2-AmEur)*IF(CallPut=1,UndTree!CP6-Strike,Strike-UndTree!CP6),(UpProb*CQ6+DownProb*CQ7)*StepDiscount)))</f>
        <v>1099.5174296365869</v>
      </c>
      <c r="CQ6" s="17">
        <f>IF(CQ$3="","",IF(CQ$3=Steps,MAX(IF(CallPut=1,UndTree!CQ6-Strike,Strike-UndTree!CQ6),0),MAX((2-AmEur)*IF(CallPut=1,UndTree!CQ6-Strike,Strike-UndTree!CQ6),(UpProb*CR6+DownProb*CR7)*StepDiscount)))</f>
        <v>1135.758537056442</v>
      </c>
      <c r="CR6" s="17">
        <f>IF(CR$3="","",IF(CR$3=Steps,MAX(IF(CallPut=1,UndTree!CR6-Strike,Strike-UndTree!CR6),0),MAX((2-AmEur)*IF(CallPut=1,UndTree!CR6-Strike,Strike-UndTree!CR6),(UpProb*CS6+DownProb*CS7)*StepDiscount)))</f>
        <v>1173.0983113604111</v>
      </c>
      <c r="CS6" s="17">
        <f>IF(CS$3="","",IF(CS$3=Steps,MAX(IF(CallPut=1,UndTree!CS6-Strike,Strike-UndTree!CS6),0),MAX((2-AmEur)*IF(CallPut=1,UndTree!CS6-Strike,Strike-UndTree!CS6),(UpProb*CT6+DownProb*CT7)*StepDiscount)))</f>
        <v>1211.5700128268209</v>
      </c>
      <c r="CT6" s="17">
        <f>IF(CT$3="","",IF(CT$3=Steps,MAX(IF(CallPut=1,UndTree!CT6-Strike,Strike-UndTree!CT6),0),MAX((2-AmEur)*IF(CallPut=1,UndTree!CT6-Strike,Strike-UndTree!CT6),(UpProb*CU6+DownProb*CU7)*StepDiscount)))</f>
        <v>1251.2079086082222</v>
      </c>
      <c r="CU6" s="17">
        <f>IF(CU$3="","",IF(CU$3=Steps,MAX(IF(CallPut=1,UndTree!CU6-Strike,Strike-UndTree!CU6),0),MAX((2-AmEur)*IF(CallPut=1,UndTree!CU6-Strike,Strike-UndTree!CU6),(UpProb*CV6+DownProb*CV7)*StepDiscount)))</f>
        <v>1292.0473032120651</v>
      </c>
      <c r="CV6" s="17">
        <f>IF(CV$3="","",IF(CV$3=Steps,MAX(IF(CallPut=1,UndTree!CV6-Strike,Strike-UndTree!CV6),0),MAX((2-AmEur)*IF(CallPut=1,UndTree!CV6-Strike,Strike-UndTree!CV6),(UpProb*CW6+DownProb*CW7)*StepDiscount)))</f>
        <v>1334.1245699041058</v>
      </c>
      <c r="CW6" s="17">
        <f>IF(CW$3="","",IF(CW$3=Steps,MAX(IF(CallPut=1,UndTree!CW6-Strike,Strike-UndTree!CW6),0),MAX((2-AmEur)*IF(CallPut=1,UndTree!CW6-Strike,Strike-UndTree!CW6),(UpProb*CX6+DownProb*CX7)*StepDiscount)))</f>
        <v>1377.4771830624659</v>
      </c>
      <c r="CX6" s="17">
        <f>IF(CX$3="","",IF(CX$3=Steps,MAX(IF(CallPut=1,UndTree!CX6-Strike,Strike-UndTree!CX6),0),MAX((2-AmEur)*IF(CallPut=1,UndTree!CX6-Strike,Strike-UndTree!CX6),(UpProb*CY6+DownProb*CY7)*StepDiscount)))</f>
        <v>1422.1437515110915</v>
      </c>
      <c r="CY6" s="17">
        <f>IF(CY$3="","",IF(CY$3=Steps,MAX(IF(CallPut=1,UndTree!CY6-Strike,Strike-UndTree!CY6),0),MAX((2-AmEur)*IF(CallPut=1,UndTree!CY6-Strike,Strike-UndTree!CY6),(UpProb*CZ6+DownProb*CZ7)*StepDiscount)))</f>
        <v>1468.1640528622411</v>
      </c>
      <c r="CZ6" s="17">
        <f>IF(CZ$3="","",IF(CZ$3=Steps,MAX(IF(CallPut=1,UndTree!CZ6-Strike,Strike-UndTree!CZ6),0),MAX((2-AmEur)*IF(CallPut=1,UndTree!CZ6-Strike,Strike-UndTree!CZ6),(UpProb*DA6+DownProb*DA7)*StepDiscount)))</f>
        <v>1515.5790688986774</v>
      </c>
      <c r="DA6" s="17">
        <f>IF(DA$3="","",IF(DA$3=Steps,MAX(IF(CallPut=1,UndTree!DA6-Strike,Strike-UndTree!DA6),0),MAX((2-AmEur)*IF(CallPut=1,UndTree!DA6-Strike,Strike-UndTree!DA6),(UpProb*DB6+DownProb*DB7)*StepDiscount)))</f>
        <v>1564.4310220271427</v>
      </c>
      <c r="DB6" s="17">
        <f>IF(DB$3="","",IF(DB$3=Steps,MAX(IF(CallPut=1,UndTree!DB6-Strike,Strike-UndTree!DB6),0),MAX((2-AmEur)*IF(CallPut=1,UndTree!DB6-Strike,Strike-UndTree!DB6),(UpProb*DC6+DownProb*DC7)*StepDiscount)))</f>
        <v>1614.7634128346001</v>
      </c>
    </row>
    <row r="7" spans="1:106" x14ac:dyDescent="0.2">
      <c r="A7">
        <f>ExDivTree!A7</f>
        <v>166650.00000000003</v>
      </c>
      <c r="B7" s="71">
        <f>ExDivTree!B7</f>
        <v>6.573183492754082E-26</v>
      </c>
      <c r="C7" s="71">
        <f>ExDivTree!C7</f>
        <v>8.4523079760750282E-26</v>
      </c>
      <c r="D7" s="177">
        <f>ExDivTree!D7</f>
        <v>3</v>
      </c>
      <c r="H7" s="17">
        <f>IF(H$3="","",IF(H$3=Steps,MAX(IF(CallPut=1,UndTree!H7-Strike,Strike-UndTree!H7),0),MAX((2-AmEur)*IF(CallPut=1,UndTree!H7-Strike,Strike-UndTree!H7),(UpProb*I7+DownProb*I8)*StepDiscount)))</f>
        <v>7.1241457085109001</v>
      </c>
      <c r="I7" s="17">
        <f>IF(I$3="","",IF(I$3=Steps,MAX(IF(CallPut=1,UndTree!I7-Strike,Strike-UndTree!I7),0),MAX((2-AmEur)*IF(CallPut=1,UndTree!I7-Strike,Strike-UndTree!I7),(UpProb*J7+DownProb*J8)*StepDiscount)))</f>
        <v>8.2616837679260389</v>
      </c>
      <c r="J7" s="17">
        <f>IF(J$3="","",IF(J$3=Steps,MAX(IF(CallPut=1,UndTree!J7-Strike,Strike-UndTree!J7),0),MAX((2-AmEur)*IF(CallPut=1,UndTree!J7-Strike,Strike-UndTree!J7),(UpProb*K7+DownProb*K8)*StepDiscount)))</f>
        <v>9.5370986632041319</v>
      </c>
      <c r="K7" s="17">
        <f>IF(K$3="","",IF(K$3=Steps,MAX(IF(CallPut=1,UndTree!K7-Strike,Strike-UndTree!K7),0),MAX((2-AmEur)*IF(CallPut=1,UndTree!K7-Strike,Strike-UndTree!K7),(UpProb*L7+DownProb*L8)*StepDiscount)))</f>
        <v>10.959399770561655</v>
      </c>
      <c r="L7" s="17">
        <f>IF(L$3="","",IF(L$3=Steps,MAX(IF(CallPut=1,UndTree!L7-Strike,Strike-UndTree!L7),0),MAX((2-AmEur)*IF(CallPut=1,UndTree!L7-Strike,Strike-UndTree!L7),(UpProb*M7+DownProb*M8)*StepDiscount)))</f>
        <v>12.537027198174274</v>
      </c>
      <c r="M7" s="17">
        <f>IF(M$3="","",IF(M$3=Steps,MAX(IF(CallPut=1,UndTree!M7-Strike,Strike-UndTree!M7),0),MAX((2-AmEur)*IF(CallPut=1,UndTree!M7-Strike,Strike-UndTree!M7),(UpProb*N7+DownProb*N8)*StepDiscount)))</f>
        <v>14.277693708065513</v>
      </c>
      <c r="N7" s="17">
        <f>IF(N$3="","",IF(N$3=Steps,MAX(IF(CallPut=1,UndTree!N7-Strike,Strike-UndTree!N7),0),MAX((2-AmEur)*IF(CallPut=1,UndTree!N7-Strike,Strike-UndTree!N7),(UpProb*O7+DownProb*O8)*StepDiscount)))</f>
        <v>16.188241910513625</v>
      </c>
      <c r="O7" s="17">
        <f>IF(O$3="","",IF(O$3=Steps,MAX(IF(CallPut=1,UndTree!O7-Strike,Strike-UndTree!O7),0),MAX((2-AmEur)*IF(CallPut=1,UndTree!O7-Strike,Strike-UndTree!O7),(UpProb*P7+DownProb*P8)*StepDiscount)))</f>
        <v>18.274524199842055</v>
      </c>
      <c r="P7" s="17">
        <f>IF(P$3="","",IF(P$3=Steps,MAX(IF(CallPut=1,UndTree!P7-Strike,Strike-UndTree!P7),0),MAX((2-AmEur)*IF(CallPut=1,UndTree!P7-Strike,Strike-UndTree!P7),(UpProb*Q7+DownProb*Q8)*StepDiscount)))</f>
        <v>20.541312382692883</v>
      </c>
      <c r="Q7" s="17">
        <f>IF(Q$3="","",IF(Q$3=Steps,MAX(IF(CallPut=1,UndTree!Q7-Strike,Strike-UndTree!Q7),0),MAX((2-AmEur)*IF(CallPut=1,UndTree!Q7-Strike,Strike-UndTree!Q7),(UpProb*R7+DownProb*R8)*StepDiscount)))</f>
        <v>22.992242919151295</v>
      </c>
      <c r="R7" s="17">
        <f>IF(R$3="","",IF(R$3=Steps,MAX(IF(CallPut=1,UndTree!R7-Strike,Strike-UndTree!R7),0),MAX((2-AmEur)*IF(CallPut=1,UndTree!R7-Strike,Strike-UndTree!R7),(UpProb*S7+DownProb*S8)*StepDiscount)))</f>
        <v>25.629802170637188</v>
      </c>
      <c r="S7" s="17">
        <f>IF(S$3="","",IF(S$3=Steps,MAX(IF(CallPut=1,UndTree!S7-Strike,Strike-UndTree!S7),0),MAX((2-AmEur)*IF(CallPut=1,UndTree!S7-Strike,Strike-UndTree!S7),(UpProb*T7+DownProb*T8)*StepDiscount)))</f>
        <v>28.455354090294247</v>
      </c>
      <c r="T7" s="17">
        <f>IF(T$3="","",IF(T$3=Steps,MAX(IF(CallPut=1,UndTree!T7-Strike,Strike-UndTree!T7),0),MAX((2-AmEur)*IF(CallPut=1,UndTree!T7-Strike,Strike-UndTree!T7),(UpProb*U7+DownProb*U8)*StepDiscount)))</f>
        <v>31.469210512859991</v>
      </c>
      <c r="U7" s="17">
        <f>IF(U$3="","",IF(U$3=Steps,MAX(IF(CallPut=1,UndTree!U7-Strike,Strike-UndTree!U7),0),MAX((2-AmEur)*IF(CallPut=1,UndTree!U7-Strike,Strike-UndTree!U7),(UpProb*V7+DownProb*V8)*StepDiscount)))</f>
        <v>34.670741755158708</v>
      </c>
      <c r="V7" s="17">
        <f>IF(V$3="","",IF(V$3=Steps,MAX(IF(CallPut=1,UndTree!V7-Strike,Strike-UndTree!V7),0),MAX((2-AmEur)*IF(CallPut=1,UndTree!V7-Strike,Strike-UndTree!V7),(UpProb*W7+DownProb*W8)*StepDiscount)))</f>
        <v>38.058522810642437</v>
      </c>
      <c r="W7" s="17">
        <f>IF(W$3="","",IF(W$3=Steps,MAX(IF(CallPut=1,UndTree!W7-Strike,Strike-UndTree!W7),0),MAX((2-AmEur)*IF(CallPut=1,UndTree!W7-Strike,Strike-UndTree!W7),(UpProb*X7+DownProb*X8)*StepDiscount)))</f>
        <v>41.630508213007673</v>
      </c>
      <c r="X7" s="17">
        <f>IF(X$3="","",IF(X$3=Steps,MAX(IF(CallPut=1,UndTree!X7-Strike,Strike-UndTree!X7),0),MAX((2-AmEur)*IF(CallPut=1,UndTree!X7-Strike,Strike-UndTree!X7),(UpProb*Y7+DownProb*Y8)*StepDiscount)))</f>
        <v>45.384226852232807</v>
      </c>
      <c r="Y7" s="17">
        <f>IF(Y$3="","",IF(Y$3=Steps,MAX(IF(CallPut=1,UndTree!Y7-Strike,Strike-UndTree!Y7),0),MAX((2-AmEur)*IF(CallPut=1,UndTree!Y7-Strike,Strike-UndTree!Y7),(UpProb*Z7+DownProb*Z8)*StepDiscount)))</f>
        <v>49.316986823262695</v>
      </c>
      <c r="Z7" s="17">
        <f>IF(Z$3="","",IF(Z$3=Steps,MAX(IF(CallPut=1,UndTree!Z7-Strike,Strike-UndTree!Z7),0),MAX((2-AmEur)*IF(CallPut=1,UndTree!Z7-Strike,Strike-UndTree!Z7),(UpProb*AA7+DownProb*AA8)*StepDiscount)))</f>
        <v>53.426079898239585</v>
      </c>
      <c r="AA7" s="17">
        <f>IF(AA$3="","",IF(AA$3=Steps,MAX(IF(CallPut=1,UndTree!AA7-Strike,Strike-UndTree!AA7),0),MAX((2-AmEur)*IF(CallPut=1,UndTree!AA7-Strike,Strike-UndTree!AA7),(UpProb*AB7+DownProb*AB8)*StepDiscount)))</f>
        <v>57.708975498780475</v>
      </c>
      <c r="AB7" s="17">
        <f>IF(AB$3="","",IF(AB$3=Steps,MAX(IF(CallPut=1,UndTree!AB7-Strike,Strike-UndTree!AB7),0),MAX((2-AmEur)*IF(CallPut=1,UndTree!AB7-Strike,Strike-UndTree!AB7),(UpProb*AC7+DownProb*AC8)*StepDiscount)))</f>
        <v>62.163495091334916</v>
      </c>
      <c r="AC7" s="17">
        <f>IF(AC$3="","",IF(AC$3=Steps,MAX(IF(CallPut=1,UndTree!AC7-Strike,Strike-UndTree!AC7),0),MAX((2-AmEur)*IF(CallPut=1,UndTree!AC7-Strike,Strike-UndTree!AC7),(UpProb*AD7+DownProb*AD8)*StepDiscount)))</f>
        <v>66.787959644582671</v>
      </c>
      <c r="AD7" s="17">
        <f>IF(AD$3="","",IF(AD$3=Steps,MAX(IF(CallPut=1,UndTree!AD7-Strike,Strike-UndTree!AD7),0),MAX((2-AmEur)*IF(CallPut=1,UndTree!AD7-Strike,Strike-UndTree!AD7),(UpProb*AE7+DownProb*AE8)*StepDiscount)))</f>
        <v>71.581305011421435</v>
      </c>
      <c r="AE7" s="17">
        <f>IF(AE$3="","",IF(AE$3=Steps,MAX(IF(CallPut=1,UndTree!AE7-Strike,Strike-UndTree!AE7),0),MAX((2-AmEur)*IF(CallPut=1,UndTree!AE7-Strike,Strike-UndTree!AE7),(UpProb*AF7+DownProb*AF8)*StepDiscount)))</f>
        <v>76.54316261431687</v>
      </c>
      <c r="AF7" s="17">
        <f>IF(AF$3="","",IF(AF$3=Steps,MAX(IF(CallPut=1,UndTree!AF7-Strike,Strike-UndTree!AF7),0),MAX((2-AmEur)*IF(CallPut=1,UndTree!AF7-Strike,Strike-UndTree!AF7),(UpProb*AG7+DownProb*AG8)*StepDiscount)))</f>
        <v>81.673905377913115</v>
      </c>
      <c r="AG7" s="17">
        <f>IF(AG$3="","",IF(AG$3=Steps,MAX(IF(CallPut=1,UndTree!AG7-Strike,Strike-UndTree!AG7),0),MAX((2-AmEur)*IF(CallPut=1,UndTree!AG7-Strike,Strike-UndTree!AG7),(UpProb*AH7+DownProb*AH8)*StepDiscount)))</f>
        <v>86.974661223599028</v>
      </c>
      <c r="AH7" s="17">
        <f>IF(AH$3="","",IF(AH$3=Steps,MAX(IF(CallPut=1,UndTree!AH7-Strike,Strike-UndTree!AH7),0),MAX((2-AmEur)*IF(CallPut=1,UndTree!AH7-Strike,Strike-UndTree!AH7),(UpProb*AI7+DownProb*AI8)*StepDiscount)))</f>
        <v>92.447298404080286</v>
      </c>
      <c r="AI7" s="17">
        <f>IF(AI$3="","",IF(AI$3=Steps,MAX(IF(CallPut=1,UndTree!AI7-Strike,Strike-UndTree!AI7),0),MAX((2-AmEur)*IF(CallPut=1,UndTree!AI7-Strike,Strike-UndTree!AI7),(UpProb*AJ7+DownProb*AJ8)*StepDiscount)))</f>
        <v>98.094388354541167</v>
      </c>
      <c r="AJ7" s="17">
        <f>IF(AJ$3="","",IF(AJ$3=Steps,MAX(IF(CallPut=1,UndTree!AJ7-Strike,Strike-UndTree!AJ7),0),MAX((2-AmEur)*IF(CallPut=1,UndTree!AJ7-Strike,Strike-UndTree!AJ7),(UpProb*AK7+DownProb*AK8)*StepDiscount)))</f>
        <v>103.91915248666692</v>
      </c>
      <c r="AK7" s="17">
        <f>IF(AK$3="","",IF(AK$3=Steps,MAX(IF(CallPut=1,UndTree!AK7-Strike,Strike-UndTree!AK7),0),MAX((2-AmEur)*IF(CallPut=1,UndTree!AK7-Strike,Strike-UndTree!AK7),(UpProb*AL7+DownProb*AL8)*StepDiscount)))</f>
        <v>109.92539944882168</v>
      </c>
      <c r="AL7" s="17">
        <f>IF(AL$3="","",IF(AL$3=Steps,MAX(IF(CallPut=1,UndTree!AL7-Strike,Strike-UndTree!AL7),0),MAX((2-AmEur)*IF(CallPut=1,UndTree!AL7-Strike,Strike-UndTree!AL7),(UpProb*AM7+DownProb*AM8)*StepDiscount)))</f>
        <v>116.11745889155172</v>
      </c>
      <c r="AM7" s="17">
        <f>IF(AM$3="","",IF(AM$3=Steps,MAX(IF(CallPut=1,UndTree!AM7-Strike,Strike-UndTree!AM7),0),MAX((2-AmEur)*IF(CallPut=1,UndTree!AM7-Strike,Strike-UndTree!AM7),(UpProb*AN7+DownProb*AN8)*StepDiscount)))</f>
        <v>122.50011684359711</v>
      </c>
      <c r="AN7" s="17">
        <f>IF(AN$3="","",IF(AN$3=Steps,MAX(IF(CallPut=1,UndTree!AN7-Strike,Strike-UndTree!AN7),0),MAX((2-AmEur)*IF(CallPut=1,UndTree!AN7-Strike,Strike-UndTree!AN7),(UpProb*AO7+DownProb*AO8)*StepDiscount)))</f>
        <v>129.07855658751151</v>
      </c>
      <c r="AO7" s="17">
        <f>IF(AO$3="","",IF(AO$3=Steps,MAX(IF(CallPut=1,UndTree!AO7-Strike,Strike-UndTree!AO7),0),MAX((2-AmEur)*IF(CallPut=1,UndTree!AO7-Strike,Strike-UndTree!AO7),(UpProb*AP7+DownProb*AP8)*StepDiscount)))</f>
        <v>135.85830760326854</v>
      </c>
      <c r="AP7" s="17">
        <f>IF(AP$3="","",IF(AP$3=Steps,MAX(IF(CallPut=1,UndTree!AP7-Strike,Strike-UndTree!AP7),0),MAX((2-AmEur)*IF(CallPut=1,UndTree!AP7-Strike,Strike-UndTree!AP7),(UpProb*AQ7+DownProb*AQ8)*StepDiscount)))</f>
        <v>142.84520388445802</v>
      </c>
      <c r="AQ7" s="17">
        <f>IF(AQ$3="","",IF(AQ$3=Steps,MAX(IF(CallPut=1,UndTree!AQ7-Strike,Strike-UndTree!AQ7),0),MAX((2-AmEur)*IF(CallPut=1,UndTree!AQ7-Strike,Strike-UndTree!AQ7),(UpProb*AR7+DownProb*AR8)*StepDiscount)))</f>
        <v>150.04535185044247</v>
      </c>
      <c r="AR7" s="17">
        <f>IF(AR$3="","",IF(AR$3=Steps,MAX(IF(CallPut=1,UndTree!AR7-Strike,Strike-UndTree!AR7),0),MAX((2-AmEur)*IF(CallPut=1,UndTree!AR7-Strike,Strike-UndTree!AR7),(UpProb*AS7+DownProb*AS8)*StepDiscount)))</f>
        <v>157.46510725699548</v>
      </c>
      <c r="AS7" s="17">
        <f>IF(AS$3="","",IF(AS$3=Steps,MAX(IF(CallPut=1,UndTree!AS7-Strike,Strike-UndTree!AS7),0),MAX((2-AmEur)*IF(CallPut=1,UndTree!AS7-Strike,Strike-UndTree!AS7),(UpProb*AT7+DownProb*AT8)*StepDiscount)))</f>
        <v>165.11105997518806</v>
      </c>
      <c r="AT7" s="17">
        <f>IF(AT$3="","",IF(AT$3=Steps,MAX(IF(CallPut=1,UndTree!AT7-Strike,Strike-UndTree!AT7),0),MAX((2-AmEur)*IF(CallPut=1,UndTree!AT7-Strike,Strike-UndTree!AT7),(UpProb*AU7+DownProb*AU8)*StepDiscount)))</f>
        <v>172.99002524735673</v>
      </c>
      <c r="AU7" s="17">
        <f>IF(AU$3="","",IF(AU$3=Steps,MAX(IF(CallPut=1,UndTree!AU7-Strike,Strike-UndTree!AU7),0),MAX((2-AmEur)*IF(CallPut=1,UndTree!AU7-Strike,Strike-UndTree!AU7),(UpProb*AV7+DownProb*AV8)*StepDiscount)))</f>
        <v>181.10903999182648</v>
      </c>
      <c r="AV7" s="17">
        <f>IF(AV$3="","",IF(AV$3=Steps,MAX(IF(CallPut=1,UndTree!AV7-Strike,Strike-UndTree!AV7),0),MAX((2-AmEur)*IF(CallPut=1,UndTree!AV7-Strike,Strike-UndTree!AV7),(UpProb*AW7+DownProb*AW8)*StepDiscount)))</f>
        <v>189.47536284981376</v>
      </c>
      <c r="AW7" s="17">
        <f>IF(AW$3="","",IF(AW$3=Steps,MAX(IF(CallPut=1,UndTree!AW7-Strike,Strike-UndTree!AW7),0),MAX((2-AmEur)*IF(CallPut=1,UndTree!AW7-Strike,Strike-UndTree!AW7),(UpProb*AX7+DownProb*AX8)*StepDiscount)))</f>
        <v>198.09647688131318</v>
      </c>
      <c r="AX7" s="17">
        <f>IF(AX$3="","",IF(AX$3=Steps,MAX(IF(CallPut=1,UndTree!AX7-Strike,Strike-UndTree!AX7),0),MAX((2-AmEur)*IF(CallPut=1,UndTree!AX7-Strike,Strike-UndTree!AX7),(UpProb*AY7+DownProb*AY8)*StepDiscount)))</f>
        <v>206.98009406325036</v>
      </c>
      <c r="AY7" s="17">
        <f>IF(AY$3="","",IF(AY$3=Steps,MAX(IF(CallPut=1,UndTree!AY7-Strike,Strike-UndTree!AY7),0),MAX((2-AmEur)*IF(CallPut=1,UndTree!AY7-Strike,Strike-UndTree!AY7),(UpProb*AZ7+DownProb*AZ8)*StepDiscount)))</f>
        <v>216.13416097960788</v>
      </c>
      <c r="AZ7" s="17">
        <f>IF(AZ$3="","",IF(AZ$3=Steps,MAX(IF(CallPut=1,UndTree!AZ7-Strike,Strike-UndTree!AZ7),0),MAX((2-AmEur)*IF(CallPut=1,UndTree!AZ7-Strike,Strike-UndTree!AZ7),(UpProb*BA7+DownProb*BA8)*StepDiscount)))</f>
        <v>225.56686529370066</v>
      </c>
      <c r="BA7" s="17">
        <f>IF(BA$3="","",IF(BA$3=Steps,MAX(IF(CallPut=1,UndTree!BA7-Strike,Strike-UndTree!BA7),0),MAX((2-AmEur)*IF(CallPut=1,UndTree!BA7-Strike,Strike-UndTree!BA7),(UpProb*BB7+DownProb*BB8)*StepDiscount)))</f>
        <v>235.2866427468004</v>
      </c>
      <c r="BB7" s="17">
        <f>IF(BB$3="","",IF(BB$3=Steps,MAX(IF(CallPut=1,UndTree!BB7-Strike,Strike-UndTree!BB7),0),MAX((2-AmEur)*IF(CallPut=1,UndTree!BB7-Strike,Strike-UndTree!BB7),(UpProb*BC7+DownProb*BC8)*StepDiscount)))</f>
        <v>245.30218453570353</v>
      </c>
      <c r="BC7" s="17">
        <f>IF(BC$3="","",IF(BC$3=Steps,MAX(IF(CallPut=1,UndTree!BC7-Strike,Strike-UndTree!BC7),0),MAX((2-AmEur)*IF(CallPut=1,UndTree!BC7-Strike,Strike-UndTree!BC7),(UpProb*BD7+DownProb*BD8)*StepDiscount)))</f>
        <v>255.62244499202222</v>
      </c>
      <c r="BD7" s="17">
        <f>IF(BD$3="","",IF(BD$3=Steps,MAX(IF(CallPut=1,UndTree!BD7-Strike,Strike-UndTree!BD7),0),MAX((2-AmEur)*IF(CallPut=1,UndTree!BD7-Strike,Strike-UndTree!BD7),(UpProb*BE7+DownProb*BE8)*StepDiscount)))</f>
        <v>266.25664952781625</v>
      </c>
      <c r="BE7" s="17">
        <f>IF(BE$3="","",IF(BE$3=Steps,MAX(IF(CallPut=1,UndTree!BE7-Strike,Strike-UndTree!BE7),0),MAX((2-AmEur)*IF(CallPut=1,UndTree!BE7-Strike,Strike-UndTree!BE7),(UpProb*BF7+DownProb*BF8)*StepDiscount)))</f>
        <v>277.21430283511256</v>
      </c>
      <c r="BF7" s="17">
        <f>IF(BF$3="","",IF(BF$3=Steps,MAX(IF(CallPut=1,UndTree!BF7-Strike,Strike-UndTree!BF7),0),MAX((2-AmEur)*IF(CallPut=1,UndTree!BF7-Strike,Strike-UndTree!BF7),(UpProb*BG7+DownProb*BG8)*StepDiscount)))</f>
        <v>288.50519733839451</v>
      </c>
      <c r="BG7" s="17">
        <f>IF(BG$3="","",IF(BG$3=Steps,MAX(IF(CallPut=1,UndTree!BG7-Strike,Strike-UndTree!BG7),0),MAX((2-AmEur)*IF(CallPut=1,UndTree!BG7-Strike,Strike-UndTree!BG7),(UpProb*BH7+DownProb*BH8)*StepDiscount)))</f>
        <v>300.13942190446977</v>
      </c>
      <c r="BH7" s="17">
        <f>IF(BH$3="","",IF(BH$3=Steps,MAX(IF(CallPut=1,UndTree!BH7-Strike,Strike-UndTree!BH7),0),MAX((2-AmEur)*IF(CallPut=1,UndTree!BH7-Strike,Strike-UndTree!BH7),(UpProb*BI7+DownProb*BI8)*StepDiscount)))</f>
        <v>312.12737081642166</v>
      </c>
      <c r="BI7" s="17">
        <f>IF(BI$3="","",IF(BI$3=Steps,MAX(IF(CallPut=1,UndTree!BI7-Strike,Strike-UndTree!BI7),0),MAX((2-AmEur)*IF(CallPut=1,UndTree!BI7-Strike,Strike-UndTree!BI7),(UpProb*BJ7+DownProb*BJ8)*StepDiscount)))</f>
        <v>324.47975301932047</v>
      </c>
      <c r="BJ7" s="17">
        <f>IF(BJ$3="","",IF(BJ$3=Steps,MAX(IF(CallPut=1,UndTree!BJ7-Strike,Strike-UndTree!BJ7),0),MAX((2-AmEur)*IF(CallPut=1,UndTree!BJ7-Strike,Strike-UndTree!BJ7),(UpProb*BK7+DownProb*BK8)*StepDiscount)))</f>
        <v>337.2076016458451</v>
      </c>
      <c r="BK7" s="17">
        <f>IF(BK$3="","",IF(BK$3=Steps,MAX(IF(CallPut=1,UndTree!BK7-Strike,Strike-UndTree!BK7),0),MAX((2-AmEur)*IF(CallPut=1,UndTree!BK7-Strike,Strike-UndTree!BK7),(UpProb*BL7+DownProb*BL8)*StepDiscount)))</f>
        <v>350.32228383027177</v>
      </c>
      <c r="BL7" s="17">
        <f>IF(BL$3="","",IF(BL$3=Steps,MAX(IF(CallPut=1,UndTree!BL7-Strike,Strike-UndTree!BL7),0),MAX((2-AmEur)*IF(CallPut=1,UndTree!BL7-Strike,Strike-UndTree!BL7),(UpProb*BM7+DownProb*BM8)*StepDiscount)))</f>
        <v>363.83551081955795</v>
      </c>
      <c r="BM7" s="17">
        <f>IF(BM$3="","",IF(BM$3=Steps,MAX(IF(CallPut=1,UndTree!BM7-Strike,Strike-UndTree!BM7),0),MAX((2-AmEur)*IF(CallPut=1,UndTree!BM7-Strike,Strike-UndTree!BM7),(UpProb*BN7+DownProb*BN8)*StepDiscount)))</f>
        <v>377.75934839051445</v>
      </c>
      <c r="BN7" s="17">
        <f>IF(BN$3="","",IF(BN$3=Steps,MAX(IF(CallPut=1,UndTree!BN7-Strike,Strike-UndTree!BN7),0),MAX((2-AmEur)*IF(CallPut=1,UndTree!BN7-Strike,Strike-UndTree!BN7),(UpProb*BO7+DownProb*BO8)*StepDiscount)))</f>
        <v>392.10622758233211</v>
      </c>
      <c r="BO7" s="17">
        <f>IF(BO$3="","",IF(BO$3=Steps,MAX(IF(CallPut=1,UndTree!BO7-Strike,Strike-UndTree!BO7),0),MAX((2-AmEur)*IF(CallPut=1,UndTree!BO7-Strike,Strike-UndTree!BO7),(UpProb*BP7+DownProb*BP8)*StepDiscount)))</f>
        <v>406.88895575400954</v>
      </c>
      <c r="BP7" s="17">
        <f>IF(BP$3="","",IF(BP$3=Steps,MAX(IF(CallPut=1,UndTree!BP7-Strike,Strike-UndTree!BP7),0),MAX((2-AmEur)*IF(CallPut=1,UndTree!BP7-Strike,Strike-UndTree!BP7),(UpProb*BQ7+DownProb*BQ8)*StepDiscount)))</f>
        <v>422.12072797651717</v>
      </c>
      <c r="BQ7" s="17">
        <f>IF(BQ$3="","",IF(BQ$3=Steps,MAX(IF(CallPut=1,UndTree!BQ7-Strike,Strike-UndTree!BQ7),0),MAX((2-AmEur)*IF(CallPut=1,UndTree!BQ7-Strike,Strike-UndTree!BQ7),(UpProb*BR7+DownProb*BR8)*StepDiscount)))</f>
        <v>437.81513876983189</v>
      </c>
      <c r="BR7" s="17">
        <f>IF(BR$3="","",IF(BR$3=Steps,MAX(IF(CallPut=1,UndTree!BR7-Strike,Strike-UndTree!BR7),0),MAX((2-AmEur)*IF(CallPut=1,UndTree!BR7-Strike,Strike-UndTree!BR7),(UpProb*BS7+DownProb*BS8)*StepDiscount)))</f>
        <v>453.98619419528131</v>
      </c>
      <c r="BS7" s="17">
        <f>IF(BS$3="","",IF(BS$3=Steps,MAX(IF(CallPut=1,UndTree!BS7-Strike,Strike-UndTree!BS7),0),MAX((2-AmEur)*IF(CallPut=1,UndTree!BS7-Strike,Strike-UndTree!BS7),(UpProb*BT7+DownProb*BT8)*StepDiscount)))</f>
        <v>470.64832431395411</v>
      </c>
      <c r="BT7" s="17">
        <f>IF(BT$3="","",IF(BT$3=Steps,MAX(IF(CallPut=1,UndTree!BT7-Strike,Strike-UndTree!BT7),0),MAX((2-AmEur)*IF(CallPut=1,UndTree!BT7-Strike,Strike-UndTree!BT7),(UpProb*BU7+DownProb*BU8)*StepDiscount)))</f>
        <v>487.81639602225897</v>
      </c>
      <c r="BU7" s="17">
        <f>IF(BU$3="","",IF(BU$3=Steps,MAX(IF(CallPut=1,UndTree!BU7-Strike,Strike-UndTree!BU7),0),MAX((2-AmEur)*IF(CallPut=1,UndTree!BU7-Strike,Strike-UndTree!BU7),(UpProb*BV7+DownProb*BV8)*StepDiscount)))</f>
        <v>505.50572627604794</v>
      </c>
      <c r="BV7" s="17">
        <f>IF(BV$3="","",IF(BV$3=Steps,MAX(IF(CallPut=1,UndTree!BV7-Strike,Strike-UndTree!BV7),0),MAX((2-AmEur)*IF(CallPut=1,UndTree!BV7-Strike,Strike-UndTree!BV7),(UpProb*BW7+DownProb*BW8)*StepDiscount)))</f>
        <v>523.73209571506879</v>
      </c>
      <c r="BW7" s="17">
        <f>IF(BW$3="","",IF(BW$3=Steps,MAX(IF(CallPut=1,UndTree!BW7-Strike,Strike-UndTree!BW7),0),MAX((2-AmEur)*IF(CallPut=1,UndTree!BW7-Strike,Strike-UndTree!BW7),(UpProb*BX7+DownProb*BX8)*StepDiscount)))</f>
        <v>542.5117626998632</v>
      </c>
      <c r="BX7" s="17">
        <f>IF(BX$3="","",IF(BX$3=Steps,MAX(IF(CallPut=1,UndTree!BX7-Strike,Strike-UndTree!BX7),0),MAX((2-AmEur)*IF(CallPut=1,UndTree!BX7-Strike,Strike-UndTree!BX7),(UpProb*BY7+DownProb*BY8)*StepDiscount)))</f>
        <v>561.86147777359906</v>
      </c>
      <c r="BY7" s="17">
        <f>IF(BY$3="","",IF(BY$3=Steps,MAX(IF(CallPut=1,UndTree!BY7-Strike,Strike-UndTree!BY7),0),MAX((2-AmEur)*IF(CallPut=1,UndTree!BY7-Strike,Strike-UndTree!BY7),(UpProb*BZ7+DownProb*BZ8)*StepDiscount)))</f>
        <v>581.79849856169847</v>
      </c>
      <c r="BZ7" s="17">
        <f>IF(BZ$3="","",IF(BZ$3=Steps,MAX(IF(CallPut=1,UndTree!BZ7-Strike,Strike-UndTree!BZ7),0),MAX((2-AmEur)*IF(CallPut=1,UndTree!BZ7-Strike,Strike-UndTree!BZ7),(UpProb*CA7+DownProb*CA8)*StepDiscount)))</f>
        <v>602.34060512251619</v>
      </c>
      <c r="CA7" s="17">
        <f>IF(CA$3="","",IF(CA$3=Steps,MAX(IF(CallPut=1,UndTree!CA7-Strike,Strike-UndTree!CA7),0),MAX((2-AmEur)*IF(CallPut=1,UndTree!CA7-Strike,Strike-UndTree!CA7),(UpProb*CB7+DownProb*CB8)*StepDiscount)))</f>
        <v>623.50611576272263</v>
      </c>
      <c r="CB7" s="17">
        <f>IF(CB$3="","",IF(CB$3=Steps,MAX(IF(CallPut=1,UndTree!CB7-Strike,Strike-UndTree!CB7),0),MAX((2-AmEur)*IF(CallPut=1,UndTree!CB7-Strike,Strike-UndTree!CB7),(UpProb*CC7+DownProb*CC8)*StepDiscount)))</f>
        <v>645.31390333145839</v>
      </c>
      <c r="CC7" s="17">
        <f>IF(CC$3="","",IF(CC$3=Steps,MAX(IF(CallPut=1,UndTree!CC7-Strike,Strike-UndTree!CC7),0),MAX((2-AmEur)*IF(CallPut=1,UndTree!CC7-Strike,Strike-UndTree!CC7),(UpProb*CD7+DownProb*CD8)*StepDiscount)))</f>
        <v>667.78341200775481</v>
      </c>
      <c r="CD7" s="17">
        <f>IF(CD$3="","",IF(CD$3=Steps,MAX(IF(CallPut=1,UndTree!CD7-Strike,Strike-UndTree!CD7),0),MAX((2-AmEur)*IF(CallPut=1,UndTree!CD7-Strike,Strike-UndTree!CD7),(UpProb*CE7+DownProb*CE8)*StepDiscount)))</f>
        <v>690.93467459615329</v>
      </c>
      <c r="CE7" s="17">
        <f>IF(CE$3="","",IF(CE$3=Steps,MAX(IF(CallPut=1,UndTree!CE7-Strike,Strike-UndTree!CE7),0),MAX((2-AmEur)*IF(CallPut=1,UndTree!CE7-Strike,Strike-UndTree!CE7),(UpProb*CF7+DownProb*CF8)*StepDiscount)))</f>
        <v>714.78833034590684</v>
      </c>
      <c r="CF7" s="17">
        <f>IF(CF$3="","",IF(CF$3=Steps,MAX(IF(CallPut=1,UndTree!CF7-Strike,Strike-UndTree!CF7),0),MAX((2-AmEur)*IF(CallPut=1,UndTree!CF7-Strike,Strike-UndTree!CF7),(UpProb*CG7+DownProb*CG8)*StepDiscount)))</f>
        <v>739.36564330961312</v>
      </c>
      <c r="CG7" s="17">
        <f>IF(CG$3="","",IF(CG$3=Steps,MAX(IF(CallPut=1,UndTree!CG7-Strike,Strike-UndTree!CG7),0),MAX((2-AmEur)*IF(CallPut=1,UndTree!CG7-Strike,Strike-UndTree!CG7),(UpProb*CH7+DownProb*CH8)*StepDiscount)))</f>
        <v>764.68852125761384</v>
      </c>
      <c r="CH7" s="17">
        <f>IF(CH$3="","",IF(CH$3=Steps,MAX(IF(CallPut=1,UndTree!CH7-Strike,Strike-UndTree!CH7),0),MAX((2-AmEur)*IF(CallPut=1,UndTree!CH7-Strike,Strike-UndTree!CH7),(UpProb*CI7+DownProb*CI8)*StepDiscount)))</f>
        <v>790.7795351649786</v>
      </c>
      <c r="CI7" s="17">
        <f>IF(CI$3="","",IF(CI$3=Steps,MAX(IF(CallPut=1,UndTree!CI7-Strike,Strike-UndTree!CI7),0),MAX((2-AmEur)*IF(CallPut=1,UndTree!CI7-Strike,Strike-UndTree!CI7),(UpProb*CJ7+DownProb*CJ8)*StepDiscount)))</f>
        <v>817.66193928841005</v>
      </c>
      <c r="CJ7" s="17">
        <f>IF(CJ$3="","",IF(CJ$3=Steps,MAX(IF(CallPut=1,UndTree!CJ7-Strike,Strike-UndTree!CJ7),0),MAX((2-AmEur)*IF(CallPut=1,UndTree!CJ7-Strike,Strike-UndTree!CJ7),(UpProb*CK7+DownProb*CK8)*StepDiscount)))</f>
        <v>845.35969185093063</v>
      </c>
      <c r="CK7" s="17">
        <f>IF(CK$3="","",IF(CK$3=Steps,MAX(IF(CallPut=1,UndTree!CK7-Strike,Strike-UndTree!CK7),0),MAX((2-AmEur)*IF(CallPut=1,UndTree!CK7-Strike,Strike-UndTree!CK7),(UpProb*CL7+DownProb*CL8)*StepDiscount)))</f>
        <v>873.89747635274341</v>
      </c>
      <c r="CL7" s="17">
        <f>IF(CL$3="","",IF(CL$3=Steps,MAX(IF(CallPut=1,UndTree!CL7-Strike,Strike-UndTree!CL7),0),MAX((2-AmEur)*IF(CallPut=1,UndTree!CL7-Strike,Strike-UndTree!CL7),(UpProb*CM7+DownProb*CM8)*StepDiscount)))</f>
        <v>903.30072352722891</v>
      </c>
      <c r="CM7" s="17">
        <f>IF(CM$3="","",IF(CM$3=Steps,MAX(IF(CallPut=1,UndTree!CM7-Strike,Strike-UndTree!CM7),0),MAX((2-AmEur)*IF(CallPut=1,UndTree!CM7-Strike,Strike-UndTree!CM7),(UpProb*CN7+DownProb*CN8)*StepDiscount)))</f>
        <v>933.59563396160354</v>
      </c>
      <c r="CN7" s="17">
        <f>IF(CN$3="","",IF(CN$3=Steps,MAX(IF(CallPut=1,UndTree!CN7-Strike,Strike-UndTree!CN7),0),MAX((2-AmEur)*IF(CallPut=1,UndTree!CN7-Strike,Strike-UndTree!CN7),(UpProb*CO7+DownProb*CO8)*StepDiscount)))</f>
        <v>964.80920140236344</v>
      </c>
      <c r="CO7" s="17">
        <f>IF(CO$3="","",IF(CO$3=Steps,MAX(IF(CallPut=1,UndTree!CO7-Strike,Strike-UndTree!CO7),0),MAX((2-AmEur)*IF(CallPut=1,UndTree!CO7-Strike,Strike-UndTree!CO7),(UpProb*CP7+DownProb*CP8)*StepDiscount)))</f>
        <v>996.96923676624283</v>
      </c>
      <c r="CP7" s="17">
        <f>IF(CP$3="","",IF(CP$3=Steps,MAX(IF(CallPut=1,UndTree!CP7-Strike,Strike-UndTree!CP7),0),MAX((2-AmEur)*IF(CallPut=1,UndTree!CP7-Strike,Strike-UndTree!CP7),(UpProb*CQ7+DownProb*CQ8)*StepDiscount)))</f>
        <v>1030.10439287805</v>
      </c>
      <c r="CQ7" s="17">
        <f>IF(CQ$3="","",IF(CQ$3=Steps,MAX(IF(CallPut=1,UndTree!CQ7-Strike,Strike-UndTree!CQ7),0),MAX((2-AmEur)*IF(CallPut=1,UndTree!CQ7-Strike,Strike-UndTree!CQ7),(UpProb*CR7+DownProb*CR8)*StepDiscount)))</f>
        <v>1064.2441899573821</v>
      </c>
      <c r="CR7" s="17">
        <f>IF(CR$3="","",IF(CR$3=Steps,MAX(IF(CallPut=1,UndTree!CR7-Strike,Strike-UndTree!CR7),0),MAX((2-AmEur)*IF(CallPut=1,UndTree!CR7-Strike,Strike-UndTree!CR7),(UpProb*CS7+DownProb*CS8)*StepDiscount)))</f>
        <v>1099.4190418768915</v>
      </c>
      <c r="CS7" s="17">
        <f>IF(CS$3="","",IF(CS$3=Steps,MAX(IF(CallPut=1,UndTree!CS7-Strike,Strike-UndTree!CS7),0),MAX((2-AmEur)*IF(CallPut=1,UndTree!CS7-Strike,Strike-UndTree!CS7),(UpProb*CT7+DownProb*CT8)*StepDiscount)))</f>
        <v>1135.6602832154547</v>
      </c>
      <c r="CT7" s="17">
        <f>IF(CT$3="","",IF(CT$3=Steps,MAX(IF(CallPut=1,UndTree!CT7-Strike,Strike-UndTree!CT7),0),MAX((2-AmEur)*IF(CallPut=1,UndTree!CT7-Strike,Strike-UndTree!CT7),(UpProb*CU7+DownProb*CU8)*StepDiscount)))</f>
        <v>1173.00019713031</v>
      </c>
      <c r="CU7" s="17">
        <f>IF(CU$3="","",IF(CU$3=Steps,MAX(IF(CallPut=1,UndTree!CU7-Strike,Strike-UndTree!CU7),0),MAX((2-AmEur)*IF(CallPut=1,UndTree!CU7-Strike,Strike-UndTree!CU7),(UpProb*CV7+DownProb*CV8)*StepDiscount)))</f>
        <v>1211.4720440729498</v>
      </c>
      <c r="CV7" s="17">
        <f>IF(CV$3="","",IF(CV$3=Steps,MAX(IF(CallPut=1,UndTree!CV7-Strike,Strike-UndTree!CV7),0),MAX((2-AmEur)*IF(CallPut=1,UndTree!CV7-Strike,Strike-UndTree!CV7),(UpProb*CW7+DownProb*CW8)*StepDiscount)))</f>
        <v>1251.110091374328</v>
      </c>
      <c r="CW7" s="17">
        <f>IF(CW$3="","",IF(CW$3=Steps,MAX(IF(CallPut=1,UndTree!CW7-Strike,Strike-UndTree!CW7),0),MAX((2-AmEur)*IF(CallPut=1,UndTree!CW7-Strike,Strike-UndTree!CW7),(UpProb*CX7+DownProb*CX8)*StepDiscount)))</f>
        <v>1291.9496437257067</v>
      </c>
      <c r="CX7" s="17">
        <f>IF(CX$3="","",IF(CX$3=Steps,MAX(IF(CallPut=1,UndTree!CX7-Strike,Strike-UndTree!CX7),0),MAX((2-AmEur)*IF(CallPut=1,UndTree!CX7-Strike,Strike-UndTree!CX7),(UpProb*CY7+DownProb*CY8)*StepDiscount)))</f>
        <v>1334.0270745822643</v>
      </c>
      <c r="CY7" s="17">
        <f>IF(CY$3="","",IF(CY$3=Steps,MAX(IF(CallPut=1,UndTree!CY7-Strike,Strike-UndTree!CY7),0),MAX((2-AmEur)*IF(CallPut=1,UndTree!CY7-Strike,Strike-UndTree!CY7),(UpProb*CZ7+DownProb*CZ8)*StepDiscount)))</f>
        <v>1377.3798585173347</v>
      </c>
      <c r="CZ7" s="17">
        <f>IF(CZ$3="","",IF(CZ$3=Steps,MAX(IF(CallPut=1,UndTree!CZ7-Strike,Strike-UndTree!CZ7),0),MAX((2-AmEur)*IF(CallPut=1,UndTree!CZ7-Strike,Strike-UndTree!CZ7),(UpProb*DA7+DownProb*DA8)*StepDiscount)))</f>
        <v>1422.0466045559224</v>
      </c>
      <c r="DA7" s="17">
        <f>IF(DA$3="","",IF(DA$3=Steps,MAX(IF(CallPut=1,UndTree!DA7-Strike,Strike-UndTree!DA7),0),MAX((2-AmEur)*IF(CallPut=1,UndTree!DA7-Strike,Strike-UndTree!DA7),(UpProb*DB7+DownProb*DB8)*StepDiscount)))</f>
        <v>1468.0670905172528</v>
      </c>
      <c r="DB7" s="17">
        <f>IF(DB$3="","",IF(DB$3=Steps,MAX(IF(CallPut=1,UndTree!DB7-Strike,Strike-UndTree!DB7),0),MAX((2-AmEur)*IF(CallPut=1,UndTree!DB7-Strike,Strike-UndTree!DB7),(UpProb*DC7+DownProb*DC8)*StepDiscount)))</f>
        <v>1515.4822983981001</v>
      </c>
    </row>
    <row r="8" spans="1:106" x14ac:dyDescent="0.2">
      <c r="A8">
        <f>ExDivTree!A8</f>
        <v>4082925</v>
      </c>
      <c r="B8" s="71">
        <f>ExDivTree!B8</f>
        <v>1.6104299557247498E-24</v>
      </c>
      <c r="C8" s="71">
        <f>ExDivTree!C8</f>
        <v>2.0598671690580257E-24</v>
      </c>
      <c r="D8" s="177">
        <f>ExDivTree!D8</f>
        <v>4</v>
      </c>
      <c r="I8" s="17">
        <f>IF(I$3="","",IF(I$3=Steps,MAX(IF(CallPut=1,UndTree!I8-Strike,Strike-UndTree!I8),0),MAX((2-AmEur)*IF(CallPut=1,UndTree!I8-Strike,Strike-UndTree!I8),(UpProb*J8+DownProb*J9)*StepDiscount)))</f>
        <v>5.9880807970215022</v>
      </c>
      <c r="J8" s="17">
        <f>IF(J$3="","",IF(J$3=Steps,MAX(IF(CallPut=1,UndTree!J8-Strike,Strike-UndTree!J8),0),MAX((2-AmEur)*IF(CallPut=1,UndTree!J8-Strike,Strike-UndTree!J8),(UpProb*K8+DownProb*K9)*StepDiscount)))</f>
        <v>6.9882098189759034</v>
      </c>
      <c r="K8" s="17">
        <f>IF(K$3="","",IF(K$3=Steps,MAX(IF(CallPut=1,UndTree!K8-Strike,Strike-UndTree!K8),0),MAX((2-AmEur)*IF(CallPut=1,UndTree!K8-Strike,Strike-UndTree!K8),(UpProb*L8+DownProb*L9)*StepDiscount)))</f>
        <v>8.1173039380970433</v>
      </c>
      <c r="L8" s="17">
        <f>IF(L$3="","",IF(L$3=Steps,MAX(IF(CallPut=1,UndTree!L8-Strike,Strike-UndTree!L8),0),MAX((2-AmEur)*IF(CallPut=1,UndTree!L8-Strike,Strike-UndTree!L8),(UpProb*M8+DownProb*M9)*StepDiscount)))</f>
        <v>9.3849543333153989</v>
      </c>
      <c r="M8" s="17">
        <f>IF(M$3="","",IF(M$3=Steps,MAX(IF(CallPut=1,UndTree!M8-Strike,Strike-UndTree!M8),0),MAX((2-AmEur)*IF(CallPut=1,UndTree!M8-Strike,Strike-UndTree!M8),(UpProb*N8+DownProb*N9)*StepDiscount)))</f>
        <v>10.80034123298751</v>
      </c>
      <c r="N8" s="17">
        <f>IF(N$3="","",IF(N$3=Steps,MAX(IF(CallPut=1,UndTree!N8-Strike,Strike-UndTree!N8),0),MAX((2-AmEur)*IF(CallPut=1,UndTree!N8-Strike,Strike-UndTree!N8),(UpProb*O8+DownProb*O9)*StepDiscount)))</f>
        <v>12.372060316248024</v>
      </c>
      <c r="O8" s="17">
        <f>IF(O$3="","",IF(O$3=Steps,MAX(IF(CallPut=1,UndTree!O8-Strike,Strike-UndTree!O8),0),MAX((2-AmEur)*IF(CallPut=1,UndTree!O8-Strike,Strike-UndTree!O8),(UpProb*P8+DownProb*P9)*StepDiscount)))</f>
        <v>14.107956894436708</v>
      </c>
      <c r="P8" s="17">
        <f>IF(P$3="","",IF(P$3=Steps,MAX(IF(CallPut=1,UndTree!P8-Strike,Strike-UndTree!P8),0),MAX((2-AmEur)*IF(CallPut=1,UndTree!P8-Strike,Strike-UndTree!P8),(UpProb*Q8+DownProb*Q9)*StepDiscount)))</f>
        <v>16.014975869866717</v>
      </c>
      <c r="Q8" s="17">
        <f>IF(Q$3="","",IF(Q$3=Steps,MAX(IF(CallPut=1,UndTree!Q8-Strike,Strike-UndTree!Q8),0),MAX((2-AmEur)*IF(CallPut=1,UndTree!Q8-Strike,Strike-UndTree!Q8),(UpProb*R8+DownProb*R9)*StepDiscount)))</f>
        <v>18.099035466579863</v>
      </c>
      <c r="R8" s="17">
        <f>IF(R$3="","",IF(R$3=Steps,MAX(IF(CallPut=1,UndTree!R8-Strike,Strike-UndTree!R8),0),MAX((2-AmEur)*IF(CallPut=1,UndTree!R8-Strike,Strike-UndTree!R8),(UpProb*S8+DownProb*S9)*StepDiscount)))</f>
        <v>20.364932194270757</v>
      </c>
      <c r="S8" s="17">
        <f>IF(S$3="","",IF(S$3=Steps,MAX(IF(CallPut=1,UndTree!S8-Strike,Strike-UndTree!S8),0),MAX((2-AmEur)*IF(CallPut=1,UndTree!S8-Strike,Strike-UndTree!S8),(UpProb*T8+DownProb*T9)*StepDiscount)))</f>
        <v>22.816283412526943</v>
      </c>
      <c r="T8" s="17">
        <f>IF(T$3="","",IF(T$3=Steps,MAX(IF(CallPut=1,UndTree!T8-Strike,Strike-UndTree!T8),0),MAX((2-AmEur)*IF(CallPut=1,UndTree!T8-Strike,Strike-UndTree!T8),(UpProb*U8+DownProb*U9)*StepDiscount)))</f>
        <v>25.455512224544858</v>
      </c>
      <c r="U8" s="17">
        <f>IF(U$3="","",IF(U$3=Steps,MAX(IF(CallPut=1,UndTree!U8-Strike,Strike-UndTree!U8),0),MAX((2-AmEur)*IF(CallPut=1,UndTree!U8-Strike,Strike-UndTree!U8),(UpProb*V8+DownProb*V9)*StepDiscount)))</f>
        <v>28.283877316312022</v>
      </c>
      <c r="V8" s="17">
        <f>IF(V$3="","",IF(V$3=Steps,MAX(IF(CallPut=1,UndTree!V8-Strike,Strike-UndTree!V8),0),MAX((2-AmEur)*IF(CallPut=1,UndTree!V8-Strike,Strike-UndTree!V8),(UpProb*W8+DownProb*W9)*StepDiscount)))</f>
        <v>31.301547890601814</v>
      </c>
      <c r="W8" s="17">
        <f>IF(W$3="","",IF(W$3=Steps,MAX(IF(CallPut=1,UndTree!W8-Strike,Strike-UndTree!W8),0),MAX((2-AmEur)*IF(CallPut=1,UndTree!W8-Strike,Strike-UndTree!W8),(UpProb*X8+DownProb*X9)*StepDiscount)))</f>
        <v>34.507721194362993</v>
      </c>
      <c r="X8" s="17">
        <f>IF(X$3="","",IF(X$3=Steps,MAX(IF(CallPut=1,UndTree!X8-Strike,Strike-UndTree!X8),0),MAX((2-AmEur)*IF(CallPut=1,UndTree!X8-Strike,Strike-UndTree!X8),(UpProb*Y8+DownProb*Y9)*StepDiscount)))</f>
        <v>37.900777508428334</v>
      </c>
      <c r="Y8" s="17">
        <f>IF(Y$3="","",IF(Y$3=Steps,MAX(IF(CallPut=1,UndTree!Y8-Strike,Strike-UndTree!Y8),0),MAX((2-AmEur)*IF(CallPut=1,UndTree!Y8-Strike,Strike-UndTree!Y8),(UpProb*Z8+DownProb*Z9)*StepDiscount)))</f>
        <v>41.478465083200469</v>
      </c>
      <c r="Z8" s="17">
        <f>IF(Z$3="","",IF(Z$3=Steps,MAX(IF(CallPut=1,UndTree!Z8-Strike,Strike-UndTree!Z8),0),MAX((2-AmEur)*IF(CallPut=1,UndTree!Z8-Strike,Strike-UndTree!Z8),(UpProb*AA8+DownProb*AA9)*StepDiscount)))</f>
        <v>45.238105581999463</v>
      </c>
      <c r="AA8" s="17">
        <f>IF(AA$3="","",IF(AA$3=Steps,MAX(IF(CallPut=1,UndTree!AA8-Strike,Strike-UndTree!AA8),0),MAX((2-AmEur)*IF(CallPut=1,UndTree!AA8-Strike,Strike-UndTree!AA8),(UpProb*AB8+DownProb*AB9)*StepDiscount)))</f>
        <v>49.176809324866205</v>
      </c>
      <c r="AB8" s="17">
        <f>IF(AB$3="","",IF(AB$3=Steps,MAX(IF(CallPut=1,UndTree!AB8-Strike,Strike-UndTree!AB8),0),MAX((2-AmEur)*IF(CallPut=1,UndTree!AB8-Strike,Strike-UndTree!AB8),(UpProb*AC8+DownProb*AC9)*StepDiscount)))</f>
        <v>53.291689146540449</v>
      </c>
      <c r="AC8" s="17">
        <f>IF(AC$3="","",IF(AC$3=Steps,MAX(IF(CallPut=1,UndTree!AC8-Strike,Strike-UndTree!AC8),0),MAX((2-AmEur)*IF(CallPut=1,UndTree!AC8-Strike,Strike-UndTree!AC8),(UpProb*AD8+DownProb*AD9)*StepDiscount)))</f>
        <v>57.580062057021657</v>
      </c>
      <c r="AD8" s="17">
        <f>IF(AD$3="","",IF(AD$3=Steps,MAX(IF(CallPut=1,UndTree!AD8-Strike,Strike-UndTree!AD8),0),MAX((2-AmEur)*IF(CallPut=1,UndTree!AD8-Strike,Strike-UndTree!AD8),(UpProb*AE8+DownProb*AE9)*StepDiscount)))</f>
        <v>62.039629100493372</v>
      </c>
      <c r="AE8" s="17">
        <f>IF(AE$3="","",IF(AE$3=Steps,MAX(IF(CallPut=1,UndTree!AE8-Strike,Strike-UndTree!AE8),0),MAX((2-AmEur)*IF(CallPut=1,UndTree!AE8-Strike,Strike-UndTree!AE8),(UpProb*AF8+DownProb*AF9)*StepDiscount)))</f>
        <v>66.668625740143241</v>
      </c>
      <c r="AF8" s="17">
        <f>IF(AF$3="","",IF(AF$3=Steps,MAX(IF(CallPut=1,UndTree!AF8-Strike,Strike-UndTree!AF8),0),MAX((2-AmEur)*IF(CallPut=1,UndTree!AF8-Strike,Strike-UndTree!AF8),(UpProb*AG8+DownProb*AG9)*StepDiscount)))</f>
        <v>71.465937566124722</v>
      </c>
      <c r="AG8" s="17">
        <f>IF(AG$3="","",IF(AG$3=Steps,MAX(IF(CallPut=1,UndTree!AG8-Strike,Strike-UndTree!AG8),0),MAX((2-AmEur)*IF(CallPut=1,UndTree!AG8-Strike,Strike-UndTree!AG8),(UpProb*AH8+DownProb*AH9)*StepDiscount)))</f>
        <v>76.431178887101211</v>
      </c>
      <c r="AH8" s="17">
        <f>IF(AH$3="","",IF(AH$3=Steps,MAX(IF(CallPut=1,UndTree!AH8-Strike,Strike-UndTree!AH8),0),MAX((2-AmEur)*IF(CallPut=1,UndTree!AH8-Strike,Strike-UndTree!AH8),(UpProb*AI8+DownProb*AI9)*StepDiscount)))</f>
        <v>81.564734548720992</v>
      </c>
      <c r="AI8" s="17">
        <f>IF(AI$3="","",IF(AI$3=Steps,MAX(IF(CallPut=1,UndTree!AI8-Strike,Strike-UndTree!AI8),0),MAX((2-AmEur)*IF(CallPut=1,UndTree!AI8-Strike,Strike-UndTree!AI8),(UpProb*AJ8+DownProb*AJ9)*StepDiscount)))</f>
        <v>86.867767855621224</v>
      </c>
      <c r="AJ8" s="17">
        <f>IF(AJ$3="","",IF(AJ$3=Steps,MAX(IF(CallPut=1,UndTree!AJ8-Strike,Strike-UndTree!AJ8),0),MAX((2-AmEur)*IF(CallPut=1,UndTree!AJ8-Strike,Strike-UndTree!AJ8),(UpProb*AK8+DownProb*AK9)*StepDiscount)))</f>
        <v>92.342199525864743</v>
      </c>
      <c r="AK8" s="17">
        <f>IF(AK$3="","",IF(AK$3=Steps,MAX(IF(CallPut=1,UndTree!AK8-Strike,Strike-UndTree!AK8),0),MAX((2-AmEur)*IF(CallPut=1,UndTree!AK8-Strike,Strike-UndTree!AK8),(UpProb*AL8+DownProb*AL9)*StepDiscount)))</f>
        <v>97.990664013323084</v>
      </c>
      <c r="AL8" s="17">
        <f>IF(AL$3="","",IF(AL$3=Steps,MAX(IF(CallPut=1,UndTree!AL8-Strike,Strike-UndTree!AL8),0),MAX((2-AmEur)*IF(CallPut=1,UndTree!AL8-Strike,Strike-UndTree!AL8),(UpProb*AM8+DownProb*AM9)*StepDiscount)))</f>
        <v>103.81645021488433</v>
      </c>
      <c r="AM8" s="17">
        <f>IF(AM$3="","",IF(AM$3=Steps,MAX(IF(CallPut=1,UndTree!AM8-Strike,Strike-UndTree!AM8),0),MAX((2-AmEur)*IF(CallPut=1,UndTree!AM8-Strike,Strike-UndTree!AM8),(UpProb*AN8+DownProb*AN9)*StepDiscount)))</f>
        <v>109.82343354698068</v>
      </c>
      <c r="AN8" s="17">
        <f>IF(AN$3="","",IF(AN$3=Steps,MAX(IF(CallPut=1,UndTree!AN8-Strike,Strike-UndTree!AN8),0),MAX((2-AmEur)*IF(CallPut=1,UndTree!AN8-Strike,Strike-UndTree!AN8),(UpProb*AO8+DownProb*AO9)*StepDiscount)))</f>
        <v>116.01600572455358</v>
      </c>
      <c r="AO8" s="17">
        <f>IF(AO$3="","",IF(AO$3=Steps,MAX(IF(CallPut=1,UndTree!AO8-Strike,Strike-UndTree!AO8),0),MAX((2-AmEur)*IF(CallPut=1,UndTree!AO8-Strike,Strike-UndTree!AO8),(UpProb*AP8+DownProb*AP9)*StepDiscount)))</f>
        <v>122.39900746340194</v>
      </c>
      <c r="AP8" s="17">
        <f>IF(AP$3="","",IF(AP$3=Steps,MAX(IF(CallPut=1,UndTree!AP8-Strike,Strike-UndTree!AP8),0),MAX((2-AmEur)*IF(CallPut=1,UndTree!AP8-Strike,Strike-UndTree!AP8),(UpProb*AQ8+DownProb*AQ9)*StepDiscount)))</f>
        <v>128.97766794749549</v>
      </c>
      <c r="AQ8" s="17">
        <f>IF(AQ$3="","",IF(AQ$3=Steps,MAX(IF(CallPut=1,UndTree!AQ8-Strike,Strike-UndTree!AQ8),0),MAX((2-AmEur)*IF(CallPut=1,UndTree!AQ8-Strike,Strike-UndTree!AQ8),(UpProb*AR8+DownProb*AR9)*StepDiscount)))</f>
        <v>135.75755345421214</v>
      </c>
      <c r="AR8" s="17">
        <f>IF(AR$3="","",IF(AR$3=Steps,MAX(IF(CallPut=1,UndTree!AR8-Strike,Strike-UndTree!AR8),0),MAX((2-AmEur)*IF(CallPut=1,UndTree!AR8-Strike,Strike-UndTree!AR8),(UpProb*AS8+DownProb*AS9)*StepDiscount)))</f>
        <v>142.74452618631835</v>
      </c>
      <c r="AS8" s="17">
        <f>IF(AS$3="","",IF(AS$3=Steps,MAX(IF(CallPut=1,UndTree!AS8-Strike,Strike-UndTree!AS8),0),MAX((2-AmEur)*IF(CallPut=1,UndTree!AS8-Strike,Strike-UndTree!AS8),(UpProb*AT8+DownProb*AT9)*StepDiscount)))</f>
        <v>149.94471324816931</v>
      </c>
      <c r="AT8" s="17">
        <f>IF(AT$3="","",IF(AT$3=Steps,MAX(IF(CallPut=1,UndTree!AT8-Strike,Strike-UndTree!AT8),0),MAX((2-AmEur)*IF(CallPut=1,UndTree!AT8-Strike,Strike-UndTree!AT8),(UpProb*AU8+DownProb*AU9)*StepDiscount)))</f>
        <v>157.36448489702261</v>
      </c>
      <c r="AU8" s="17">
        <f>IF(AU$3="","",IF(AU$3=Steps,MAX(IF(CallPut=1,UndTree!AU8-Strike,Strike-UndTree!AU8),0),MAX((2-AmEur)*IF(CallPut=1,UndTree!AU8-Strike,Strike-UndTree!AU8),(UpProb*AV8+DownProb*AV9)*StepDiscount)))</f>
        <v>165.01044071418818</v>
      </c>
      <c r="AV8" s="17">
        <f>IF(AV$3="","",IF(AV$3=Steps,MAX(IF(CallPut=1,UndTree!AV8-Strike,Strike-UndTree!AV8),0),MAX((2-AmEur)*IF(CallPut=1,UndTree!AV8-Strike,Strike-UndTree!AV8),(UpProb*AW8+DownProb*AW9)*StepDiscount)))</f>
        <v>172.88940214378098</v>
      </c>
      <c r="AW8" s="17">
        <f>IF(AW$3="","",IF(AW$3=Steps,MAX(IF(CallPut=1,UndTree!AW8-Strike,Strike-UndTree!AW8),0),MAX((2-AmEur)*IF(CallPut=1,UndTree!AW8-Strike,Strike-UndTree!AW8),(UpProb*AX8+DownProb*AX9)*StepDiscount)))</f>
        <v>181.00840987661053</v>
      </c>
      <c r="AX8" s="17">
        <f>IF(AX$3="","",IF(AX$3=Steps,MAX(IF(CallPut=1,UndTree!AX8-Strike,Strike-UndTree!AX8),0),MAX((2-AmEur)*IF(CallPut=1,UndTree!AX8-Strike,Strike-UndTree!AX8),(UpProb*AY8+DownProb*AY9)*StepDiscount)))</f>
        <v>189.37472473706751</v>
      </c>
      <c r="AY8" s="17">
        <f>IF(AY$3="","",IF(AY$3=Steps,MAX(IF(CallPut=1,UndTree!AY8-Strike,Strike-UndTree!AY8),0),MAX((2-AmEur)*IF(CallPut=1,UndTree!AY8-Strike,Strike-UndTree!AY8),(UpProb*AZ8+DownProb*AZ9)*StepDiscount)))</f>
        <v>197.99583098771606</v>
      </c>
      <c r="AZ8" s="17">
        <f>IF(AZ$3="","",IF(AZ$3=Steps,MAX(IF(CallPut=1,UndTree!AZ8-Strike,Strike-UndTree!AZ8),0),MAX((2-AmEur)*IF(CallPut=1,UndTree!AZ8-Strike,Strike-UndTree!AZ8),(UpProb*BA8+DownProb*BA9)*StepDiscount)))</f>
        <v>206.87944123911834</v>
      </c>
      <c r="BA8" s="17">
        <f>IF(BA$3="","",IF(BA$3=Steps,MAX(IF(CallPut=1,UndTree!BA8-Strike,Strike-UndTree!BA8),0),MAX((2-AmEur)*IF(CallPut=1,UndTree!BA8-Strike,Strike-UndTree!BA8),(UpProb*BB8+DownProb*BB9)*StepDiscount)))</f>
        <v>216.03350239979488</v>
      </c>
      <c r="BB8" s="17">
        <f>IF(BB$3="","",IF(BB$3=Steps,MAX(IF(CallPut=1,UndTree!BB8-Strike,Strike-UndTree!BB8),0),MAX((2-AmEur)*IF(CallPut=1,UndTree!BB8-Strike,Strike-UndTree!BB8),(UpProb*BC8+DownProb*BC9)*StepDiscount)))</f>
        <v>225.46620230127795</v>
      </c>
      <c r="BC8" s="17">
        <f>IF(BC$3="","",IF(BC$3=Steps,MAX(IF(CallPut=1,UndTree!BC8-Strike,Strike-UndTree!BC8),0),MAX((2-AmEur)*IF(CallPut=1,UndTree!BC8-Strike,Strike-UndTree!BC8),(UpProb*BD8+DownProb*BD9)*StepDiscount)))</f>
        <v>235.18597678013938</v>
      </c>
      <c r="BD8" s="17">
        <f>IF(BD$3="","",IF(BD$3=Steps,MAX(IF(CallPut=1,UndTree!BD8-Strike,Strike-UndTree!BD8),0),MAX((2-AmEur)*IF(CallPut=1,UndTree!BD8-Strike,Strike-UndTree!BD8),(UpProb*BE8+DownProb*BE9)*StepDiscount)))</f>
        <v>245.2015170976307</v>
      </c>
      <c r="BE8" s="17">
        <f>IF(BE$3="","",IF(BE$3=Steps,MAX(IF(CallPut=1,UndTree!BE8-Strike,Strike-UndTree!BE8),0),MAX((2-AmEur)*IF(CallPut=1,UndTree!BE8-Strike,Strike-UndTree!BE8),(UpProb*BF8+DownProb*BF9)*StepDiscount)))</f>
        <v>255.52177763846342</v>
      </c>
      <c r="BF8" s="17">
        <f>IF(BF$3="","",IF(BF$3=Steps,MAX(IF(CallPut=1,UndTree!BF8-Strike,Strike-UndTree!BF8),0),MAX((2-AmEur)*IF(CallPut=1,UndTree!BF8-Strike,Strike-UndTree!BF8),(UpProb*BG8+DownProb*BG9)*StepDiscount)))</f>
        <v>266.15598386466911</v>
      </c>
      <c r="BG8" s="17">
        <f>IF(BG$3="","",IF(BG$3=Steps,MAX(IF(CallPut=1,UndTree!BG8-Strike,Strike-UndTree!BG8),0),MAX((2-AmEur)*IF(CallPut=1,UndTree!BG8-Strike,Strike-UndTree!BG8),(UpProb*BH8+DownProb*BH9)*StepDiscount)))</f>
        <v>277.11364051826303</v>
      </c>
      <c r="BH8" s="17">
        <f>IF(BH$3="","",IF(BH$3=Steps,MAX(IF(CallPut=1,UndTree!BH8-Strike,Strike-UndTree!BH8),0),MAX((2-AmEur)*IF(CallPut=1,UndTree!BH8-Strike,Strike-UndTree!BH8),(UpProb*BI8+DownProb*BI9)*StepDiscount)))</f>
        <v>288.40454007481833</v>
      </c>
      <c r="BI8" s="17">
        <f>IF(BI$3="","",IF(BI$3=Steps,MAX(IF(CallPut=1,UndTree!BI8-Strike,Strike-UndTree!BI8),0),MAX((2-AmEur)*IF(CallPut=1,UndTree!BI8-Strike,Strike-UndTree!BI8),(UpProb*BJ8+DownProb*BJ9)*StepDiscount)))</f>
        <v>300.03877145368352</v>
      </c>
      <c r="BJ8" s="17">
        <f>IF(BJ$3="","",IF(BJ$3=Steps,MAX(IF(CallPut=1,UndTree!BJ8-Strike,Strike-UndTree!BJ8),0),MAX((2-AmEur)*IF(CallPut=1,UndTree!BJ8-Strike,Strike-UndTree!BJ8),(UpProb*BK8+DownProb*BK9)*StepDiscount)))</f>
        <v>312.02672899205527</v>
      </c>
      <c r="BK8" s="17">
        <f>IF(BK$3="","",IF(BK$3=Steps,MAX(IF(CallPut=1,UndTree!BK8-Strike,Strike-UndTree!BK8),0),MAX((2-AmEur)*IF(CallPut=1,UndTree!BK8-Strike,Strike-UndTree!BK8),(UpProb*BL8+DownProb*BL9)*StepDiscount)))</f>
        <v>324.37912169075338</v>
      </c>
      <c r="BL8" s="17">
        <f>IF(BL$3="","",IF(BL$3=Steps,MAX(IF(CallPut=1,UndTree!BL8-Strike,Strike-UndTree!BL8),0),MAX((2-AmEur)*IF(CallPut=1,UndTree!BL8-Strike,Strike-UndTree!BL8),(UpProb*BM8+DownProb*BM9)*StepDiscount)))</f>
        <v>337.10698273989408</v>
      </c>
      <c r="BM8" s="17">
        <f>IF(BM$3="","",IF(BM$3=Steps,MAX(IF(CallPut=1,UndTree!BM8-Strike,Strike-UndTree!BM8),0),MAX((2-AmEur)*IF(CallPut=1,UndTree!BM8-Strike,Strike-UndTree!BM8),(UpProb*BN8+DownProb*BN9)*StepDiscount)))</f>
        <v>350.22167933293008</v>
      </c>
      <c r="BN8" s="17">
        <f>IF(BN$3="","",IF(BN$3=Steps,MAX(IF(CallPut=1,UndTree!BN8-Strike,Strike-UndTree!BN8),0),MAX((2-AmEur)*IF(CallPut=1,UndTree!BN8-Strike,Strike-UndTree!BN8),(UpProb*BO8+DownProb*BO9)*StepDiscount)))</f>
        <v>363.73492277778729</v>
      </c>
      <c r="BO8" s="17">
        <f>IF(BO$3="","",IF(BO$3=Steps,MAX(IF(CallPut=1,UndTree!BO8-Strike,Strike-UndTree!BO8),0),MAX((2-AmEur)*IF(CallPut=1,UndTree!BO8-Strike,Strike-UndTree!BO8),(UpProb*BP8+DownProb*BP9)*StepDiscount)))</f>
        <v>377.65877891409099</v>
      </c>
      <c r="BP8" s="17">
        <f>IF(BP$3="","",IF(BP$3=Steps,MAX(IF(CallPut=1,UndTree!BP8-Strike,Strike-UndTree!BP8),0),MAX((2-AmEur)*IF(CallPut=1,UndTree!BP8-Strike,Strike-UndTree!BP8),(UpProb*BQ8+DownProb*BQ9)*StepDiscount)))</f>
        <v>392.0056788457486</v>
      </c>
      <c r="BQ8" s="17">
        <f>IF(BQ$3="","",IF(BQ$3=Steps,MAX(IF(CallPut=1,UndTree!BQ8-Strike,Strike-UndTree!BQ8),0),MAX((2-AmEur)*IF(CallPut=1,UndTree!BQ8-Strike,Strike-UndTree!BQ8),(UpProb*BR8+DownProb*BR9)*StepDiscount)))</f>
        <v>406.78842999843476</v>
      </c>
      <c r="BR8" s="17">
        <f>IF(BR$3="","",IF(BR$3=Steps,MAX(IF(CallPut=1,UndTree!BR8-Strike,Strike-UndTree!BR8),0),MAX((2-AmEur)*IF(CallPut=1,UndTree!BR8-Strike,Strike-UndTree!BR8),(UpProb*BS8+DownProb*BS9)*StepDiscount)))</f>
        <v>422.02022751181511</v>
      </c>
      <c r="BS8" s="17">
        <f>IF(BS$3="","",IF(BS$3=Steps,MAX(IF(CallPut=1,UndTree!BS8-Strike,Strike-UndTree!BS8),0),MAX((2-AmEur)*IF(CallPut=1,UndTree!BS8-Strike,Strike-UndTree!BS8),(UpProb*BT8+DownProb*BT9)*StepDiscount)))</f>
        <v>437.71466597664153</v>
      </c>
      <c r="BT8" s="17">
        <f>IF(BT$3="","",IF(BT$3=Steps,MAX(IF(CallPut=1,UndTree!BT8-Strike,Strike-UndTree!BT8),0),MAX((2-AmEur)*IF(CallPut=1,UndTree!BT8-Strike,Strike-UndTree!BT8),(UpProb*BU8+DownProb*BU9)*StepDiscount)))</f>
        <v>453.88575152715964</v>
      </c>
      <c r="BU8" s="17">
        <f>IF(BU$3="","",IF(BU$3=Steps,MAX(IF(CallPut=1,UndTree!BU8-Strike,Strike-UndTree!BU8),0),MAX((2-AmEur)*IF(CallPut=1,UndTree!BU8-Strike,Strike-UndTree!BU8),(UpProb*BV8+DownProb*BV9)*StepDiscount)))</f>
        <v>470.54791429958419</v>
      </c>
      <c r="BV8" s="17">
        <f>IF(BV$3="","",IF(BV$3=Steps,MAX(IF(CallPut=1,UndTree!BV8-Strike,Strike-UndTree!BV8),0),MAX((2-AmEur)*IF(CallPut=1,UndTree!BV8-Strike,Strike-UndTree!BV8),(UpProb*BW8+DownProb*BW9)*StepDiscount)))</f>
        <v>487.71602126772444</v>
      </c>
      <c r="BW8" s="17">
        <f>IF(BW$3="","",IF(BW$3=Steps,MAX(IF(CallPut=1,UndTree!BW8-Strike,Strike-UndTree!BW8),0),MAX((2-AmEur)*IF(CallPut=1,UndTree!BW8-Strike,Strike-UndTree!BW8),(UpProb*BX8+DownProb*BX9)*StepDiscount)))</f>
        <v>505.4053894671768</v>
      </c>
      <c r="BX8" s="17">
        <f>IF(BX$3="","",IF(BX$3=Steps,MAX(IF(CallPut=1,UndTree!BX8-Strike,Strike-UndTree!BX8),0),MAX((2-AmEur)*IF(CallPut=1,UndTree!BX8-Strike,Strike-UndTree!BX8),(UpProb*BY8+DownProb*BY9)*StepDiscount)))</f>
        <v>523.63179961984758</v>
      </c>
      <c r="BY8" s="17">
        <f>IF(BY$3="","",IF(BY$3=Steps,MAX(IF(CallPut=1,UndTree!BY8-Strike,Strike-UndTree!BY8),0),MAX((2-AmEur)*IF(CallPut=1,UndTree!BY8-Strike,Strike-UndTree!BY8),(UpProb*BZ8+DownProb*BZ9)*StepDiscount)))</f>
        <v>542.41151017092523</v>
      </c>
      <c r="BZ8" s="17">
        <f>IF(BZ$3="","",IF(BZ$3=Steps,MAX(IF(CallPut=1,UndTree!BZ8-Strike,Strike-UndTree!BZ8),0),MAX((2-AmEur)*IF(CallPut=1,UndTree!BZ8-Strike,Strike-UndTree!BZ8),(UpProb*CA8+DownProb*CA9)*StepDiscount)))</f>
        <v>561.76127175078648</v>
      </c>
      <c r="CA8" s="17">
        <f>IF(CA$3="","",IF(CA$3=Steps,MAX(IF(CallPut=1,UndTree!CA8-Strike,Strike-UndTree!CA8),0),MAX((2-AmEur)*IF(CallPut=1,UndTree!CA8-Strike,Strike-UndTree!CA8),(UpProb*CB8+DownProb*CB9)*StepDiscount)))</f>
        <v>581.69834207470308</v>
      </c>
      <c r="CB8" s="17">
        <f>IF(CB$3="","",IF(CB$3=Steps,MAX(IF(CallPut=1,UndTree!CB8-Strike,Strike-UndTree!CB8),0),MAX((2-AmEur)*IF(CallPut=1,UndTree!CB8-Strike,Strike-UndTree!CB8),(UpProb*CC8+DownProb*CC9)*StepDiscount)))</f>
        <v>602.24050129360023</v>
      </c>
      <c r="CC8" s="17">
        <f>IF(CC$3="","",IF(CC$3=Steps,MAX(IF(CallPut=1,UndTree!CC8-Strike,Strike-UndTree!CC8),0),MAX((2-AmEur)*IF(CallPut=1,UndTree!CC8-Strike,Strike-UndTree!CC8),(UpProb*CD8+DownProb*CD9)*StepDiscount)))</f>
        <v>623.40606780952112</v>
      </c>
      <c r="CD8" s="17">
        <f>IF(CD$3="","",IF(CD$3=Steps,MAX(IF(CallPut=1,UndTree!CD8-Strike,Strike-UndTree!CD8),0),MAX((2-AmEur)*IF(CallPut=1,UndTree!CD8-Strike,Strike-UndTree!CD8),(UpProb*CE8+DownProb*CE9)*StepDiscount)))</f>
        <v>645.21391456986657</v>
      </c>
      <c r="CE8" s="17">
        <f>IF(CE$3="","",IF(CE$3=Steps,MAX(IF(CallPut=1,UndTree!CE8-Strike,Strike-UndTree!CE8),0),MAX((2-AmEur)*IF(CallPut=1,UndTree!CE8-Strike,Strike-UndTree!CE8),(UpProb*CF8+DownProb*CF9)*StepDiscount)))</f>
        <v>667.68348585490378</v>
      </c>
      <c r="CF8" s="17">
        <f>IF(CF$3="","",IF(CF$3=Steps,MAX(IF(CallPut=1,UndTree!CF8-Strike,Strike-UndTree!CF8),0),MAX((2-AmEur)*IF(CallPut=1,UndTree!CF8-Strike,Strike-UndTree!CF8),(UpProb*CG8+DownProb*CG9)*StepDiscount)))</f>
        <v>690.83481457347511</v>
      </c>
      <c r="CG8" s="17">
        <f>IF(CG$3="","",IF(CG$3=Steps,MAX(IF(CallPut=1,UndTree!CG8-Strike,Strike-UndTree!CG8),0),MAX((2-AmEur)*IF(CallPut=1,UndTree!CG8-Strike,Strike-UndTree!CG8),(UpProb*CH8+DownProb*CH9)*StepDiscount)))</f>
        <v>714.68854008229096</v>
      </c>
      <c r="CH8" s="17">
        <f>IF(CH$3="","",IF(CH$3=Steps,MAX(IF(CallPut=1,UndTree!CH8-Strike,Strike-UndTree!CH8),0),MAX((2-AmEur)*IF(CallPut=1,UndTree!CH8-Strike,Strike-UndTree!CH8),(UpProb*CI8+DownProb*CI9)*StepDiscount)))</f>
        <v>739.26592654466151</v>
      </c>
      <c r="CI8" s="17">
        <f>IF(CI$3="","",IF(CI$3=Steps,MAX(IF(CallPut=1,UndTree!CI8-Strike,Strike-UndTree!CI8),0),MAX((2-AmEur)*IF(CallPut=1,UndTree!CI8-Strike,Strike-UndTree!CI8),(UpProb*CJ8+DownProb*CJ9)*StepDiscount)))</f>
        <v>764.58888184499187</v>
      </c>
      <c r="CJ8" s="17">
        <f>IF(CJ$3="","",IF(CJ$3=Steps,MAX(IF(CallPut=1,UndTree!CJ8-Strike,Strike-UndTree!CJ8),0),MAX((2-AmEur)*IF(CallPut=1,UndTree!CJ8-Strike,Strike-UndTree!CJ8),(UpProb*CK8+DownProb*CK9)*StepDiscount)))</f>
        <v>790.67997707586846</v>
      </c>
      <c r="CK8" s="17">
        <f>IF(CK$3="","",IF(CK$3=Steps,MAX(IF(CallPut=1,UndTree!CK8-Strike,Strike-UndTree!CK8),0),MAX((2-AmEur)*IF(CallPut=1,UndTree!CK8-Strike,Strike-UndTree!CK8),(UpProb*CL8+DownProb*CL9)*StepDiscount)))</f>
        <v>817.56246661507066</v>
      </c>
      <c r="CL8" s="17">
        <f>IF(CL$3="","",IF(CL$3=Steps,MAX(IF(CallPut=1,UndTree!CL8-Strike,Strike-UndTree!CL8),0),MAX((2-AmEur)*IF(CallPut=1,UndTree!CL8-Strike,Strike-UndTree!CL8),(UpProb*CM8+DownProb*CM9)*StepDiscount)))</f>
        <v>845.2603088103632</v>
      </c>
      <c r="CM8" s="17">
        <f>IF(CM$3="","",IF(CM$3=Steps,MAX(IF(CallPut=1,UndTree!CM8-Strike,Strike-UndTree!CM8),0),MAX((2-AmEur)*IF(CallPut=1,UndTree!CM8-Strike,Strike-UndTree!CM8),(UpProb*CN8+DownProb*CN9)*StepDiscount)))</f>
        <v>873.79818729047042</v>
      </c>
      <c r="CN8" s="17">
        <f>IF(CN$3="","",IF(CN$3=Steps,MAX(IF(CallPut=1,UndTree!CN8-Strike,Strike-UndTree!CN8),0),MAX((2-AmEur)*IF(CallPut=1,UndTree!CN8-Strike,Strike-UndTree!CN8),(UpProb*CO8+DownProb*CO9)*StepDiscount)))</f>
        <v>903.20153292118528</v>
      </c>
      <c r="CO8" s="17">
        <f>IF(CO$3="","",IF(CO$3=Steps,MAX(IF(CallPut=1,UndTree!CO8-Strike,Strike-UndTree!CO8),0),MAX((2-AmEur)*IF(CallPut=1,UndTree!CO8-Strike,Strike-UndTree!CO8),(UpProb*CP8+DownProb*CP9)*StepDiscount)))</f>
        <v>933.49654642614541</v>
      </c>
      <c r="CP8" s="17">
        <f>IF(CP$3="","",IF(CP$3=Steps,MAX(IF(CallPut=1,UndTree!CP8-Strike,Strike-UndTree!CP8),0),MAX((2-AmEur)*IF(CallPut=1,UndTree!CP8-Strike,Strike-UndTree!CP8),(UpProb*CQ8+DownProb*CQ9)*StepDiscount)))</f>
        <v>964.71022169239552</v>
      </c>
      <c r="CQ8" s="17">
        <f>IF(CQ$3="","",IF(CQ$3=Steps,MAX(IF(CallPut=1,UndTree!CQ8-Strike,Strike-UndTree!CQ8),0),MAX((2-AmEur)*IF(CallPut=1,UndTree!CQ8-Strike,Strike-UndTree!CQ8),(UpProb*CR8+DownProb*CR9)*StepDiscount)))</f>
        <v>996.87036978147171</v>
      </c>
      <c r="CR8" s="17">
        <f>IF(CR$3="","",IF(CR$3=Steps,MAX(IF(CallPut=1,UndTree!CR8-Strike,Strike-UndTree!CR8),0),MAX((2-AmEur)*IF(CallPut=1,UndTree!CR8-Strike,Strike-UndTree!CR8),(UpProb*CS8+DownProb*CS9)*StepDiscount)))</f>
        <v>1030.0056436673649</v>
      </c>
      <c r="CS8" s="17">
        <f>IF(CS$3="","",IF(CS$3=Steps,MAX(IF(CallPut=1,UndTree!CS8-Strike,Strike-UndTree!CS8),0),MAX((2-AmEur)*IF(CallPut=1,UndTree!CS8-Strike,Strike-UndTree!CS8),(UpProb*CT8+DownProb*CT9)*StepDiscount)))</f>
        <v>1064.1455637233723</v>
      </c>
      <c r="CT8" s="17">
        <f>IF(CT$3="","",IF(CT$3=Steps,MAX(IF(CallPut=1,UndTree!CT8-Strike,Strike-UndTree!CT8),0),MAX((2-AmEur)*IF(CallPut=1,UndTree!CT8-Strike,Strike-UndTree!CT8),(UpProb*CU8+DownProb*CU9)*StepDiscount)))</f>
        <v>1099.3205439805026</v>
      </c>
      <c r="CU8" s="17">
        <f>IF(CU$3="","",IF(CU$3=Steps,MAX(IF(CallPut=1,UndTree!CU8-Strike,Strike-UndTree!CU8),0),MAX((2-AmEur)*IF(CallPut=1,UndTree!CU8-Strike,Strike-UndTree!CU8),(UpProb*CV8+DownProb*CV9)*StepDiscount)))</f>
        <v>1135.5619191807862</v>
      </c>
      <c r="CV8" s="17">
        <f>IF(CV$3="","",IF(CV$3=Steps,MAX(IF(CallPut=1,UndTree!CV8-Strike,Strike-UndTree!CV8),0),MAX((2-AmEur)*IF(CallPut=1,UndTree!CV8-Strike,Strike-UndTree!CV8),(UpProb*CW8+DownProb*CW9)*StepDiscount)))</f>
        <v>1172.9019726495462</v>
      </c>
      <c r="CW8" s="17">
        <f>IF(CW$3="","",IF(CW$3=Steps,MAX(IF(CallPut=1,UndTree!CW8-Strike,Strike-UndTree!CW8),0),MAX((2-AmEur)*IF(CallPut=1,UndTree!CW8-Strike,Strike-UndTree!CW8),(UpProb*CX8+DownProb*CX9)*StepDiscount)))</f>
        <v>1211.3739650114264</v>
      </c>
      <c r="CX8" s="17">
        <f>IF(CX$3="","",IF(CX$3=Steps,MAX(IF(CallPut=1,UndTree!CX8-Strike,Strike-UndTree!CX8),0),MAX((2-AmEur)*IF(CallPut=1,UndTree!CX8-Strike,Strike-UndTree!CX8),(UpProb*CY8+DownProb*CY9)*StepDiscount)))</f>
        <v>1251.012163775747</v>
      </c>
      <c r="CY8" s="17">
        <f>IF(CY$3="","",IF(CY$3=Steps,MAX(IF(CallPut=1,UndTree!CY8-Strike,Strike-UndTree!CY8),0),MAX((2-AmEur)*IF(CallPut=1,UndTree!CY8-Strike,Strike-UndTree!CY8),(UpProb*CZ8+DownProb*CZ9)*StepDiscount)))</f>
        <v>1291.8518738175742</v>
      </c>
      <c r="CZ8" s="17">
        <f>IF(CZ$3="","",IF(CZ$3=Steps,MAX(IF(CallPut=1,UndTree!CZ8-Strike,Strike-UndTree!CZ8),0),MAX((2-AmEur)*IF(CallPut=1,UndTree!CZ8-Strike,Strike-UndTree!CZ8),(UpProb*DA8+DownProb*DA9)*StepDiscount)))</f>
        <v>1333.9294687816248</v>
      </c>
      <c r="DA8" s="17">
        <f>IF(DA$3="","",IF(DA$3=Steps,MAX(IF(CallPut=1,UndTree!DA8-Strike,Strike-UndTree!DA8),0),MAX((2-AmEur)*IF(CallPut=1,UndTree!DA8-Strike,Strike-UndTree!DA8),(UpProb*DB8+DownProb*DB9)*StepDiscount)))</f>
        <v>1377.2824234365639</v>
      </c>
      <c r="DB8" s="17">
        <f>IF(DB$3="","",IF(DB$3=Steps,MAX(IF(CallPut=1,UndTree!DB8-Strike,Strike-UndTree!DB8),0),MAX((2-AmEur)*IF(CallPut=1,UndTree!DB8-Strike,Strike-UndTree!DB8),(UpProb*DC8+DownProb*DC9)*StepDiscount)))</f>
        <v>1421.9493470074999</v>
      </c>
    </row>
    <row r="9" spans="1:106" x14ac:dyDescent="0.2">
      <c r="A9">
        <f>ExDivTree!A9</f>
        <v>79208745</v>
      </c>
      <c r="B9" s="71">
        <f>ExDivTree!B9</f>
        <v>3.1242341141060146E-23</v>
      </c>
      <c r="C9" s="71">
        <f>ExDivTree!C9</f>
        <v>3.9750149278760359E-23</v>
      </c>
      <c r="D9" s="177">
        <f>ExDivTree!D9</f>
        <v>5</v>
      </c>
      <c r="J9" s="17">
        <f>IF(J$3="","",IF(J$3=Steps,MAX(IF(CallPut=1,UndTree!J9-Strike,Strike-UndTree!J9),0),MAX((2-AmEur)*IF(CallPut=1,UndTree!J9-Strike,Strike-UndTree!J9),(UpProb*K9+DownProb*K10)*StepDiscount)))</f>
        <v>4.9889561930623216</v>
      </c>
      <c r="K9" s="17">
        <f>IF(K$3="","",IF(K$3=Steps,MAX(IF(CallPut=1,UndTree!K9-Strike,Strike-UndTree!K9),0),MAX((2-AmEur)*IF(CallPut=1,UndTree!K9-Strike,Strike-UndTree!K9),(UpProb*L9+DownProb*L10)*StepDiscount)))</f>
        <v>5.860490253524226</v>
      </c>
      <c r="L9" s="17">
        <f>IF(L$3="","",IF(L$3=Steps,MAX(IF(CallPut=1,UndTree!L9-Strike,Strike-UndTree!L9),0),MAX((2-AmEur)*IF(CallPut=1,UndTree!L9-Strike,Strike-UndTree!L9),(UpProb*M9+DownProb*M10)*StepDiscount)))</f>
        <v>6.8514833714990848</v>
      </c>
      <c r="M9" s="17">
        <f>IF(M$3="","",IF(M$3=Steps,MAX(IF(CallPut=1,UndTree!M9-Strike,Strike-UndTree!M9),0),MAX((2-AmEur)*IF(CallPut=1,UndTree!M9-Strike,Strike-UndTree!M9),(UpProb*N9+DownProb*N10)*StepDiscount)))</f>
        <v>7.9719499837665841</v>
      </c>
      <c r="N9" s="17">
        <f>IF(N$3="","",IF(N$3=Steps,MAX(IF(CallPut=1,UndTree!N9-Strike,Strike-UndTree!N9),0),MAX((2-AmEur)*IF(CallPut=1,UndTree!N9-Strike,Strike-UndTree!N9),(UpProb*O9+DownProb*O10)*StepDiscount)))</f>
        <v>9.2316676641251938</v>
      </c>
      <c r="O9" s="17">
        <f>IF(O$3="","",IF(O$3=Steps,MAX(IF(CallPut=1,UndTree!O9-Strike,Strike-UndTree!O9),0),MAX((2-AmEur)*IF(CallPut=1,UndTree!O9-Strike,Strike-UndTree!O9),(UpProb*P9+DownProb*P10)*StepDiscount)))</f>
        <v>10.639995520092322</v>
      </c>
      <c r="P9" s="17">
        <f>IF(P$3="","",IF(P$3=Steps,MAX(IF(CallPut=1,UndTree!P9-Strike,Strike-UndTree!P9),0),MAX((2-AmEur)*IF(CallPut=1,UndTree!P9-Strike,Strike-UndTree!P9),(UpProb*Q9+DownProb*Q10)*StepDiscount)))</f>
        <v>12.20569233811878</v>
      </c>
      <c r="Q9" s="17">
        <f>IF(Q$3="","",IF(Q$3=Steps,MAX(IF(CallPut=1,UndTree!Q9-Strike,Strike-UndTree!Q9),0),MAX((2-AmEur)*IF(CallPut=1,UndTree!Q9-Strike,Strike-UndTree!Q9),(UpProb*R9+DownProb*R10)*StepDiscount)))</f>
        <v>13.936742485659211</v>
      </c>
      <c r="R9" s="17">
        <f>IF(R$3="","",IF(R$3=Steps,MAX(IF(CallPut=1,UndTree!R9-Strike,Strike-UndTree!R9),0),MAX((2-AmEur)*IF(CallPut=1,UndTree!R9-Strike,Strike-UndTree!R9),(UpProb*S9+DownProb*S10)*StepDiscount)))</f>
        <v>15.8401981094813</v>
      </c>
      <c r="S9" s="17">
        <f>IF(S$3="","",IF(S$3=Steps,MAX(IF(CallPut=1,UndTree!S9-Strike,Strike-UndTree!S9),0),MAX((2-AmEur)*IF(CallPut=1,UndTree!S9-Strike,Strike-UndTree!S9),(UpProb*T9+DownProb*T10)*StepDiscount)))</f>
        <v>17.922046199120331</v>
      </c>
      <c r="T9" s="17">
        <f>IF(T$3="","",IF(T$3=Steps,MAX(IF(CallPut=1,UndTree!T9-Strike,Strike-UndTree!T9),0),MAX((2-AmEur)*IF(CallPut=1,UndTree!T9-Strike,Strike-UndTree!T9),(UpProb*U9+DownProb*U10)*StepDiscount)))</f>
        <v>20.187108536039638</v>
      </c>
      <c r="U9" s="17">
        <f>IF(U$3="","",IF(U$3=Steps,MAX(IF(CallPut=1,UndTree!U9-Strike,Strike-UndTree!U9),0),MAX((2-AmEur)*IF(CallPut=1,UndTree!U9-Strike,Strike-UndTree!U9),(UpProb*V9+DownProb*V10)*StepDiscount)))</f>
        <v>22.638981387049157</v>
      </c>
      <c r="V9" s="17">
        <f>IF(V$3="","",IF(V$3=Steps,MAX(IF(CallPut=1,UndTree!V9-Strike,Strike-UndTree!V9),0),MAX((2-AmEur)*IF(CallPut=1,UndTree!V9-Strike,Strike-UndTree!V9),(UpProb*W9+DownProb*W10)*StepDiscount)))</f>
        <v>25.280020040488026</v>
      </c>
      <c r="W9" s="17">
        <f>IF(W$3="","",IF(W$3=Steps,MAX(IF(CallPut=1,UndTree!W9-Strike,Strike-UndTree!W9),0),MAX((2-AmEur)*IF(CallPut=1,UndTree!W9-Strike,Strike-UndTree!W9),(UpProb*X9+DownProb*X10)*StepDiscount)))</f>
        <v>28.11137099952829</v>
      </c>
      <c r="X9" s="17">
        <f>IF(X$3="","",IF(X$3=Steps,MAX(IF(CallPut=1,UndTree!X9-Strike,Strike-UndTree!X9),0),MAX((2-AmEur)*IF(CallPut=1,UndTree!X9-Strike,Strike-UndTree!X9),(UpProb*Y9+DownProb*Y10)*StepDiscount)))</f>
        <v>31.133051972176251</v>
      </c>
      <c r="Y9" s="17">
        <f>IF(Y$3="","",IF(Y$3=Steps,MAX(IF(CallPut=1,UndTree!Y9-Strike,Strike-UndTree!Y9),0),MAX((2-AmEur)*IF(CallPut=1,UndTree!Y9-Strike,Strike-UndTree!Y9),(UpProb*Z9+DownProb*Z10)*StepDiscount)))</f>
        <v>34.344076919424325</v>
      </c>
      <c r="Z9" s="17">
        <f>IF(Z$3="","",IF(Z$3=Steps,MAX(IF(CallPut=1,UndTree!Z9-Strike,Strike-UndTree!Z9),0),MAX((2-AmEur)*IF(CallPut=1,UndTree!Z9-Strike,Strike-UndTree!Z9),(UpProb*AA9+DownProb*AA10)*StepDiscount)))</f>
        <v>37.742620569467192</v>
      </c>
      <c r="AA9" s="17">
        <f>IF(AA$3="","",IF(AA$3=Steps,MAX(IF(CallPut=1,UndTree!AA9-Strike,Strike-UndTree!AA9),0),MAX((2-AmEur)*IF(CallPut=1,UndTree!AA9-Strike,Strike-UndTree!AA9),(UpProb*AB9+DownProb*AB10)*StepDiscount)))</f>
        <v>41.326214225340024</v>
      </c>
      <c r="AB9" s="17">
        <f>IF(AB$3="","",IF(AB$3=Steps,MAX(IF(CallPut=1,UndTree!AB9-Strike,Strike-UndTree!AB9),0),MAX((2-AmEur)*IF(CallPut=1,UndTree!AB9-Strike,Strike-UndTree!AB9),(UpProb*AC9+DownProb*AC10)*StepDiscount)))</f>
        <v>45.091962629092798</v>
      </c>
      <c r="AC9" s="17">
        <f>IF(AC$3="","",IF(AC$3=Steps,MAX(IF(CallPut=1,UndTree!AC9-Strike,Strike-UndTree!AC9),0),MAX((2-AmEur)*IF(CallPut=1,UndTree!AC9-Strike,Strike-UndTree!AC9),(UpProb*AD9+DownProb*AD10)*StepDiscount)))</f>
        <v>49.036770307732915</v>
      </c>
      <c r="AD9" s="17">
        <f>IF(AD$3="","",IF(AD$3=Steps,MAX(IF(CallPut=1,UndTree!AD9-Strike,Strike-UndTree!AD9),0),MAX((2-AmEur)*IF(CallPut=1,UndTree!AD9-Strike,Strike-UndTree!AD9),(UpProb*AE9+DownProb*AE10)*StepDiscount)))</f>
        <v>53.157565364142734</v>
      </c>
      <c r="AE9" s="17">
        <f>IF(AE$3="","",IF(AE$3=Steps,MAX(IF(CallPut=1,UndTree!AE9-Strike,Strike-UndTree!AE9),0),MAX((2-AmEur)*IF(CallPut=1,UndTree!AE9-Strike,Strike-UndTree!AE9),(UpProb*AF9+DownProb*AF10)*StepDiscount)))</f>
        <v>57.451509156597304</v>
      </c>
      <c r="AF9" s="17">
        <f>IF(AF$3="","",IF(AF$3=Steps,MAX(IF(CallPut=1,UndTree!AF9-Strike,Strike-UndTree!AF9),0),MAX((2-AmEur)*IF(CallPut=1,UndTree!AF9-Strike,Strike-UndTree!AF9),(UpProb*AG9+DownProb*AG10)*StepDiscount)))</f>
        <v>61.916181703476276</v>
      </c>
      <c r="AG9" s="17">
        <f>IF(AG$3="","",IF(AG$3=Steps,MAX(IF(CallPut=1,UndTree!AG9-Strike,Strike-UndTree!AG9),0),MAX((2-AmEur)*IF(CallPut=1,UndTree!AG9-Strike,Strike-UndTree!AG9),(UpProb*AH9+DownProb*AH10)*StepDiscount)))</f>
        <v>66.54973482704294</v>
      </c>
      <c r="AH9" s="17">
        <f>IF(AH$3="","",IF(AH$3=Steps,MAX(IF(CallPut=1,UndTree!AH9-Strike,Strike-UndTree!AH9),0),MAX((2-AmEur)*IF(CallPut=1,UndTree!AH9-Strike,Strike-UndTree!AH9),(UpProb*AI9+DownProb*AI10)*StepDiscount)))</f>
        <v>71.351007796457964</v>
      </c>
      <c r="AI9" s="17">
        <f>IF(AI$3="","",IF(AI$3=Steps,MAX(IF(CallPut=1,UndTree!AI9-Strike,Strike-UndTree!AI9),0),MAX((2-AmEur)*IF(CallPut=1,UndTree!AI9-Strike,Strike-UndTree!AI9),(UpProb*AJ9+DownProb*AJ10)*StepDiscount)))</f>
        <v>76.319603267023922</v>
      </c>
      <c r="AJ9" s="17">
        <f>IF(AJ$3="","",IF(AJ$3=Steps,MAX(IF(CallPut=1,UndTree!AJ9-Strike,Strike-UndTree!AJ9),0),MAX((2-AmEur)*IF(CallPut=1,UndTree!AJ9-Strike,Strike-UndTree!AJ9),(UpProb*AK9+DownProb*AK10)*StepDiscount)))</f>
        <v>81.455924332081835</v>
      </c>
      <c r="AK9" s="17">
        <f>IF(AK$3="","",IF(AK$3=Steps,MAX(IF(CallPut=1,UndTree!AK9-Strike,Strike-UndTree!AK9),0),MAX((2-AmEur)*IF(CallPut=1,UndTree!AK9-Strike,Strike-UndTree!AK9),(UpProb*AL9+DownProb*AL10)*StepDiscount)))</f>
        <v>86.761176207579283</v>
      </c>
      <c r="AL9" s="17">
        <f>IF(AL$3="","",IF(AL$3=Steps,MAX(IF(CallPut=1,UndTree!AL9-Strike,Strike-UndTree!AL9),0),MAX((2-AmEur)*IF(CallPut=1,UndTree!AL9-Strike,Strike-UndTree!AL9),(UpProb*AM9+DownProb*AM10)*StepDiscount)))</f>
        <v>92.237338206524441</v>
      </c>
      <c r="AM9" s="17">
        <f>IF(AM$3="","",IF(AM$3=Steps,MAX(IF(CallPut=1,UndTree!AM9-Strike,Strike-UndTree!AM9),0),MAX((2-AmEur)*IF(CallPut=1,UndTree!AM9-Strike,Strike-UndTree!AM9),(UpProb*AN9+DownProb*AN10)*StepDiscount)))</f>
        <v>97.887113060165547</v>
      </c>
      <c r="AN9" s="17">
        <f>IF(AN$3="","",IF(AN$3=Steps,MAX(IF(CallPut=1,UndTree!AN9-Strike,Strike-UndTree!AN9),0),MAX((2-AmEur)*IF(CallPut=1,UndTree!AN9-Strike,Strike-UndTree!AN9),(UpProb*AO9+DownProb*AO10)*StepDiscount)))</f>
        <v>103.7138612326027</v>
      </c>
      <c r="AO9" s="17">
        <f>IF(AO$3="","",IF(AO$3=Steps,MAX(IF(CallPut=1,UndTree!AO9-Strike,Strike-UndTree!AO9),0),MAX((2-AmEur)*IF(CallPut=1,UndTree!AO9-Strike,Strike-UndTree!AO9),(UpProb*AP9+DownProb*AP10)*StepDiscount)))</f>
        <v>109.72152768671651</v>
      </c>
      <c r="AP9" s="17">
        <f>IF(AP$3="","",IF(AP$3=Steps,MAX(IF(CallPut=1,UndTree!AP9-Strike,Strike-UndTree!AP9),0),MAX((2-AmEur)*IF(CallPut=1,UndTree!AP9-Strike,Strike-UndTree!AP9),(UpProb*AQ9+DownProb*AQ10)*StepDiscount)))</f>
        <v>115.91456771456585</v>
      </c>
      <c r="AQ9" s="17">
        <f>IF(AQ$3="","",IF(AQ$3=Steps,MAX(IF(CallPut=1,UndTree!AQ9-Strike,Strike-UndTree!AQ9),0),MAX((2-AmEur)*IF(CallPut=1,UndTree!AQ9-Strike,Strike-UndTree!AQ9),(UpProb*AR9+DownProb*AR10)*StepDiscount)))</f>
        <v>122.29787713421257</v>
      </c>
      <c r="AR9" s="17">
        <f>IF(AR$3="","",IF(AR$3=Steps,MAX(IF(CallPut=1,UndTree!AR9-Strike,Strike-UndTree!AR9),0),MAX((2-AmEur)*IF(CallPut=1,UndTree!AR9-Strike,Strike-UndTree!AR9),(UpProb*AS9+DownProb*AS10)*StepDiscount)))</f>
        <v>128.87673059974307</v>
      </c>
      <c r="AS9" s="17">
        <f>IF(AS$3="","",IF(AS$3=Steps,MAX(IF(CallPut=1,UndTree!AS9-Strike,Strike-UndTree!AS9),0),MAX((2-AmEur)*IF(CallPut=1,UndTree!AS9-Strike,Strike-UndTree!AS9),(UpProb*AT9+DownProb*AT10)*StepDiscount)))</f>
        <v>135.6567301916609</v>
      </c>
      <c r="AT9" s="17">
        <f>IF(AT$3="","",IF(AT$3=Steps,MAX(IF(CallPut=1,UndTree!AT9-Strike,Strike-UndTree!AT9),0),MAX((2-AmEur)*IF(CallPut=1,UndTree!AT9-Strike,Strike-UndTree!AT9),(UpProb*AU9+DownProb*AU10)*StepDiscount)))</f>
        <v>142.64376503593149</v>
      </c>
      <c r="AU9" s="17">
        <f>IF(AU$3="","",IF(AU$3=Steps,MAX(IF(CallPut=1,UndTree!AU9-Strike,Strike-UndTree!AU9),0),MAX((2-AmEur)*IF(CallPut=1,UndTree!AU9-Strike,Strike-UndTree!AU9),(UpProb*AV9+DownProb*AV10)*StepDiscount)))</f>
        <v>149.84398157041034</v>
      </c>
      <c r="AV9" s="17">
        <f>IF(AV$3="","",IF(AV$3=Steps,MAX(IF(CallPut=1,UndTree!AV9-Strike,Strike-UndTree!AV9),0),MAX((2-AmEur)*IF(CallPut=1,UndTree!AV9-Strike,Strike-UndTree!AV9),(UpProb*AW9+DownProb*AW10)*StepDiscount)))</f>
        <v>157.26376329995102</v>
      </c>
      <c r="AW9" s="17">
        <f>IF(AW$3="","",IF(AW$3=Steps,MAX(IF(CallPut=1,UndTree!AW9-Strike,Strike-UndTree!AW9),0),MAX((2-AmEur)*IF(CallPut=1,UndTree!AW9-Strike,Strike-UndTree!AW9),(UpProb*AX9+DownProb*AX10)*StepDiscount)))</f>
        <v>164.90971845639314</v>
      </c>
      <c r="AX9" s="17">
        <f>IF(AX$3="","",IF(AX$3=Steps,MAX(IF(CallPut=1,UndTree!AX9-Strike,Strike-UndTree!AX9),0),MAX((2-AmEur)*IF(CallPut=1,UndTree!AX9-Strike,Strike-UndTree!AX9),(UpProb*AY9+DownProb*AY10)*StepDiscount)))</f>
        <v>172.78867385807541</v>
      </c>
      <c r="AY9" s="17">
        <f>IF(AY$3="","",IF(AY$3=Steps,MAX(IF(CallPut=1,UndTree!AY9-Strike,Strike-UndTree!AY9),0),MAX((2-AmEur)*IF(CallPut=1,UndTree!AY9-Strike,Strike-UndTree!AY9),(UpProb*AZ9+DownProb*AZ10)*StepDiscount)))</f>
        <v>180.90767336710246</v>
      </c>
      <c r="AZ9" s="17">
        <f>IF(AZ$3="","",IF(AZ$3=Steps,MAX(IF(CallPut=1,UndTree!AZ9-Strike,Strike-UndTree!AZ9),0),MAX((2-AmEur)*IF(CallPut=1,UndTree!AZ9-Strike,Strike-UndTree!AZ9),(UpProb*BA9+DownProb*BA10)*StepDiscount)))</f>
        <v>189.27397958366089</v>
      </c>
      <c r="BA9" s="17">
        <f>IF(BA$3="","",IF(BA$3=Steps,MAX(IF(CallPut=1,UndTree!BA9-Strike,Strike-UndTree!BA9),0),MAX((2-AmEur)*IF(CallPut=1,UndTree!BA9-Strike,Strike-UndTree!BA9),(UpProb*BB9+DownProb*BB10)*StepDiscount)))</f>
        <v>197.89507771536125</v>
      </c>
      <c r="BB9" s="17">
        <f>IF(BB$3="","",IF(BB$3=Steps,MAX(IF(CallPut=1,UndTree!BB9-Strike,Strike-UndTree!BB9),0),MAX((2-AmEur)*IF(CallPut=1,UndTree!BB9-Strike,Strike-UndTree!BB9),(UpProb*BC9+DownProb*BC10)*StepDiscount)))</f>
        <v>206.77868085479798</v>
      </c>
      <c r="BC9" s="17">
        <f>IF(BC$3="","",IF(BC$3=Steps,MAX(IF(CallPut=1,UndTree!BC9-Strike,Strike-UndTree!BC9),0),MAX((2-AmEur)*IF(CallPut=1,UndTree!BC9-Strike,Strike-UndTree!BC9),(UpProb*BD9+DownProb*BD10)*StepDiscount)))</f>
        <v>215.93273615219113</v>
      </c>
      <c r="BD9" s="17">
        <f>IF(BD$3="","",IF(BD$3=Steps,MAX(IF(CallPut=1,UndTree!BD9-Strike,Strike-UndTree!BD9),0),MAX((2-AmEur)*IF(CallPut=1,UndTree!BD9-Strike,Strike-UndTree!BD9),(UpProb*BE9+DownProb*BE10)*StepDiscount)))</f>
        <v>225.36543156548254</v>
      </c>
      <c r="BE9" s="17">
        <f>IF(BE$3="","",IF(BE$3=Steps,MAX(IF(CallPut=1,UndTree!BE9-Strike,Strike-UndTree!BE9),0),MAX((2-AmEur)*IF(CallPut=1,UndTree!BE9-Strike,Strike-UndTree!BE9),(UpProb*BF9+DownProb*BF10)*StepDiscount)))</f>
        <v>235.08520300718357</v>
      </c>
      <c r="BF9" s="17">
        <f>IF(BF$3="","",IF(BF$3=Steps,MAX(IF(CallPut=1,UndTree!BF9-Strike,Strike-UndTree!BF9),0),MAX((2-AmEur)*IF(CallPut=1,UndTree!BF9-Strike,Strike-UndTree!BF9),(UpProb*BG9+DownProb*BG10)*StepDiscount)))</f>
        <v>245.10074179484502</v>
      </c>
      <c r="BG9" s="17">
        <f>IF(BG$3="","",IF(BG$3=Steps,MAX(IF(CallPut=1,UndTree!BG9-Strike,Strike-UndTree!BG9),0),MAX((2-AmEur)*IF(CallPut=1,UndTree!BG9-Strike,Strike-UndTree!BG9),(UpProb*BH9+DownProb*BH10)*StepDiscount)))</f>
        <v>255.42100236318657</v>
      </c>
      <c r="BH9" s="17">
        <f>IF(BH$3="","",IF(BH$3=Steps,MAX(IF(CallPut=1,UndTree!BH9-Strike,Strike-UndTree!BH9),0),MAX((2-AmEur)*IF(CallPut=1,UndTree!BH9-Strike,Strike-UndTree!BH9),(UpProb*BI9+DownProb*BI10)*StepDiscount)))</f>
        <v>266.05521022317333</v>
      </c>
      <c r="BI9" s="17">
        <f>IF(BI$3="","",IF(BI$3=Steps,MAX(IF(CallPut=1,UndTree!BI9-Strike,Strike-UndTree!BI9),0),MAX((2-AmEur)*IF(CallPut=1,UndTree!BI9-Strike,Strike-UndTree!BI9),(UpProb*BJ9+DownProb*BJ10)*StepDiscount)))</f>
        <v>277.01287016650571</v>
      </c>
      <c r="BJ9" s="17">
        <f>IF(BJ$3="","",IF(BJ$3=Steps,MAX(IF(CallPut=1,UndTree!BJ9-Strike,Strike-UndTree!BJ9),0),MAX((2-AmEur)*IF(CallPut=1,UndTree!BJ9-Strike,Strike-UndTree!BJ9),(UpProb*BK9+DownProb*BK10)*StepDiscount)))</f>
        <v>288.30377471977192</v>
      </c>
      <c r="BK9" s="17">
        <f>IF(BK$3="","",IF(BK$3=Steps,MAX(IF(CallPut=1,UndTree!BK9-Strike,Strike-UndTree!BK9),0),MAX((2-AmEur)*IF(CallPut=1,UndTree!BK9-Strike,Strike-UndTree!BK9),(UpProb*BL9+DownProb*BL10)*StepDiscount)))</f>
        <v>299.93801285484653</v>
      </c>
      <c r="BL9" s="17">
        <f>IF(BL$3="","",IF(BL$3=Steps,MAX(IF(CallPut=1,UndTree!BL9-Strike,Strike-UndTree!BL9),0),MAX((2-AmEur)*IF(CallPut=1,UndTree!BL9-Strike,Strike-UndTree!BL9),(UpProb*BM9+DownProb*BM10)*StepDiscount)))</f>
        <v>311.92597896303755</v>
      </c>
      <c r="BM9" s="17">
        <f>IF(BM$3="","",IF(BM$3=Steps,MAX(IF(CallPut=1,UndTree!BM9-Strike,Strike-UndTree!BM9),0),MAX((2-AmEur)*IF(CallPut=1,UndTree!BM9-Strike,Strike-UndTree!BM9),(UpProb*BN9+DownProb*BN10)*StepDiscount)))</f>
        <v>324.27838210091437</v>
      </c>
      <c r="BN9" s="17">
        <f>IF(BN$3="","",IF(BN$3=Steps,MAX(IF(CallPut=1,UndTree!BN9-Strike,Strike-UndTree!BN9),0),MAX((2-AmEur)*IF(CallPut=1,UndTree!BN9-Strike,Strike-UndTree!BN9),(UpProb*BO9+DownProb*BO10)*StepDiscount)))</f>
        <v>337.00625551603071</v>
      </c>
      <c r="BO9" s="17">
        <f>IF(BO$3="","",IF(BO$3=Steps,MAX(IF(CallPut=1,UndTree!BO9-Strike,Strike-UndTree!BO9),0),MAX((2-AmEur)*IF(CallPut=1,UndTree!BO9-Strike,Strike-UndTree!BO9),(UpProb*BP9+DownProb*BP10)*StepDiscount)))</f>
        <v>350.12096646101605</v>
      </c>
      <c r="BP9" s="17">
        <f>IF(BP$3="","",IF(BP$3=Steps,MAX(IF(CallPut=1,UndTree!BP9-Strike,Strike-UndTree!BP9),0),MAX((2-AmEur)*IF(CallPut=1,UndTree!BP9-Strike,Strike-UndTree!BP9),(UpProb*BQ9+DownProb*BQ10)*StepDiscount)))</f>
        <v>363.63422630476504</v>
      </c>
      <c r="BQ9" s="17">
        <f>IF(BQ$3="","",IF(BQ$3=Steps,MAX(IF(CallPut=1,UndTree!BQ9-Strike,Strike-UndTree!BQ9),0),MAX((2-AmEur)*IF(CallPut=1,UndTree!BQ9-Strike,Strike-UndTree!BQ9),(UpProb*BR9+DownProb*BR10)*StepDiscount)))</f>
        <v>377.55810094971787</v>
      </c>
      <c r="BR9" s="17">
        <f>IF(BR$3="","",IF(BR$3=Steps,MAX(IF(CallPut=1,UndTree!BR9-Strike,Strike-UndTree!BR9),0),MAX((2-AmEur)*IF(CallPut=1,UndTree!BR9-Strike,Strike-UndTree!BR9),(UpProb*BS9+DownProb*BS10)*StepDiscount)))</f>
        <v>391.90502156449872</v>
      </c>
      <c r="BS9" s="17">
        <f>IF(BS$3="","",IF(BS$3=Steps,MAX(IF(CallPut=1,UndTree!BS9-Strike,Strike-UndTree!BS9),0),MAX((2-AmEur)*IF(CallPut=1,UndTree!BS9-Strike,Strike-UndTree!BS9),(UpProb*BT9+DownProb*BT10)*StepDiscount)))</f>
        <v>406.68779564145888</v>
      </c>
      <c r="BT9" s="17">
        <f>IF(BT$3="","",IF(BT$3=Steps,MAX(IF(CallPut=1,UndTree!BT9-Strike,Strike-UndTree!BT9),0),MAX((2-AmEur)*IF(CallPut=1,UndTree!BT9-Strike,Strike-UndTree!BT9),(UpProb*BU9+DownProb*BU10)*StepDiscount)))</f>
        <v>421.91961838895907</v>
      </c>
      <c r="BU9" s="17">
        <f>IF(BU$3="","",IF(BU$3=Steps,MAX(IF(CallPut=1,UndTree!BU9-Strike,Strike-UndTree!BU9),0),MAX((2-AmEur)*IF(CallPut=1,UndTree!BU9-Strike,Strike-UndTree!BU9),(UpProb*BV9+DownProb*BV10)*StepDiscount)))</f>
        <v>437.61408446852681</v>
      </c>
      <c r="BV9" s="17">
        <f>IF(BV$3="","",IF(BV$3=Steps,MAX(IF(CallPut=1,UndTree!BV9-Strike,Strike-UndTree!BV9),0),MAX((2-AmEur)*IF(CallPut=1,UndTree!BV9-Strike,Strike-UndTree!BV9),(UpProb*BW9+DownProb*BW10)*StepDiscount)))</f>
        <v>453.78520008732607</v>
      </c>
      <c r="BW9" s="17">
        <f>IF(BW$3="","",IF(BW$3=Steps,MAX(IF(CallPut=1,UndTree!BW9-Strike,Strike-UndTree!BW9),0),MAX((2-AmEur)*IF(CallPut=1,UndTree!BW9-Strike,Strike-UndTree!BW9),(UpProb*BX9+DownProb*BX10)*StepDiscount)))</f>
        <v>470.4473954566979</v>
      </c>
      <c r="BX9" s="17">
        <f>IF(BX$3="","",IF(BX$3=Steps,MAX(IF(CallPut=1,UndTree!BX9-Strike,Strike-UndTree!BX9),0),MAX((2-AmEur)*IF(CallPut=1,UndTree!BX9-Strike,Strike-UndTree!BX9),(UpProb*BY9+DownProb*BY10)*StepDiscount)))</f>
        <v>487.61553762785275</v>
      </c>
      <c r="BY9" s="17">
        <f>IF(BY$3="","",IF(BY$3=Steps,MAX(IF(CallPut=1,UndTree!BY9-Strike,Strike-UndTree!BY9),0),MAX((2-AmEur)*IF(CallPut=1,UndTree!BY9-Strike,Strike-UndTree!BY9),(UpProb*BZ9+DownProb*BZ10)*StepDiscount)))</f>
        <v>505.30494371613162</v>
      </c>
      <c r="BZ9" s="17">
        <f>IF(BZ$3="","",IF(BZ$3=Steps,MAX(IF(CallPut=1,UndTree!BZ9-Strike,Strike-UndTree!BZ9),0),MAX((2-AmEur)*IF(CallPut=1,UndTree!BZ9-Strike,Strike-UndTree!BZ9),(UpProb*CA9+DownProb*CA10)*StepDiscount)))</f>
        <v>523.53139452560015</v>
      </c>
      <c r="CA9" s="17">
        <f>IF(CA$3="","",IF(CA$3=Steps,MAX(IF(CallPut=1,UndTree!CA9-Strike,Strike-UndTree!CA9),0),MAX((2-AmEur)*IF(CallPut=1,UndTree!CA9-Strike,Strike-UndTree!CA9),(UpProb*CB9+DownProb*CB10)*StepDiscount)))</f>
        <v>542.31114858609328</v>
      </c>
      <c r="CB9" s="17">
        <f>IF(CB$3="","",IF(CB$3=Steps,MAX(IF(CallPut=1,UndTree!CB9-Strike,Strike-UndTree!CB9),0),MAX((2-AmEur)*IF(CallPut=1,UndTree!CB9-Strike,Strike-UndTree!CB9),(UpProb*CC9+DownProb*CC10)*StepDiscount)))</f>
        <v>561.66095661519762</v>
      </c>
      <c r="CC9" s="17">
        <f>IF(CC$3="","",IF(CC$3=Steps,MAX(IF(CallPut=1,UndTree!CC9-Strike,Strike-UndTree!CC9),0),MAX((2-AmEur)*IF(CallPut=1,UndTree!CC9-Strike,Strike-UndTree!CC9),(UpProb*CD9+DownProb*CD10)*StepDiscount)))</f>
        <v>581.59807641803513</v>
      </c>
      <c r="CD9" s="17">
        <f>IF(CD$3="","",IF(CD$3=Steps,MAX(IF(CallPut=1,UndTree!CD9-Strike,Strike-UndTree!CD9),0),MAX((2-AmEur)*IF(CallPut=1,UndTree!CD9-Strike,Strike-UndTree!CD9),(UpProb*CE9+DownProb*CE10)*StepDiscount)))</f>
        <v>602.14028823810133</v>
      </c>
      <c r="CE9" s="17">
        <f>IF(CE$3="","",IF(CE$3=Steps,MAX(IF(CallPut=1,UndTree!CE9-Strike,Strike-UndTree!CE9),0),MAX((2-AmEur)*IF(CallPut=1,UndTree!CE9-Strike,Strike-UndTree!CE9),(UpProb*CF9+DownProb*CF10)*StepDiscount)))</f>
        <v>623.30591057281276</v>
      </c>
      <c r="CF9" s="17">
        <f>IF(CF$3="","",IF(CF$3=Steps,MAX(IF(CallPut=1,UndTree!CF9-Strike,Strike-UndTree!CF9),0),MAX((2-AmEur)*IF(CallPut=1,UndTree!CF9-Strike,Strike-UndTree!CF9),(UpProb*CG9+DownProb*CG10)*StepDiscount)))</f>
        <v>645.1138164678315</v>
      </c>
      <c r="CG9" s="17">
        <f>IF(CG$3="","",IF(CG$3=Steps,MAX(IF(CallPut=1,UndTree!CG9-Strike,Strike-UndTree!CG9),0),MAX((2-AmEur)*IF(CallPut=1,UndTree!CG9-Strike,Strike-UndTree!CG9),(UpProb*CH9+DownProb*CH10)*StepDiscount)))</f>
        <v>667.58345030466103</v>
      </c>
      <c r="CH9" s="17">
        <f>IF(CH$3="","",IF(CH$3=Steps,MAX(IF(CallPut=1,UndTree!CH9-Strike,Strike-UndTree!CH9),0),MAX((2-AmEur)*IF(CallPut=1,UndTree!CH9-Strike,Strike-UndTree!CH9),(UpProb*CI9+DownProb*CI10)*StepDiscount)))</f>
        <v>690.73484509644447</v>
      </c>
      <c r="CI9" s="17">
        <f>IF(CI$3="","",IF(CI$3=Steps,MAX(IF(CallPut=1,UndTree!CI9-Strike,Strike-UndTree!CI9),0),MAX((2-AmEur)*IF(CallPut=1,UndTree!CI9-Strike,Strike-UndTree!CI9),(UpProb*CJ9+DownProb*CJ10)*StepDiscount)))</f>
        <v>714.5886403073514</v>
      </c>
      <c r="CJ9" s="17">
        <f>IF(CJ$3="","",IF(CJ$3=Steps,MAX(IF(CallPut=1,UndTree!CJ9-Strike,Strike-UndTree!CJ9),0),MAX((2-AmEur)*IF(CallPut=1,UndTree!CJ9-Strike,Strike-UndTree!CJ9),(UpProb*CK9+DownProb*CK10)*StepDiscount)))</f>
        <v>739.16610021140377</v>
      </c>
      <c r="CK9" s="17">
        <f>IF(CK$3="","",IF(CK$3=Steps,MAX(IF(CallPut=1,UndTree!CK9-Strike,Strike-UndTree!CK9),0),MAX((2-AmEur)*IF(CallPut=1,UndTree!CK9-Strike,Strike-UndTree!CK9),(UpProb*CL9+DownProb*CL10)*StepDiscount)))</f>
        <v>764.4891328070704</v>
      </c>
      <c r="CL9" s="17">
        <f>IF(CL$3="","",IF(CL$3=Steps,MAX(IF(CallPut=1,UndTree!CL9-Strike,Strike-UndTree!CL9),0),MAX((2-AmEur)*IF(CallPut=1,UndTree!CL9-Strike,Strike-UndTree!CL9),(UpProb*CM9+DownProb*CM10)*StepDiscount)))</f>
        <v>790.58030930445523</v>
      </c>
      <c r="CM9" s="17">
        <f>IF(CM$3="","",IF(CM$3=Steps,MAX(IF(CallPut=1,UndTree!CM9-Strike,Strike-UndTree!CM9),0),MAX((2-AmEur)*IF(CallPut=1,UndTree!CM9-Strike,Strike-UndTree!CM9),(UpProb*CN9+DownProb*CN10)*StepDiscount)))</f>
        <v>817.46288420241387</v>
      </c>
      <c r="CN9" s="17">
        <f>IF(CN$3="","",IF(CN$3=Steps,MAX(IF(CallPut=1,UndTree!CN9-Strike,Strike-UndTree!CN9),0),MAX((2-AmEur)*IF(CallPut=1,UndTree!CN9-Strike,Strike-UndTree!CN9),(UpProb*CO9+DownProb*CO10)*StepDiscount)))</f>
        <v>845.16081597345533</v>
      </c>
      <c r="CO9" s="17">
        <f>IF(CO$3="","",IF(CO$3=Steps,MAX(IF(CallPut=1,UndTree!CO9-Strike,Strike-UndTree!CO9),0),MAX((2-AmEur)*IF(CallPut=1,UndTree!CO9-Strike,Strike-UndTree!CO9),(UpProb*CP9+DownProb*CP10)*StepDiscount)))</f>
        <v>873.69878837482645</v>
      </c>
      <c r="CP9" s="17">
        <f>IF(CP$3="","",IF(CP$3=Steps,MAX(IF(CallPut=1,UndTree!CP9-Strike,Strike-UndTree!CP9),0),MAX((2-AmEur)*IF(CallPut=1,UndTree!CP9-Strike,Strike-UndTree!CP9),(UpProb*CQ9+DownProb*CQ10)*StepDiscount)))</f>
        <v>903.10223240473533</v>
      </c>
      <c r="CQ9" s="17">
        <f>IF(CQ$3="","",IF(CQ$3=Steps,MAX(IF(CallPut=1,UndTree!CQ9-Strike,Strike-UndTree!CQ9),0),MAX((2-AmEur)*IF(CallPut=1,UndTree!CQ9-Strike,Strike-UndTree!CQ9),(UpProb*CR9+DownProb*CR10)*StepDiscount)))</f>
        <v>933.39734892324213</v>
      </c>
      <c r="CR9" s="17">
        <f>IF(CR$3="","",IF(CR$3=Steps,MAX(IF(CallPut=1,UndTree!CR9-Strike,Strike-UndTree!CR9),0),MAX((2-AmEur)*IF(CallPut=1,UndTree!CR9-Strike,Strike-UndTree!CR9),(UpProb*CS9+DownProb*CS10)*StepDiscount)))</f>
        <v>964.6111319579411</v>
      </c>
      <c r="CS9" s="17">
        <f>IF(CS$3="","",IF(CS$3=Steps,MAX(IF(CallPut=1,UndTree!CS9-Strike,Strike-UndTree!CS9),0),MAX((2-AmEur)*IF(CallPut=1,UndTree!CS9-Strike,Strike-UndTree!CS9),(UpProb*CT9+DownProb*CT10)*StepDiscount)))</f>
        <v>996.77139271516728</v>
      </c>
      <c r="CT9" s="17">
        <f>IF(CT$3="","",IF(CT$3=Steps,MAX(IF(CallPut=1,UndTree!CT9-Strike,Strike-UndTree!CT9),0),MAX((2-AmEur)*IF(CallPut=1,UndTree!CT9-Strike,Strike-UndTree!CT9),(UpProb*CU9+DownProb*CU10)*StepDiscount)))</f>
        <v>1029.9067843180924</v>
      </c>
      <c r="CU9" s="17">
        <f>IF(CU$3="","",IF(CU$3=Steps,MAX(IF(CallPut=1,UndTree!CU9-Strike,Strike-UndTree!CU9),0),MAX((2-AmEur)*IF(CallPut=1,UndTree!CU9-Strike,Strike-UndTree!CU9),(UpProb*CV9+DownProb*CV10)*StepDiscount)))</f>
        <v>1064.0468272937155</v>
      </c>
      <c r="CV9" s="17">
        <f>IF(CV$3="","",IF(CV$3=Steps,MAX(IF(CallPut=1,UndTree!CV9-Strike,Strike-UndTree!CV9),0),MAX((2-AmEur)*IF(CallPut=1,UndTree!CV9-Strike,Strike-UndTree!CV9),(UpProb*CW9+DownProb*CW10)*StepDiscount)))</f>
        <v>1099.2219358314123</v>
      </c>
      <c r="CW9" s="17">
        <f>IF(CW$3="","",IF(CW$3=Steps,MAX(IF(CallPut=1,UndTree!CW9-Strike,Strike-UndTree!CW9),0),MAX((2-AmEur)*IF(CallPut=1,UndTree!CW9-Strike,Strike-UndTree!CW9),(UpProb*CX9+DownProb*CX10)*StepDiscount)))</f>
        <v>1135.4634448363838</v>
      </c>
      <c r="CX9" s="17">
        <f>IF(CX$3="","",IF(CX$3=Steps,MAX(IF(CallPut=1,UndTree!CX9-Strike,Strike-UndTree!CX9),0),MAX((2-AmEur)*IF(CallPut=1,UndTree!CX9-Strike,Strike-UndTree!CX9),(UpProb*CY9+DownProb*CY10)*StepDiscount)))</f>
        <v>1172.8036378020424</v>
      </c>
      <c r="CY9" s="17">
        <f>IF(CY$3="","",IF(CY$3=Steps,MAX(IF(CallPut=1,UndTree!CY9-Strike,Strike-UndTree!CY9),0),MAX((2-AmEur)*IF(CallPut=1,UndTree!CY9-Strike,Strike-UndTree!CY9),(UpProb*CZ9+DownProb*CZ10)*StepDiscount)))</f>
        <v>1211.2757755261218</v>
      </c>
      <c r="CZ9" s="17">
        <f>IF(CZ$3="","",IF(CZ$3=Steps,MAX(IF(CallPut=1,UndTree!CZ9-Strike,Strike-UndTree!CZ9),0),MAX((2-AmEur)*IF(CallPut=1,UndTree!CZ9-Strike,Strike-UndTree!CZ9),(UpProb*DA9+DownProb*DA10)*StepDiscount)))</f>
        <v>1250.9141256961755</v>
      </c>
      <c r="DA9" s="17">
        <f>IF(DA$3="","",IF(DA$3=Steps,MAX(IF(CallPut=1,UndTree!DA9-Strike,Strike-UndTree!DA9),0),MAX((2-AmEur)*IF(CallPut=1,UndTree!DA9-Strike,Strike-UndTree!DA9),(UpProb*DB9+DownProb*DB10)*StepDiscount)))</f>
        <v>1291.7539933711826</v>
      </c>
      <c r="DB9" s="17">
        <f>IF(DB$3="","",IF(DB$3=Steps,MAX(IF(CallPut=1,UndTree!DB9-Strike,Strike-UndTree!DB9),0),MAX((2-AmEur)*IF(CallPut=1,UndTree!DB9-Strike,Strike-UndTree!DB9),(UpProb*DC9+DownProb*DC10)*StepDiscount)))</f>
        <v>1333.8317523866001</v>
      </c>
    </row>
    <row r="10" spans="1:106" x14ac:dyDescent="0.2">
      <c r="A10">
        <f>ExDivTree!A10</f>
        <v>1267339920.0000002</v>
      </c>
      <c r="B10" s="71">
        <f>ExDivTree!B10</f>
        <v>4.9987745825696244E-22</v>
      </c>
      <c r="C10" s="71">
        <f>ExDivTree!C10</f>
        <v>6.3263987952836604E-22</v>
      </c>
      <c r="D10" s="177">
        <f>ExDivTree!D10</f>
        <v>6</v>
      </c>
      <c r="K10" s="17">
        <f>IF(K$3="","",IF(K$3=Steps,MAX(IF(CallPut=1,UndTree!K10-Strike,Strike-UndTree!K10),0),MAX((2-AmEur)*IF(CallPut=1,UndTree!K10-Strike,Strike-UndTree!K10),(UpProb*L10+DownProb*L11)*StepDiscount)))</f>
        <v>4.1180555077516052</v>
      </c>
      <c r="L10" s="17">
        <f>IF(L$3="","",IF(L$3=Steps,MAX(IF(CallPut=1,UndTree!L10-Strike,Strike-UndTree!L10),0),MAX((2-AmEur)*IF(CallPut=1,UndTree!L10-Strike,Strike-UndTree!L10),(UpProb*M10+DownProb*M11)*StepDiscount)))</f>
        <v>4.8704154452405133</v>
      </c>
      <c r="M10" s="17">
        <f>IF(M$3="","",IF(M$3=Steps,MAX(IF(CallPut=1,UndTree!M10-Strike,Strike-UndTree!M10),0),MAX((2-AmEur)*IF(CallPut=1,UndTree!M10-Strike,Strike-UndTree!M10),(UpProb*N10+DownProb*N11)*StepDiscount)))</f>
        <v>5.7322928599110607</v>
      </c>
      <c r="N10" s="17">
        <f>IF(N$3="","",IF(N$3=Steps,MAX(IF(CallPut=1,UndTree!N10-Strike,Strike-UndTree!N10),0),MAX((2-AmEur)*IF(CallPut=1,UndTree!N10-Strike,Strike-UndTree!N10),(UpProb*O10+DownProb*O11)*StepDiscount)))</f>
        <v>6.7139508802456396</v>
      </c>
      <c r="O10" s="17">
        <f>IF(O$3="","",IF(O$3=Steps,MAX(IF(CallPut=1,UndTree!O10-Strike,Strike-UndTree!O10),0),MAX((2-AmEur)*IF(CallPut=1,UndTree!O10-Strike,Strike-UndTree!O10),(UpProb*P10+DownProb*P11)*StepDiscount)))</f>
        <v>7.8255980902767028</v>
      </c>
      <c r="P10" s="17">
        <f>IF(P$3="","",IF(P$3=Steps,MAX(IF(CallPut=1,UndTree!P10-Strike,Strike-UndTree!P10),0),MAX((2-AmEur)*IF(CallPut=1,UndTree!P10-Strike,Strike-UndTree!P10),(UpProb*Q10+DownProb*Q11)*StepDiscount)))</f>
        <v>9.0772069874351935</v>
      </c>
      <c r="Q10" s="17">
        <f>IF(Q$3="","",IF(Q$3=Steps,MAX(IF(CallPut=1,UndTree!Q10-Strike,Strike-UndTree!Q10),0),MAX((2-AmEur)*IF(CallPut=1,UndTree!Q10-Strike,Strike-UndTree!Q10),(UpProb*R10+DownProb*R11)*StepDiscount)))</f>
        <v>10.478324137741557</v>
      </c>
      <c r="R10" s="17">
        <f>IF(R$3="","",IF(R$3=Steps,MAX(IF(CallPut=1,UndTree!R10-Strike,Strike-UndTree!R10),0),MAX((2-AmEur)*IF(CallPut=1,UndTree!R10-Strike,Strike-UndTree!R10),(UpProb*S10+DownProb*S11)*StepDiscount)))</f>
        <v>12.037879511269642</v>
      </c>
      <c r="S10" s="17">
        <f>IF(S$3="","",IF(S$3=Steps,MAX(IF(CallPut=1,UndTree!S10-Strike,Strike-UndTree!S10),0),MAX((2-AmEur)*IF(CallPut=1,UndTree!S10-Strike,Strike-UndTree!S10),(UpProb*T10+DownProb*T11)*StepDiscount)))</f>
        <v>13.764003516598699</v>
      </c>
      <c r="T10" s="17">
        <f>IF(T$3="","",IF(T$3=Steps,MAX(IF(CallPut=1,UndTree!T10-Strike,Strike-UndTree!T10),0),MAX((2-AmEur)*IF(CallPut=1,UndTree!T10-Strike,Strike-UndTree!T10),(UpProb*U10+DownProb*U11)*StepDiscount)))</f>
        <v>15.663860863464595</v>
      </c>
      <c r="U10" s="17">
        <f>IF(U$3="","",IF(U$3=Steps,MAX(IF(CallPut=1,UndTree!U10-Strike,Strike-UndTree!U10),0),MAX((2-AmEur)*IF(CallPut=1,UndTree!U10-Strike,Strike-UndTree!U10),(UpProb*V10+DownProb*V11)*StepDiscount)))</f>
        <v>17.74351045082048</v>
      </c>
      <c r="V10" s="17">
        <f>IF(V$3="","",IF(V$3=Steps,MAX(IF(CallPut=1,UndTree!V10-Strike,Strike-UndTree!V10),0),MAX((2-AmEur)*IF(CallPut=1,UndTree!V10-Strike,Strike-UndTree!V10),(UpProb*W10+DownProb*W11)*StepDiscount)))</f>
        <v>20.007799915499206</v>
      </c>
      <c r="W10" s="17">
        <f>IF(W$3="","",IF(W$3=Steps,MAX(IF(CallPut=1,UndTree!W10-Strike,Strike-UndTree!W10),0),MAX((2-AmEur)*IF(CallPut=1,UndTree!W10-Strike,Strike-UndTree!W10),(UpProb*X10+DownProb*X11)*StepDiscount)))</f>
        <v>22.460302241653739</v>
      </c>
      <c r="X10" s="17">
        <f>IF(X$3="","",IF(X$3=Steps,MAX(IF(CallPut=1,UndTree!X10-Strike,Strike-UndTree!X10),0),MAX((2-AmEur)*IF(CallPut=1,UndTree!X10-Strike,Strike-UndTree!X10),(UpProb*Y10+DownProb*Y11)*StepDiscount)))</f>
        <v>25.103299937300253</v>
      </c>
      <c r="Y10" s="17">
        <f>IF(Y$3="","",IF(Y$3=Steps,MAX(IF(CallPut=1,UndTree!Y10-Strike,Strike-UndTree!Y10),0),MAX((2-AmEur)*IF(CallPut=1,UndTree!Y10-Strike,Strike-UndTree!Y10),(UpProb*Z10+DownProb*Z11)*StepDiscount)))</f>
        <v>27.93781981110866</v>
      </c>
      <c r="Z10" s="17">
        <f>IF(Z$3="","",IF(Z$3=Steps,MAX(IF(CallPut=1,UndTree!Z10-Strike,Strike-UndTree!Z10),0),MAX((2-AmEur)*IF(CallPut=1,UndTree!Z10-Strike,Strike-UndTree!Z10),(UpProb*AA10+DownProb*AA11)*StepDiscount)))</f>
        <v>30.963718476709072</v>
      </c>
      <c r="AA10" s="17">
        <f>IF(AA$3="","",IF(AA$3=Steps,MAX(IF(CallPut=1,UndTree!AA10-Strike,Strike-UndTree!AA10),0),MAX((2-AmEur)*IF(CallPut=1,UndTree!AA10-Strike,Strike-UndTree!AA10),(UpProb*AB10+DownProb*AB11)*StepDiscount)))</f>
        <v>34.179815580797133</v>
      </c>
      <c r="AB10" s="17">
        <f>IF(AB$3="","",IF(AB$3=Steps,MAX(IF(CallPut=1,UndTree!AB10-Strike,Strike-UndTree!AB10),0),MAX((2-AmEur)*IF(CallPut=1,UndTree!AB10-Strike,Strike-UndTree!AB10),(UpProb*AC10+DownProb*AC11)*StepDiscount)))</f>
        <v>37.584068648985948</v>
      </c>
      <c r="AC10" s="17">
        <f>IF(AC$3="","",IF(AC$3=Steps,MAX(IF(CallPut=1,UndTree!AC10-Strike,Strike-UndTree!AC10),0),MAX((2-AmEur)*IF(CallPut=1,UndTree!AC10-Strike,Strike-UndTree!AC10),(UpProb*AD10+DownProb*AD11)*StepDiscount)))</f>
        <v>41.173780646706263</v>
      </c>
      <c r="AD10" s="17">
        <f>IF(AD$3="","",IF(AD$3=Steps,MAX(IF(CallPut=1,UndTree!AD10-Strike,Strike-UndTree!AD10),0),MAX((2-AmEur)*IF(CallPut=1,UndTree!AD10-Strike,Strike-UndTree!AD10),(UpProb*AE10+DownProb*AE11)*StepDiscount)))</f>
        <v>44.945829132652221</v>
      </c>
      <c r="AE10" s="17">
        <f>IF(AE$3="","",IF(AE$3=Steps,MAX(IF(CallPut=1,UndTree!AE10-Strike,Strike-UndTree!AE10),0),MAX((2-AmEur)*IF(CallPut=1,UndTree!AE10-Strike,Strike-UndTree!AE10),(UpProb*AF10+DownProb*AF11)*StepDiscount)))</f>
        <v>48.896904472302531</v>
      </c>
      <c r="AF10" s="17">
        <f>IF(AF$3="","",IF(AF$3=Steps,MAX(IF(CallPut=1,UndTree!AF10-Strike,Strike-UndTree!AF10),0),MAX((2-AmEur)*IF(CallPut=1,UndTree!AF10-Strike,Strike-UndTree!AF10),(UpProb*AG10+DownProb*AG11)*StepDiscount)))</f>
        <v>53.023744142572959</v>
      </c>
      <c r="AG10" s="17">
        <f>IF(AG$3="","",IF(AG$3=Steps,MAX(IF(CallPut=1,UndTree!AG10-Strike,Strike-UndTree!AG10),0),MAX((2-AmEur)*IF(CallPut=1,UndTree!AG10-Strike,Strike-UndTree!AG10),(UpProb*AH10+DownProb*AH11)*StepDiscount)))</f>
        <v>57.323350764615647</v>
      </c>
      <c r="AH10" s="17">
        <f>IF(AH$3="","",IF(AH$3=Steps,MAX(IF(CallPut=1,UndTree!AH10-Strike,Strike-UndTree!AH10),0),MAX((2-AmEur)*IF(CallPut=1,UndTree!AH10-Strike,Strike-UndTree!AH10),(UpProb*AI10+DownProb*AI11)*StepDiscount)))</f>
        <v>61.79318310931798</v>
      </c>
      <c r="AI10" s="17">
        <f>IF(AI$3="","",IF(AI$3=Steps,MAX(IF(CallPut=1,UndTree!AI10-Strike,Strike-UndTree!AI10),0),MAX((2-AmEur)*IF(CallPut=1,UndTree!AI10-Strike,Strike-UndTree!AI10),(UpProb*AJ10+DownProb*AJ11)*StepDiscount)))</f>
        <v>66.431311777168787</v>
      </c>
      <c r="AJ10" s="17">
        <f>IF(AJ$3="","",IF(AJ$3=Steps,MAX(IF(CallPut=1,UndTree!AJ10-Strike,Strike-UndTree!AJ10),0),MAX((2-AmEur)*IF(CallPut=1,UndTree!AJ10-Strike,Strike-UndTree!AJ10),(UpProb*AK10+DownProb*AK11)*StepDiscount)))</f>
        <v>71.236534311689368</v>
      </c>
      <c r="AK10" s="17">
        <f>IF(AK$3="","",IF(AK$3=Steps,MAX(IF(CallPut=1,UndTree!AK10-Strike,Strike-UndTree!AK10),0),MAX((2-AmEur)*IF(CallPut=1,UndTree!AK10-Strike,Strike-UndTree!AK10),(UpProb*AL10+DownProb*AL11)*StepDiscount)))</f>
        <v>76.208447845743777</v>
      </c>
      <c r="AL10" s="17">
        <f>IF(AL$3="","",IF(AL$3=Steps,MAX(IF(CallPut=1,UndTree!AL10-Strike,Strike-UndTree!AL10),0),MAX((2-AmEur)*IF(CallPut=1,UndTree!AL10-Strike,Strike-UndTree!AL10),(UpProb*AM10+DownProb*AM11)*StepDiscount)))</f>
        <v>81.347480655909735</v>
      </c>
      <c r="AM10" s="17">
        <f>IF(AM$3="","",IF(AM$3=Steps,MAX(IF(CallPut=1,UndTree!AM10-Strike,Strike-UndTree!AM10),0),MAX((2-AmEur)*IF(CallPut=1,UndTree!AM10-Strike,Strike-UndTree!AM10),(UpProb*AN10+DownProb*AN11)*StepDiscount)))</f>
        <v>86.654886881030578</v>
      </c>
      <c r="AN10" s="17">
        <f>IF(AN$3="","",IF(AN$3=Steps,MAX(IF(CallPut=1,UndTree!AN10-Strike,Strike-UndTree!AN10),0),MAX((2-AmEur)*IF(CallPut=1,UndTree!AN10-Strike,Strike-UndTree!AN10),(UpProb*AO10+DownProb*AO11)*StepDiscount)))</f>
        <v>92.132710876233944</v>
      </c>
      <c r="AO10" s="17">
        <f>IF(AO$3="","",IF(AO$3=Steps,MAX(IF(CallPut=1,UndTree!AO10-Strike,Strike-UndTree!AO10),0),MAX((2-AmEur)*IF(CallPut=1,UndTree!AO10-Strike,Strike-UndTree!AO10),(UpProb*AP10+DownProb*AP11)*StepDiscount)))</f>
        <v>97.783729047020117</v>
      </c>
      <c r="AP10" s="17">
        <f>IF(AP$3="","",IF(AP$3=Steps,MAX(IF(CallPut=1,UndTree!AP10-Strike,Strike-UndTree!AP10),0),MAX((2-AmEur)*IF(CallPut=1,UndTree!AP10-Strike,Strike-UndTree!AP10),(UpProb*AQ10+DownProb*AQ11)*StepDiscount)))</f>
        <v>103.61137747839891</v>
      </c>
      <c r="AQ10" s="17">
        <f>IF(AQ$3="","",IF(AQ$3=Steps,MAX(IF(CallPut=1,UndTree!AQ10-Strike,Strike-UndTree!AQ10),0),MAX((2-AmEur)*IF(CallPut=1,UndTree!AQ10-Strike,Strike-UndTree!AQ10),(UpProb*AR10+DownProb*AR11)*StepDiscount)))</f>
        <v>109.61967329736989</v>
      </c>
      <c r="AR10" s="17">
        <f>IF(AR$3="","",IF(AR$3=Steps,MAX(IF(CallPut=1,UndTree!AR10-Strike,Strike-UndTree!AR10),0),MAX((2-AmEur)*IF(CallPut=1,UndTree!AR10-Strike,Strike-UndTree!AR10),(UpProb*AS10+DownProb*AS11)*StepDiscount)))</f>
        <v>115.81313663975428</v>
      </c>
      <c r="AS10" s="17">
        <f>IF(AS$3="","",IF(AS$3=Steps,MAX(IF(CallPut=1,UndTree!AS10-Strike,Strike-UndTree!AS10),0),MAX((2-AmEur)*IF(CallPut=1,UndTree!AS10-Strike,Strike-UndTree!AS10),(UpProb*AT10+DownProb*AT11)*StepDiscount)))</f>
        <v>122.19671856009388</v>
      </c>
      <c r="AT10" s="17">
        <f>IF(AT$3="","",IF(AT$3=Steps,MAX(IF(CallPut=1,UndTree!AT10-Strike,Strike-UndTree!AT10),0),MAX((2-AmEur)*IF(CallPut=1,UndTree!AT10-Strike,Strike-UndTree!AT10),(UpProb*AU10+DownProb*AU11)*StepDiscount)))</f>
        <v>128.77573848051316</v>
      </c>
      <c r="AU10" s="17">
        <f>IF(AU$3="","",IF(AU$3=Steps,MAX(IF(CallPut=1,UndTree!AU10-Strike,Strike-UndTree!AU10),0),MAX((2-AmEur)*IF(CallPut=1,UndTree!AU10-Strike,Strike-UndTree!AU10),(UpProb*AV10+DownProb*AV11)*StepDiscount)))</f>
        <v>135.55583306316905</v>
      </c>
      <c r="AV10" s="17">
        <f>IF(AV$3="","",IF(AV$3=Steps,MAX(IF(CallPut=1,UndTree!AV10-Strike,Strike-UndTree!AV10),0),MAX((2-AmEur)*IF(CallPut=1,UndTree!AV10-Strike,Strike-UndTree!AV10),(UpProb*AW10+DownProb*AW11)*StepDiscount)))</f>
        <v>142.54291690618399</v>
      </c>
      <c r="AW10" s="17">
        <f>IF(AW$3="","",IF(AW$3=Steps,MAX(IF(CallPut=1,UndTree!AW10-Strike,Strike-UndTree!AW10),0),MAX((2-AmEur)*IF(CallPut=1,UndTree!AW10-Strike,Strike-UndTree!AW10),(UpProb*AX10+DownProb*AX11)*StepDiscount)))</f>
        <v>149.74315433049193</v>
      </c>
      <c r="AX10" s="17">
        <f>IF(AX$3="","",IF(AX$3=Steps,MAX(IF(CallPut=1,UndTree!AX10-Strike,Strike-UndTree!AX10),0),MAX((2-AmEur)*IF(CallPut=1,UndTree!AX10-Strike,Strike-UndTree!AX10),(UpProb*AY10+DownProb*AY11)*StepDiscount)))</f>
        <v>157.16294079432569</v>
      </c>
      <c r="AY10" s="17">
        <f>IF(AY$3="","",IF(AY$3=Steps,MAX(IF(CallPut=1,UndTree!AY10-Strike,Strike-UndTree!AY10),0),MAX((2-AmEur)*IF(CallPut=1,UndTree!AY10-Strike,Strike-UndTree!AY10),(UpProb*AZ10+DownProb*AZ11)*StepDiscount)))</f>
        <v>164.80889212405822</v>
      </c>
      <c r="AZ10" s="17">
        <f>IF(AZ$3="","",IF(AZ$3=Steps,MAX(IF(CallPut=1,UndTree!AZ10-Strike,Strike-UndTree!AZ10),0),MAX((2-AmEur)*IF(CallPut=1,UndTree!AZ10-Strike,Strike-UndTree!AZ10),(UpProb*BA10+DownProb*BA11)*StepDiscount)))</f>
        <v>172.68783971558702</v>
      </c>
      <c r="BA10" s="17">
        <f>IF(BA$3="","",IF(BA$3=Steps,MAX(IF(CallPut=1,UndTree!BA10-Strike,Strike-UndTree!BA10),0),MAX((2-AmEur)*IF(CallPut=1,UndTree!BA10-Strike,Strike-UndTree!BA10),(UpProb*BB10+DownProb*BB11)*StepDiscount)))</f>
        <v>180.80683004385185</v>
      </c>
      <c r="BB10" s="17">
        <f>IF(BB$3="","",IF(BB$3=Steps,MAX(IF(CallPut=1,UndTree!BB10-Strike,Strike-UndTree!BB10),0),MAX((2-AmEur)*IF(CallPut=1,UndTree!BB10-Strike,Strike-UndTree!BB10),(UpProb*BC10+DownProb*BC11)*StepDiscount)))</f>
        <v>189.17312712055809</v>
      </c>
      <c r="BC10" s="17">
        <f>IF(BC$3="","",IF(BC$3=Steps,MAX(IF(CallPut=1,UndTree!BC10-Strike,Strike-UndTree!BC10),0),MAX((2-AmEur)*IF(CallPut=1,UndTree!BC10-Strike,Strike-UndTree!BC10),(UpProb*BD10+DownProb*BD11)*StepDiscount)))</f>
        <v>197.79421687746765</v>
      </c>
      <c r="BD10" s="17">
        <f>IF(BD$3="","",IF(BD$3=Steps,MAX(IF(CallPut=1,UndTree!BD10-Strike,Strike-UndTree!BD10),0),MAX((2-AmEur)*IF(CallPut=1,UndTree!BD10-Strike,Strike-UndTree!BD10),(UpProb*BE10+DownProb*BE11)*StepDiscount)))</f>
        <v>206.67781276503209</v>
      </c>
      <c r="BE10" s="17">
        <f>IF(BE$3="","",IF(BE$3=Steps,MAX(IF(CallPut=1,UndTree!BE10-Strike,Strike-UndTree!BE10),0),MAX((2-AmEur)*IF(CallPut=1,UndTree!BE10-Strike,Strike-UndTree!BE10),(UpProb*BF10+DownProb*BF11)*StepDiscount)))</f>
        <v>215.83186211075287</v>
      </c>
      <c r="BF10" s="17">
        <f>IF(BF$3="","",IF(BF$3=Steps,MAX(IF(CallPut=1,UndTree!BF10-Strike,Strike-UndTree!BF10),0),MAX((2-AmEur)*IF(CallPut=1,UndTree!BF10-Strike,Strike-UndTree!BF10),(UpProb*BG10+DownProb*BG11)*StepDiscount)))</f>
        <v>225.26455296833635</v>
      </c>
      <c r="BG10" s="17">
        <f>IF(BG$3="","",IF(BG$3=Steps,MAX(IF(CallPut=1,UndTree!BG10-Strike,Strike-UndTree!BG10),0),MAX((2-AmEur)*IF(CallPut=1,UndTree!BG10-Strike,Strike-UndTree!BG10),(UpProb*BH10+DownProb*BH11)*StepDiscount)))</f>
        <v>234.98432131297679</v>
      </c>
      <c r="BH10" s="17">
        <f>IF(BH$3="","",IF(BH$3=Steps,MAX(IF(CallPut=1,UndTree!BH10-Strike,Strike-UndTree!BH10),0),MAX((2-AmEur)*IF(CallPut=1,UndTree!BH10-Strike,Strike-UndTree!BH10),(UpProb*BI10+DownProb*BI11)*StepDiscount)))</f>
        <v>244.99985851336641</v>
      </c>
      <c r="BI10" s="17">
        <f>IF(BI$3="","",IF(BI$3=Steps,MAX(IF(CallPut=1,UndTree!BI10-Strike,Strike-UndTree!BI10),0),MAX((2-AmEur)*IF(CallPut=1,UndTree!BI10-Strike,Strike-UndTree!BI10),(UpProb*BJ10+DownProb*BJ11)*StepDiscount)))</f>
        <v>255.32011905245452</v>
      </c>
      <c r="BJ10" s="17">
        <f>IF(BJ$3="","",IF(BJ$3=Steps,MAX(IF(CallPut=1,UndTree!BJ10-Strike,Strike-UndTree!BJ10),0),MAX((2-AmEur)*IF(CallPut=1,UndTree!BJ10-Strike,Strike-UndTree!BJ10),(UpProb*BK10+DownProb*BK11)*StepDiscount)))</f>
        <v>265.95432848960678</v>
      </c>
      <c r="BK10" s="17">
        <f>IF(BK$3="","",IF(BK$3=Steps,MAX(IF(CallPut=1,UndTree!BK10-Strike,Strike-UndTree!BK10),0),MAX((2-AmEur)*IF(CallPut=1,UndTree!BK10-Strike,Strike-UndTree!BK10),(UpProb*BL10+DownProb*BL11)*StepDiscount)))</f>
        <v>276.91199166607356</v>
      </c>
      <c r="BL10" s="17">
        <f>IF(BL$3="","",IF(BL$3=Steps,MAX(IF(CallPut=1,UndTree!BL10-Strike,Strike-UndTree!BL10),0),MAX((2-AmEur)*IF(CallPut=1,UndTree!BL10-Strike,Strike-UndTree!BL10),(UpProb*BM10+DownProb*BM11)*StepDiscount)))</f>
        <v>288.20290115943078</v>
      </c>
      <c r="BM10" s="17">
        <f>IF(BM$3="","",IF(BM$3=Steps,MAX(IF(CallPut=1,UndTree!BM10-Strike,Strike-UndTree!BM10),0),MAX((2-AmEur)*IF(CallPut=1,UndTree!BM10-Strike,Strike-UndTree!BM10),(UpProb*BN10+DownProb*BN11)*StepDiscount)))</f>
        <v>299.8371459940746</v>
      </c>
      <c r="BN10" s="17">
        <f>IF(BN$3="","",IF(BN$3=Steps,MAX(IF(CallPut=1,UndTree!BN10-Strike,Strike-UndTree!BN10),0),MAX((2-AmEur)*IF(CallPut=1,UndTree!BN10-Strike,Strike-UndTree!BN10),(UpProb*BO10+DownProb*BO11)*StepDiscount)))</f>
        <v>311.82512061542451</v>
      </c>
      <c r="BO10" s="17">
        <f>IF(BO$3="","",IF(BO$3=Steps,MAX(IF(CallPut=1,UndTree!BO10-Strike,Strike-UndTree!BO10),0),MAX((2-AmEur)*IF(CallPut=1,UndTree!BO10-Strike,Strike-UndTree!BO10),(UpProb*BP10+DownProb*BP11)*StepDiscount)))</f>
        <v>324.17753413579948</v>
      </c>
      <c r="BP10" s="17">
        <f>IF(BP$3="","",IF(BP$3=Steps,MAX(IF(CallPut=1,UndTree!BP10-Strike,Strike-UndTree!BP10),0),MAX((2-AmEur)*IF(CallPut=1,UndTree!BP10-Strike,Strike-UndTree!BP10),(UpProb*BQ10+DownProb*BQ11)*StepDiscount)))</f>
        <v>336.90541986019088</v>
      </c>
      <c r="BQ10" s="17">
        <f>IF(BQ$3="","",IF(BQ$3=Steps,MAX(IF(CallPut=1,UndTree!BQ10-Strike,Strike-UndTree!BQ10),0),MAX((2-AmEur)*IF(CallPut=1,UndTree!BQ10-Strike,Strike-UndTree!BQ10),(UpProb*BR10+DownProb*BR11)*StepDiscount)))</f>
        <v>350.02014510040556</v>
      </c>
      <c r="BR10" s="17">
        <f>IF(BR$3="","",IF(BR$3=Steps,MAX(IF(CallPut=1,UndTree!BR10-Strike,Strike-UndTree!BR10),0),MAX((2-AmEur)*IF(CallPut=1,UndTree!BR10-Strike,Strike-UndTree!BR10),(UpProb*BS10+DownProb*BS11)*StepDiscount)))</f>
        <v>363.53342128630715</v>
      </c>
      <c r="BS10" s="17">
        <f>IF(BS$3="","",IF(BS$3=Steps,MAX(IF(CallPut=1,UndTree!BS10-Strike,Strike-UndTree!BS10),0),MAX((2-AmEur)*IF(CallPut=1,UndTree!BS10-Strike,Strike-UndTree!BS10),(UpProb*BT10+DownProb*BT11)*StepDiscount)))</f>
        <v>377.4573143831509</v>
      </c>
      <c r="BT10" s="17">
        <f>IF(BT$3="","",IF(BT$3=Steps,MAX(IF(CallPut=1,UndTree!BT10-Strike,Strike-UndTree!BT10),0),MAX((2-AmEur)*IF(CallPut=1,UndTree!BT10-Strike,Strike-UndTree!BT10),(UpProb*BU10+DownProb*BU11)*StepDiscount)))</f>
        <v>391.80425562427831</v>
      </c>
      <c r="BU10" s="17">
        <f>IF(BU$3="","",IF(BU$3=Steps,MAX(IF(CallPut=1,UndTree!BU10-Strike,Strike-UndTree!BU10),0),MAX((2-AmEur)*IF(CallPut=1,UndTree!BU10-Strike,Strike-UndTree!BU10),(UpProb*BV10+DownProb*BV11)*StepDiscount)))</f>
        <v>406.58705256871724</v>
      </c>
      <c r="BV10" s="17">
        <f>IF(BV$3="","",IF(BV$3=Steps,MAX(IF(CallPut=1,UndTree!BV10-Strike,Strike-UndTree!BV10),0),MAX((2-AmEur)*IF(CallPut=1,UndTree!BV10-Strike,Strike-UndTree!BV10),(UpProb*BW10+DownProb*BW11)*StepDiscount)))</f>
        <v>421.81890049352438</v>
      </c>
      <c r="BW10" s="17">
        <f>IF(BW$3="","",IF(BW$3=Steps,MAX(IF(CallPut=1,UndTree!BW10-Strike,Strike-UndTree!BW10),0),MAX((2-AmEur)*IF(CallPut=1,UndTree!BW10-Strike,Strike-UndTree!BW10),(UpProb*BX10+DownProb*BX11)*StepDiscount)))</f>
        <v>437.51339413100277</v>
      </c>
      <c r="BX10" s="17">
        <f>IF(BX$3="","",IF(BX$3=Steps,MAX(IF(CallPut=1,UndTree!BX10-Strike,Strike-UndTree!BX10),0),MAX((2-AmEur)*IF(CallPut=1,UndTree!BX10-Strike,Strike-UndTree!BX10),(UpProb*BY10+DownProb*BY11)*StepDiscount)))</f>
        <v>453.68453976123533</v>
      </c>
      <c r="BY10" s="17">
        <f>IF(BY$3="","",IF(BY$3=Steps,MAX(IF(CallPut=1,UndTree!BY10-Strike,Strike-UndTree!BY10),0),MAX((2-AmEur)*IF(CallPut=1,UndTree!BY10-Strike,Strike-UndTree!BY10),(UpProb*BZ10+DownProb*BZ11)*StepDiscount)))</f>
        <v>470.34676767068981</v>
      </c>
      <c r="BZ10" s="17">
        <f>IF(BZ$3="","",IF(BZ$3=Steps,MAX(IF(CallPut=1,UndTree!BZ10-Strike,Strike-UndTree!BZ10),0),MAX((2-AmEur)*IF(CallPut=1,UndTree!BZ10-Strike,Strike-UndTree!BZ10),(UpProb*CA10+DownProb*CA11)*StepDiscount)))</f>
        <v>487.51494498797808</v>
      </c>
      <c r="CA10" s="17">
        <f>IF(CA$3="","",IF(CA$3=Steps,MAX(IF(CallPut=1,UndTree!CA10-Strike,Strike-UndTree!CA10),0),MAX((2-AmEur)*IF(CallPut=1,UndTree!CA10-Strike,Strike-UndTree!CA10),(UpProb*CB10+DownProb*CB11)*StepDiscount)))</f>
        <v>505.20438890818639</v>
      </c>
      <c r="CB10" s="17">
        <f>IF(CB$3="","",IF(CB$3=Steps,MAX(IF(CallPut=1,UndTree!CB10-Strike,Strike-UndTree!CB10),0),MAX((2-AmEur)*IF(CallPut=1,UndTree!CB10-Strike,Strike-UndTree!CB10),(UpProb*CC10+DownProb*CC11)*StepDiscount)))</f>
        <v>523.43088031753985</v>
      </c>
      <c r="CC10" s="17">
        <f>IF(CC$3="","",IF(CC$3=Steps,MAX(IF(CallPut=1,UndTree!CC10-Strike,Strike-UndTree!CC10),0),MAX((2-AmEur)*IF(CallPut=1,UndTree!CC10-Strike,Strike-UndTree!CC10),(UpProb*CD10+DownProb*CD11)*StepDiscount)))</f>
        <v>542.21067783052058</v>
      </c>
      <c r="CD10" s="17">
        <f>IF(CD$3="","",IF(CD$3=Steps,MAX(IF(CallPut=1,UndTree!CD10-Strike,Strike-UndTree!CD10),0),MAX((2-AmEur)*IF(CallPut=1,UndTree!CD10-Strike,Strike-UndTree!CD10),(UpProb*CE10+DownProb*CE11)*StepDiscount)))</f>
        <v>561.56053225192545</v>
      </c>
      <c r="CE10" s="17">
        <f>IF(CE$3="","",IF(CE$3=Steps,MAX(IF(CallPut=1,UndTree!CE10-Strike,Strike-UndTree!CE10),0),MAX((2-AmEur)*IF(CallPut=1,UndTree!CE10-Strike,Strike-UndTree!CE10),(UpProb*CF10+DownProb*CF11)*StepDiscount)))</f>
        <v>581.49770147672666</v>
      </c>
      <c r="CF10" s="17">
        <f>IF(CF$3="","",IF(CF$3=Steps,MAX(IF(CallPut=1,UndTree!CF10-Strike,Strike-UndTree!CF10),0),MAX((2-AmEur)*IF(CallPut=1,UndTree!CF10-Strike,Strike-UndTree!CF10),(UpProb*CG10+DownProb*CG11)*StepDiscount)))</f>
        <v>602.03996584099093</v>
      </c>
      <c r="CG10" s="17">
        <f>IF(CG$3="","",IF(CG$3=Steps,MAX(IF(CallPut=1,UndTree!CG10-Strike,Strike-UndTree!CG10),0),MAX((2-AmEur)*IF(CallPut=1,UndTree!CG10-Strike,Strike-UndTree!CG10),(UpProb*CH10+DownProb*CH11)*StepDiscount)))</f>
        <v>623.20564393750863</v>
      </c>
      <c r="CH10" s="17">
        <f>IF(CH$3="","",IF(CH$3=Steps,MAX(IF(CallPut=1,UndTree!CH10-Strike,Strike-UndTree!CH10),0),MAX((2-AmEur)*IF(CallPut=1,UndTree!CH10-Strike,Strike-UndTree!CH10),(UpProb*CI10+DownProb*CI11)*StepDiscount)))</f>
        <v>645.01360891020374</v>
      </c>
      <c r="CI10" s="17">
        <f>IF(CI$3="","",IF(CI$3=Steps,MAX(IF(CallPut=1,UndTree!CI10-Strike,Strike-UndTree!CI10),0),MAX((2-AmEur)*IF(CallPut=1,UndTree!CI10-Strike,Strike-UndTree!CI10),(UpProb*CJ10+DownProb*CJ11)*StepDiscount)))</f>
        <v>667.48330524181631</v>
      </c>
      <c r="CJ10" s="17">
        <f>IF(CJ$3="","",IF(CJ$3=Steps,MAX(IF(CallPut=1,UndTree!CJ10-Strike,Strike-UndTree!CJ10),0),MAX((2-AmEur)*IF(CallPut=1,UndTree!CJ10-Strike,Strike-UndTree!CJ10),(UpProb*CK10+DownProb*CK11)*StepDiscount)))</f>
        <v>690.63476604979121</v>
      </c>
      <c r="CK10" s="17">
        <f>IF(CK$3="","",IF(CK$3=Steps,MAX(IF(CallPut=1,UndTree!CK10-Strike,Strike-UndTree!CK10),0),MAX((2-AmEur)*IF(CallPut=1,UndTree!CK10-Strike,Strike-UndTree!CK10),(UpProb*CL10+DownProb*CL11)*StepDiscount)))</f>
        <v>714.48863090575753</v>
      </c>
      <c r="CL10" s="17">
        <f>IF(CL$3="","",IF(CL$3=Steps,MAX(IF(CallPut=1,UndTree!CL10-Strike,Strike-UndTree!CL10),0),MAX((2-AmEur)*IF(CallPut=1,UndTree!CL10-Strike,Strike-UndTree!CL10),(UpProb*CM10+DownProb*CM11)*StepDiscount)))</f>
        <v>739.06616419444913</v>
      </c>
      <c r="CM10" s="17">
        <f>IF(CM$3="","",IF(CM$3=Steps,MAX(IF(CallPut=1,UndTree!CM10-Strike,Strike-UndTree!CM10),0),MAX((2-AmEur)*IF(CallPut=1,UndTree!CM10-Strike,Strike-UndTree!CM10),(UpProb*CN10+DownProb*CN11)*StepDiscount)))</f>
        <v>764.38927402839818</v>
      </c>
      <c r="CN10" s="17">
        <f>IF(CN$3="","",IF(CN$3=Steps,MAX(IF(CallPut=1,UndTree!CN10-Strike,Strike-UndTree!CN10),0),MAX((2-AmEur)*IF(CallPut=1,UndTree!CN10-Strike,Strike-UndTree!CN10),(UpProb*CO10+DownProb*CO11)*StepDiscount)))</f>
        <v>790.4805317352259</v>
      </c>
      <c r="CO10" s="17">
        <f>IF(CO$3="","",IF(CO$3=Steps,MAX(IF(CallPut=1,UndTree!CO10-Strike,Strike-UndTree!CO10),0),MAX((2-AmEur)*IF(CallPut=1,UndTree!CO10-Strike,Strike-UndTree!CO10),(UpProb*CP10+DownProb*CP11)*StepDiscount)))</f>
        <v>817.36319193486486</v>
      </c>
      <c r="CP10" s="17">
        <f>IF(CP$3="","",IF(CP$3=Steps,MAX(IF(CallPut=1,UndTree!CP10-Strike,Strike-UndTree!CP10),0),MAX((2-AmEur)*IF(CallPut=1,UndTree!CP10-Strike,Strike-UndTree!CP10),(UpProb*CQ10+DownProb*CQ11)*StepDiscount)))</f>
        <v>845.06121322456954</v>
      </c>
      <c r="CQ10" s="17">
        <f>IF(CQ$3="","",IF(CQ$3=Steps,MAX(IF(CallPut=1,UndTree!CQ10-Strike,Strike-UndTree!CQ10),0),MAX((2-AmEur)*IF(CallPut=1,UndTree!CQ10-Strike,Strike-UndTree!CQ10),(UpProb*CR10+DownProb*CR11)*StepDiscount)))</f>
        <v>873.59927949011228</v>
      </c>
      <c r="CR10" s="17">
        <f>IF(CR$3="","",IF(CR$3=Steps,MAX(IF(CallPut=1,UndTree!CR10-Strike,Strike-UndTree!CR10),0),MAX((2-AmEur)*IF(CallPut=1,UndTree!CR10-Strike,Strike-UndTree!CR10),(UpProb*CS10+DownProb*CS11)*StepDiscount)))</f>
        <v>903.0028218621195</v>
      </c>
      <c r="CS10" s="17">
        <f>IF(CS$3="","",IF(CS$3=Steps,MAX(IF(CallPut=1,UndTree!CS10-Strike,Strike-UndTree!CS10),0),MAX((2-AmEur)*IF(CallPut=1,UndTree!CS10-Strike,Strike-UndTree!CS10),(UpProb*CT10+DownProb*CT11)*StepDiscount)))</f>
        <v>933.29804133707648</v>
      </c>
      <c r="CT10" s="17">
        <f>IF(CT$3="","",IF(CT$3=Steps,MAX(IF(CallPut=1,UndTree!CT10-Strike,Strike-UndTree!CT10),0),MAX((2-AmEur)*IF(CallPut=1,UndTree!CT10-Strike,Strike-UndTree!CT10),(UpProb*CU10+DownProb*CU11)*StepDiscount)))</f>
        <v>964.51193208312452</v>
      </c>
      <c r="CU10" s="17">
        <f>IF(CU$3="","",IF(CU$3=Steps,MAX(IF(CallPut=1,UndTree!CU10-Strike,Strike-UndTree!CU10),0),MAX((2-AmEur)*IF(CallPut=1,UndTree!CU10-Strike,Strike-UndTree!CU10),(UpProb*CV10+DownProb*CV11)*StepDiscount)))</f>
        <v>996.67230545139171</v>
      </c>
      <c r="CV10" s="17">
        <f>IF(CV$3="","",IF(CV$3=Steps,MAX(IF(CallPut=1,UndTree!CV10-Strike,Strike-UndTree!CV10),0),MAX((2-AmEur)*IF(CallPut=1,UndTree!CV10-Strike,Strike-UndTree!CV10),(UpProb*CW10+DownProb*CW11)*StepDiscount)))</f>
        <v>1029.8078147142242</v>
      </c>
      <c r="CW10" s="17">
        <f>IF(CW$3="","",IF(CW$3=Steps,MAX(IF(CallPut=1,UndTree!CW10-Strike,Strike-UndTree!CW10),0),MAX((2-AmEur)*IF(CallPut=1,UndTree!CW10-Strike,Strike-UndTree!CW10),(UpProb*CX10+DownProb*CX11)*StepDiscount)))</f>
        <v>1063.9479805523258</v>
      </c>
      <c r="CX10" s="17">
        <f>IF(CX$3="","",IF(CX$3=Steps,MAX(IF(CallPut=1,UndTree!CX10-Strike,Strike-UndTree!CX10),0),MAX((2-AmEur)*IF(CallPut=1,UndTree!CX10-Strike,Strike-UndTree!CX10),(UpProb*CY10+DownProb*CY11)*StepDiscount)))</f>
        <v>1099.1232173134706</v>
      </c>
      <c r="CY10" s="17">
        <f>IF(CY$3="","",IF(CY$3=Steps,MAX(IF(CallPut=1,UndTree!CY10-Strike,Strike-UndTree!CY10),0),MAX((2-AmEur)*IF(CallPut=1,UndTree!CY10-Strike,Strike-UndTree!CY10),(UpProb*CZ10+DownProb*CZ11)*StepDiscount)))</f>
        <v>1135.3648600660979</v>
      </c>
      <c r="CZ10" s="17">
        <f>IF(CZ$3="","",IF(CZ$3=Steps,MAX(IF(CallPut=1,UndTree!CZ10-Strike,Strike-UndTree!CZ10),0),MAX((2-AmEur)*IF(CallPut=1,UndTree!CZ10-Strike,Strike-UndTree!CZ10),(UpProb*DA10+DownProb*DA11)*StepDiscount)))</f>
        <v>1172.7051924717239</v>
      </c>
      <c r="DA10" s="17">
        <f>IF(DA$3="","",IF(DA$3=Steps,MAX(IF(CallPut=1,UndTree!DA10-Strike,Strike-UndTree!DA10),0),MAX((2-AmEur)*IF(CallPut=1,UndTree!DA10-Strike,Strike-UndTree!DA10),(UpProb*DB10+DownProb*DB11)*StepDiscount)))</f>
        <v>1211.1774755007923</v>
      </c>
      <c r="DB10" s="17">
        <f>IF(DB$3="","",IF(DB$3=Steps,MAX(IF(CallPut=1,UndTree!DB10-Strike,Strike-UndTree!DB10),0),MAX((2-AmEur)*IF(CallPut=1,UndTree!DB10-Strike,Strike-UndTree!DB10),(UpProb*DC10+DownProb*DC11)*StepDiscount)))</f>
        <v>1250.8159770181001</v>
      </c>
    </row>
    <row r="11" spans="1:106" x14ac:dyDescent="0.2">
      <c r="A11">
        <f>ExDivTree!A11</f>
        <v>17199613200</v>
      </c>
      <c r="B11" s="71">
        <f>ExDivTree!B11</f>
        <v>6.7840512192016318E-21</v>
      </c>
      <c r="C11" s="71">
        <f>ExDivTree!C11</f>
        <v>8.5404341513276792E-21</v>
      </c>
      <c r="D11" s="177">
        <f>ExDivTree!D11</f>
        <v>7</v>
      </c>
      <c r="L11" s="17">
        <f>IF(L$3="","",IF(L$3=Steps,MAX(IF(CallPut=1,UndTree!L11-Strike,Strike-UndTree!L11),0),MAX((2-AmEur)*IF(CallPut=1,UndTree!L11-Strike,Strike-UndTree!L11),(UpProb*M11+DownProb*M12)*StepDiscount)))</f>
        <v>3.366043164933024</v>
      </c>
      <c r="M11" s="17">
        <f>IF(M$3="","",IF(M$3=Steps,MAX(IF(CallPut=1,UndTree!M11-Strike,Strike-UndTree!M11),0),MAX((2-AmEur)*IF(CallPut=1,UndTree!M11-Strike,Strike-UndTree!M11),(UpProb*N11+DownProb*N12)*StepDiscount)))</f>
        <v>4.0090976168321353</v>
      </c>
      <c r="N11" s="17">
        <f>IF(N$3="","",IF(N$3=Steps,MAX(IF(CallPut=1,UndTree!N11-Strike,Strike-UndTree!N11),0),MAX((2-AmEur)*IF(CallPut=1,UndTree!N11-Strike,Strike-UndTree!N11),(UpProb*O11+DownProb*O12)*StepDiscount)))</f>
        <v>4.7514674591838713</v>
      </c>
      <c r="O11" s="17">
        <f>IF(O$3="","",IF(O$3=Steps,MAX(IF(CallPut=1,UndTree!O11-Strike,Strike-UndTree!O11),0),MAX((2-AmEur)*IF(CallPut=1,UndTree!O11-Strike,Strike-UndTree!O11),(UpProb*P11+DownProb*P12)*StepDiscount)))</f>
        <v>5.6034814870938234</v>
      </c>
      <c r="P11" s="17">
        <f>IF(P$3="","",IF(P$3=Steps,MAX(IF(CallPut=1,UndTree!P11-Strike,Strike-UndTree!P11),0),MAX((2-AmEur)*IF(CallPut=1,UndTree!P11-Strike,Strike-UndTree!P11),(UpProb*Q11+DownProb*Q12)*StepDiscount)))</f>
        <v>6.5755964007045877</v>
      </c>
      <c r="Q11" s="17">
        <f>IF(Q$3="","",IF(Q$3=Steps,MAX(IF(CallPut=1,UndTree!Q11-Strike,Strike-UndTree!Q11),0),MAX((2-AmEur)*IF(CallPut=1,UndTree!Q11-Strike,Strike-UndTree!Q11),(UpProb*R11+DownProb*R12)*StepDiscount)))</f>
        <v>7.67822341822108</v>
      </c>
      <c r="R11" s="17">
        <f>IF(R$3="","",IF(R$3=Steps,MAX(IF(CallPut=1,UndTree!R11-Strike,Strike-UndTree!R11),0),MAX((2-AmEur)*IF(CallPut=1,UndTree!R11-Strike,Strike-UndTree!R11),(UpProb*S11+DownProb*S12)*StepDiscount)))</f>
        <v>8.9215390548129463</v>
      </c>
      <c r="S11" s="17">
        <f>IF(S$3="","",IF(S$3=Steps,MAX(IF(CallPut=1,UndTree!S11-Strike,Strike-UndTree!S11),0),MAX((2-AmEur)*IF(CallPut=1,UndTree!S11-Strike,Strike-UndTree!S11),(UpProb*T11+DownProb*T12)*StepDiscount)))</f>
        <v>10.315286516932138</v>
      </c>
      <c r="T11" s="17">
        <f>IF(T$3="","",IF(T$3=Steps,MAX(IF(CallPut=1,UndTree!T11-Strike,Strike-UndTree!T11),0),MAX((2-AmEur)*IF(CallPut=1,UndTree!T11-Strike,Strike-UndTree!T11),(UpProb*U11+DownProb*U12)*StepDiscount)))</f>
        <v>11.868575626011218</v>
      </c>
      <c r="U11" s="17">
        <f>IF(U$3="","",IF(U$3=Steps,MAX(IF(CallPut=1,UndTree!U11-Strike,Strike-UndTree!U11),0),MAX((2-AmEur)*IF(CallPut=1,UndTree!U11-Strike,Strike-UndTree!U11),(UpProb*V11+DownProb*V12)*StepDiscount)))</f>
        <v>13.589690342028472</v>
      </c>
      <c r="V11" s="17">
        <f>IF(V$3="","",IF(V$3=Steps,MAX(IF(CallPut=1,UndTree!V11-Strike,Strike-UndTree!V11),0),MAX((2-AmEur)*IF(CallPut=1,UndTree!V11-Strike,Strike-UndTree!V11),(UpProb*W11+DownProb*W12)*StepDiscount)))</f>
        <v>15.485913658862401</v>
      </c>
      <c r="W11" s="17">
        <f>IF(W$3="","",IF(W$3=Steps,MAX(IF(CallPut=1,UndTree!W11-Strike,Strike-UndTree!W11),0),MAX((2-AmEur)*IF(CallPut=1,UndTree!W11-Strike,Strike-UndTree!W11),(UpProb*X11+DownProb*X12)*StepDiscount)))</f>
        <v>17.56337975732211</v>
      </c>
      <c r="X11" s="17">
        <f>IF(X$3="","",IF(X$3=Steps,MAX(IF(CallPut=1,UndTree!X11-Strike,Strike-UndTree!X11),0),MAX((2-AmEur)*IF(CallPut=1,UndTree!X11-Strike,Strike-UndTree!X11),(UpProb*Y11+DownProb*Y12)*StepDiscount)))</f>
        <v>19.826962727757987</v>
      </c>
      <c r="Y11" s="17">
        <f>IF(Y$3="","",IF(Y$3=Steps,MAX(IF(CallPut=1,UndTree!Y11-Strike,Strike-UndTree!Y11),0),MAX((2-AmEur)*IF(CallPut=1,UndTree!Y11-Strike,Strike-UndTree!Y11),(UpProb*Z11+DownProb*Z12)*StepDiscount)))</f>
        <v>22.280209860713818</v>
      </c>
      <c r="Z11" s="17">
        <f>IF(Z$3="","",IF(Z$3=Steps,MAX(IF(CallPut=1,UndTree!Z11-Strike,Strike-UndTree!Z11),0),MAX((2-AmEur)*IF(CallPut=1,UndTree!Z11-Strike,Strike-UndTree!Z11),(UpProb*AA11+DownProb*AA12)*StepDiscount)))</f>
        <v>24.925325463287692</v>
      </c>
      <c r="AA11" s="17">
        <f>IF(AA$3="","",IF(AA$3=Steps,MAX(IF(CallPut=1,UndTree!AA11-Strike,Strike-UndTree!AA11),0),MAX((2-AmEur)*IF(CallPut=1,UndTree!AA11-Strike,Strike-UndTree!AA11),(UpProb*AB11+DownProb*AB12)*StepDiscount)))</f>
        <v>27.763208476231487</v>
      </c>
      <c r="AB11" s="17">
        <f>IF(AB$3="","",IF(AB$3=Steps,MAX(IF(CallPut=1,UndTree!AB11-Strike,Strike-UndTree!AB11),0),MAX((2-AmEur)*IF(CallPut=1,UndTree!AB11-Strike,Strike-UndTree!AB11),(UpProb*AC11+DownProb*AC12)*StepDiscount)))</f>
        <v>30.793544003725639</v>
      </c>
      <c r="AC11" s="17">
        <f>IF(AC$3="","",IF(AC$3=Steps,MAX(IF(CallPut=1,UndTree!AC11-Strike,Strike-UndTree!AC11),0),MAX((2-AmEur)*IF(CallPut=1,UndTree!AC11-Strike,Strike-UndTree!AC11),(UpProb*AD11+DownProb*AD12)*StepDiscount)))</f>
        <v>34.014945454842724</v>
      </c>
      <c r="AD11" s="17">
        <f>IF(AD$3="","",IF(AD$3=Steps,MAX(IF(CallPut=1,UndTree!AD11-Strike,Strike-UndTree!AD11),0),MAX((2-AmEur)*IF(CallPut=1,UndTree!AD11-Strike,Strike-UndTree!AD11),(UpProb*AE11+DownProb*AE12)*StepDiscount)))</f>
        <v>37.425140616207948</v>
      </c>
      <c r="AE11" s="17">
        <f>IF(AE$3="","",IF(AE$3=Steps,MAX(IF(CallPut=1,UndTree!AE11-Strike,Strike-UndTree!AE11),0),MAX((2-AmEur)*IF(CallPut=1,UndTree!AE11-Strike,Strike-UndTree!AE11),(UpProb*AF11+DownProb*AF12)*StepDiscount)))</f>
        <v>41.02119193907577</v>
      </c>
      <c r="AF11" s="17">
        <f>IF(AF$3="","",IF(AF$3=Steps,MAX(IF(CallPut=1,UndTree!AF11-Strike,Strike-UndTree!AF11),0),MAX((2-AmEur)*IF(CallPut=1,UndTree!AF11-Strike,Strike-UndTree!AF11),(UpProb*AG11+DownProb*AG12)*StepDiscount)))</f>
        <v>44.79973893391918</v>
      </c>
      <c r="AG11" s="17">
        <f>IF(AG$3="","",IF(AG$3=Steps,MAX(IF(CallPut=1,UndTree!AG11-Strike,Strike-UndTree!AG11),0),MAX((2-AmEur)*IF(CallPut=1,UndTree!AG11-Strike,Strike-UndTree!AG11),(UpProb*AH11+DownProb*AH12)*StepDiscount)))</f>
        <v>48.757249080718921</v>
      </c>
      <c r="AH11" s="17">
        <f>IF(AH$3="","",IF(AH$3=Steps,MAX(IF(CallPut=1,UndTree!AH11-Strike,Strike-UndTree!AH11),0),MAX((2-AmEur)*IF(CallPut=1,UndTree!AH11-Strike,Strike-UndTree!AH11),(UpProb*AI11+DownProb*AI12)*StepDiscount)))</f>
        <v>52.890263262838367</v>
      </c>
      <c r="AI11" s="17">
        <f>IF(AI$3="","",IF(AI$3=Steps,MAX(IF(CallPut=1,UndTree!AI11-Strike,Strike-UndTree!AI11),0),MAX((2-AmEur)*IF(CallPut=1,UndTree!AI11-Strike,Strike-UndTree!AI11),(UpProb*AJ11+DownProb*AJ12)*StepDiscount)))</f>
        <v>57.19562248750983</v>
      </c>
      <c r="AJ11" s="17">
        <f>IF(AJ$3="","",IF(AJ$3=Steps,MAX(IF(CallPut=1,UndTree!AJ11-Strike,Strike-UndTree!AJ11),0),MAX((2-AmEur)*IF(CallPut=1,UndTree!AJ11-Strike,Strike-UndTree!AJ11),(UpProb*AK11+DownProb*AK12)*StepDiscount)))</f>
        <v>61.670664512061578</v>
      </c>
      <c r="AK11" s="17">
        <f>IF(AK$3="","",IF(AK$3=Steps,MAX(IF(CallPut=1,UndTree!AK11-Strike,Strike-UndTree!AK11),0),MAX((2-AmEur)*IF(CallPut=1,UndTree!AK11-Strike,Strike-UndTree!AK11),(UpProb*AL11+DownProb*AL12)*StepDiscount)))</f>
        <v>66.313381771681108</v>
      </c>
      <c r="AL11" s="17">
        <f>IF(AL$3="","",IF(AL$3=Steps,MAX(IF(CallPut=1,UndTree!AL11-Strike,Strike-UndTree!AL11),0),MAX((2-AmEur)*IF(CallPut=1,UndTree!AL11-Strike,Strike-UndTree!AL11),(UpProb*AM11+DownProb*AM12)*StepDiscount)))</f>
        <v>71.122535412745179</v>
      </c>
      <c r="AM11" s="17">
        <f>IF(AM$3="","",IF(AM$3=Steps,MAX(IF(CallPut=1,UndTree!AM11-Strike,Strike-UndTree!AM11),0),MAX((2-AmEur)*IF(CallPut=1,UndTree!AM11-Strike,Strike-UndTree!AM11),(UpProb*AN11+DownProb*AN12)*StepDiscount)))</f>
        <v>76.097723912098047</v>
      </c>
      <c r="AN11" s="17">
        <f>IF(AN$3="","",IF(AN$3=Steps,MAX(IF(CallPut=1,UndTree!AN11-Strike,Strike-UndTree!AN11),0),MAX((2-AmEur)*IF(CallPut=1,UndTree!AN11-Strike,Strike-UndTree!AN11),(UpProb*AO11+DownProb*AO12)*StepDiscount)))</f>
        <v>81.239408315950897</v>
      </c>
      <c r="AO11" s="17">
        <f>IF(AO$3="","",IF(AO$3=Steps,MAX(IF(CallPut=1,UndTree!AO11-Strike,Strike-UndTree!AO11),0),MAX((2-AmEur)*IF(CallPut=1,UndTree!AO11-Strike,Strike-UndTree!AO11),(UpProb*AP11+DownProb*AP12)*StepDiscount)))</f>
        <v>86.548899195902848</v>
      </c>
      <c r="AP11" s="17">
        <f>IF(AP$3="","",IF(AP$3=Steps,MAX(IF(CallPut=1,UndTree!AP11-Strike,Strike-UndTree!AP11),0),MAX((2-AmEur)*IF(CallPut=1,UndTree!AP11-Strike,Strike-UndTree!AP11),(UpProb*AQ11+DownProb*AQ12)*StepDiscount)))</f>
        <v>92.028312702089167</v>
      </c>
      <c r="AQ11" s="17">
        <f>IF(AQ$3="","",IF(AQ$3=Steps,MAX(IF(CallPut=1,UndTree!AQ11-Strike,Strike-UndTree!AQ11),0),MAX((2-AmEur)*IF(CallPut=1,UndTree!AQ11-Strike,Strike-UndTree!AQ11),(UpProb*AR11+DownProb*AR12)*StepDiscount)))</f>
        <v>97.680504415898042</v>
      </c>
      <c r="AR11" s="17">
        <f>IF(AR$3="","",IF(AR$3=Steps,MAX(IF(CallPut=1,UndTree!AR11-Strike,Strike-UndTree!AR11),0),MAX((2-AmEur)*IF(CallPut=1,UndTree!AR11-Strike,Strike-UndTree!AR11),(UpProb*AS11+DownProb*AS12)*StepDiscount)))</f>
        <v>103.50899002188872</v>
      </c>
      <c r="AS11" s="17">
        <f>IF(AS$3="","",IF(AS$3=Steps,MAX(IF(CallPut=1,UndTree!AS11-Strike,Strike-UndTree!AS11),0),MAX((2-AmEur)*IF(CallPut=1,UndTree!AS11-Strike,Strike-UndTree!AS11),(UpProb*AT11+DownProb*AT12)*StepDiscount)))</f>
        <v>109.51786121760846</v>
      </c>
      <c r="AT11" s="17">
        <f>IF(AT$3="","",IF(AT$3=Steps,MAX(IF(CallPut=1,UndTree!AT11-Strike,Strike-UndTree!AT11),0),MAX((2-AmEur)*IF(CallPut=1,UndTree!AT11-Strike,Strike-UndTree!AT11),(UpProb*AU11+DownProb*AU12)*StepDiscount)))</f>
        <v>115.71170395774013</v>
      </c>
      <c r="AU11" s="17">
        <f>IF(AU$3="","",IF(AU$3=Steps,MAX(IF(CallPut=1,UndTree!AU11-Strike,Strike-UndTree!AU11),0),MAX((2-AmEur)*IF(CallPut=1,UndTree!AU11-Strike,Strike-UndTree!AU11),(UpProb*AV11+DownProb*AV12)*StepDiscount)))</f>
        <v>122.09552435263994</v>
      </c>
      <c r="AV11" s="17">
        <f>IF(AV$3="","",IF(AV$3=Steps,MAX(IF(CallPut=1,UndTree!AV11-Strike,Strike-UndTree!AV11),0),MAX((2-AmEur)*IF(CallPut=1,UndTree!AV11-Strike,Strike-UndTree!AV11),(UpProb*AW11+DownProb*AW12)*StepDiscount)))</f>
        <v>128.67468560049886</v>
      </c>
      <c r="AW11" s="17">
        <f>IF(AW$3="","",IF(AW$3=Steps,MAX(IF(CallPut=1,UndTree!AW11-Strike,Strike-UndTree!AW11),0),MAX((2-AmEur)*IF(CallPut=1,UndTree!AW11-Strike,Strike-UndTree!AW11),(UpProb*AX11+DownProb*AX12)*StepDiscount)))</f>
        <v>135.45485749193043</v>
      </c>
      <c r="AX11" s="17">
        <f>IF(AX$3="","",IF(AX$3=Steps,MAX(IF(CallPut=1,UndTree!AX11-Strike,Strike-UndTree!AX11),0),MAX((2-AmEur)*IF(CallPut=1,UndTree!AX11-Strike,Strike-UndTree!AX11),(UpProb*AY11+DownProb*AY12)*StepDiscount)))</f>
        <v>142.44197848822617</v>
      </c>
      <c r="AY11" s="17">
        <f>IF(AY$3="","",IF(AY$3=Steps,MAX(IF(CallPut=1,UndTree!AY11-Strike,Strike-UndTree!AY11),0),MAX((2-AmEur)*IF(CallPut=1,UndTree!AY11-Strike,Strike-UndTree!AY11),(UpProb*AZ11+DownProb*AZ12)*StepDiscount)))</f>
        <v>149.64222925832883</v>
      </c>
      <c r="AZ11" s="17">
        <f>IF(AZ$3="","",IF(AZ$3=Steps,MAX(IF(CallPut=1,UndTree!AZ11-Strike,Strike-UndTree!AZ11),0),MAX((2-AmEur)*IF(CallPut=1,UndTree!AZ11-Strike,Strike-UndTree!AZ11),(UpProb*BA11+DownProb*BA12)*StepDiscount)))</f>
        <v>157.06201589603006</v>
      </c>
      <c r="BA11" s="17">
        <f>IF(BA$3="","",IF(BA$3=Steps,MAX(IF(CallPut=1,UndTree!BA11-Strike,Strike-UndTree!BA11),0),MAX((2-AmEur)*IF(CallPut=1,UndTree!BA11-Strike,Strike-UndTree!BA11),(UpProb*BB11+DownProb*BB12)*StepDiscount)))</f>
        <v>164.70796078525953</v>
      </c>
      <c r="BB11" s="17">
        <f>IF(BB$3="","",IF(BB$3=Steps,MAX(IF(CallPut=1,UndTree!BB11-Strike,Strike-UndTree!BB11),0),MAX((2-AmEur)*IF(CallPut=1,UndTree!BB11-Strike,Strike-UndTree!BB11),(UpProb*BC11+DownProb*BC12)*StepDiscount)))</f>
        <v>172.58689914520869</v>
      </c>
      <c r="BC11" s="17">
        <f>IF(BC$3="","",IF(BC$3=Steps,MAX(IF(CallPut=1,UndTree!BC11-Strike,Strike-UndTree!BC11),0),MAX((2-AmEur)*IF(CallPut=1,UndTree!BC11-Strike,Strike-UndTree!BC11),(UpProb*BD11+DownProb*BD12)*StepDiscount)))</f>
        <v>180.70587955484697</v>
      </c>
      <c r="BD11" s="17">
        <f>IF(BD$3="","",IF(BD$3=Steps,MAX(IF(CallPut=1,UndTree!BD11-Strike,Strike-UndTree!BD11),0),MAX((2-AmEur)*IF(CallPut=1,UndTree!BD11-Strike,Strike-UndTree!BD11),(UpProb*BE11+DownProb*BE12)*StepDiscount)))</f>
        <v>189.07216711903629</v>
      </c>
      <c r="BE11" s="17">
        <f>IF(BE$3="","",IF(BE$3=Steps,MAX(IF(CallPut=1,UndTree!BE11-Strike,Strike-UndTree!BE11),0),MAX((2-AmEur)*IF(CallPut=1,UndTree!BE11-Strike,Strike-UndTree!BE11),(UpProb*BF11+DownProb*BF12)*StepDiscount)))</f>
        <v>197.69324830930904</v>
      </c>
      <c r="BF11" s="17">
        <f>IF(BF$3="","",IF(BF$3=Steps,MAX(IF(CallPut=1,UndTree!BF11-Strike,Strike-UndTree!BF11),0),MAX((2-AmEur)*IF(CallPut=1,UndTree!BF11-Strike,Strike-UndTree!BF11),(UpProb*BG11+DownProb*BG12)*StepDiscount)))</f>
        <v>206.57683683553526</v>
      </c>
      <c r="BG11" s="17">
        <f>IF(BG$3="","",IF(BG$3=Steps,MAX(IF(CallPut=1,UndTree!BG11-Strike,Strike-UndTree!BG11),0),MAX((2-AmEur)*IF(CallPut=1,UndTree!BG11-Strike,Strike-UndTree!BG11),(UpProb*BH11+DownProb*BH12)*StepDiscount)))</f>
        <v>215.7308801543397</v>
      </c>
      <c r="BH11" s="17">
        <f>IF(BH$3="","",IF(BH$3=Steps,MAX(IF(CallPut=1,UndTree!BH11-Strike,Strike-UndTree!BH11),0),MAX((2-AmEur)*IF(CallPut=1,UndTree!BH11-Strike,Strike-UndTree!BH11),(UpProb*BI11+DownProb*BI12)*StepDiscount)))</f>
        <v>225.16356639378043</v>
      </c>
      <c r="BI11" s="17">
        <f>IF(BI$3="","",IF(BI$3=Steps,MAX(IF(CallPut=1,UndTree!BI11-Strike,Strike-UndTree!BI11),0),MAX((2-AmEur)*IF(CallPut=1,UndTree!BI11-Strike,Strike-UndTree!BI11),(UpProb*BJ11+DownProb*BJ12)*StepDiscount)))</f>
        <v>234.8833315831744</v>
      </c>
      <c r="BJ11" s="17">
        <f>IF(BJ$3="","",IF(BJ$3=Steps,MAX(IF(CallPut=1,UndTree!BJ11-Strike,Strike-UndTree!BJ11),0),MAX((2-AmEur)*IF(CallPut=1,UndTree!BJ11-Strike,Strike-UndTree!BJ11),(UpProb*BK11+DownProb*BK12)*StepDiscount)))</f>
        <v>244.89886713932262</v>
      </c>
      <c r="BK11" s="17">
        <f>IF(BK$3="","",IF(BK$3=Steps,MAX(IF(CallPut=1,UndTree!BK11-Strike,Strike-UndTree!BK11),0),MAX((2-AmEur)*IF(CallPut=1,UndTree!BK11-Strike,Strike-UndTree!BK11),(UpProb*BL11+DownProb*BL12)*StepDiscount)))</f>
        <v>255.21912759247027</v>
      </c>
      <c r="BL11" s="17">
        <f>IF(BL$3="","",IF(BL$3=Steps,MAX(IF(CallPut=1,UndTree!BL11-Strike,Strike-UndTree!BL11),0),MAX((2-AmEur)*IF(CallPut=1,UndTree!BL11-Strike,Strike-UndTree!BL11),(UpProb*BM11+DownProb*BM12)*StepDiscount)))</f>
        <v>265.85333855014039</v>
      </c>
      <c r="BM11" s="17">
        <f>IF(BM$3="","",IF(BM$3=Steps,MAX(IF(CallPut=1,UndTree!BM11-Strike,Strike-UndTree!BM11),0),MAX((2-AmEur)*IF(CallPut=1,UndTree!BM11-Strike,Strike-UndTree!BM11),(UpProb*BN11+DownProb*BN12)*StepDiscount)))</f>
        <v>276.81100490308222</v>
      </c>
      <c r="BN11" s="17">
        <f>IF(BN$3="","",IF(BN$3=Steps,MAX(IF(CallPut=1,UndTree!BN11-Strike,Strike-UndTree!BN11),0),MAX((2-AmEur)*IF(CallPut=1,UndTree!BN11-Strike,Strike-UndTree!BN11),(UpProb*BO11+DownProb*BO12)*StepDiscount)))</f>
        <v>288.1019192798509</v>
      </c>
      <c r="BO11" s="17">
        <f>IF(BO$3="","",IF(BO$3=Steps,MAX(IF(CallPut=1,UndTree!BO11-Strike,Strike-UndTree!BO11),0),MAX((2-AmEur)*IF(CallPut=1,UndTree!BO11-Strike,Strike-UndTree!BO11),(UpProb*BP11+DownProb*BP12)*StepDiscount)))</f>
        <v>299.73617075736399</v>
      </c>
      <c r="BP11" s="17">
        <f>IF(BP$3="","",IF(BP$3=Steps,MAX(IF(CallPut=1,UndTree!BP11-Strike,Strike-UndTree!BP11),0),MAX((2-AmEur)*IF(CallPut=1,UndTree!BP11-Strike,Strike-UndTree!BP11),(UpProb*BQ11+DownProb*BQ12)*StepDiscount)))</f>
        <v>311.72415383515226</v>
      </c>
      <c r="BQ11" s="17">
        <f>IF(BQ$3="","",IF(BQ$3=Steps,MAX(IF(CallPut=1,UndTree!BQ11-Strike,Strike-UndTree!BQ11),0),MAX((2-AmEur)*IF(CallPut=1,UndTree!BQ11-Strike,Strike-UndTree!BQ11),(UpProb*BR11+DownProb*BR12)*StepDiscount)))</f>
        <v>324.0765776812845</v>
      </c>
      <c r="BR11" s="17">
        <f>IF(BR$3="","",IF(BR$3=Steps,MAX(IF(CallPut=1,UndTree!BR11-Strike,Strike-UndTree!BR11),0),MAX((2-AmEur)*IF(CallPut=1,UndTree!BR11-Strike,Strike-UndTree!BR11),(UpProb*BS11+DownProb*BS12)*StepDiscount)))</f>
        <v>336.80447565819054</v>
      </c>
      <c r="BS11" s="17">
        <f>IF(BS$3="","",IF(BS$3=Steps,MAX(IF(CallPut=1,UndTree!BS11-Strike,Strike-UndTree!BS11),0),MAX((2-AmEur)*IF(CallPut=1,UndTree!BS11-Strike,Strike-UndTree!BS11),(UpProb*BT11+DownProb*BT12)*StepDiscount)))</f>
        <v>349.91921513685446</v>
      </c>
      <c r="BT11" s="17">
        <f>IF(BT$3="","",IF(BT$3=Steps,MAX(IF(CallPut=1,UndTree!BT11-Strike,Strike-UndTree!BT11),0),MAX((2-AmEur)*IF(CallPut=1,UndTree!BT11-Strike,Strike-UndTree!BT11),(UpProb*BU11+DownProb*BU12)*StepDiscount)))</f>
        <v>363.43250760810923</v>
      </c>
      <c r="BU11" s="17">
        <f>IF(BU$3="","",IF(BU$3=Steps,MAX(IF(CallPut=1,UndTree!BU11-Strike,Strike-UndTree!BU11),0),MAX((2-AmEur)*IF(CallPut=1,UndTree!BU11-Strike,Strike-UndTree!BU11),(UpProb*BV11+DownProb*BV12)*StepDiscount)))</f>
        <v>377.35641910002562</v>
      </c>
      <c r="BV11" s="17">
        <f>IF(BV$3="","",IF(BV$3=Steps,MAX(IF(CallPut=1,UndTree!BV11-Strike,Strike-UndTree!BV11),0),MAX((2-AmEur)*IF(CallPut=1,UndTree!BV11-Strike,Strike-UndTree!BV11),(UpProb*BW11+DownProb*BW12)*StepDiscount)))</f>
        <v>391.70338091066253</v>
      </c>
      <c r="BW11" s="17">
        <f>IF(BW$3="","",IF(BW$3=Steps,MAX(IF(CallPut=1,UndTree!BW11-Strike,Strike-UndTree!BW11),0),MAX((2-AmEur)*IF(CallPut=1,UndTree!BW11-Strike,Strike-UndTree!BW11),(UpProb*BX11+DownProb*BX12)*StepDiscount)))</f>
        <v>406.48620066572505</v>
      </c>
      <c r="BX11" s="17">
        <f>IF(BX$3="","",IF(BX$3=Steps,MAX(IF(CallPut=1,UndTree!BX11-Strike,Strike-UndTree!BX11),0),MAX((2-AmEur)*IF(CallPut=1,UndTree!BX11-Strike,Strike-UndTree!BX11),(UpProb*BY11+DownProb*BY12)*StepDiscount)))</f>
        <v>421.71807371096583</v>
      </c>
      <c r="BY11" s="17">
        <f>IF(BY$3="","",IF(BY$3=Steps,MAX(IF(CallPut=1,UndTree!BY11-Strike,Strike-UndTree!BY11),0),MAX((2-AmEur)*IF(CallPut=1,UndTree!BY11-Strike,Strike-UndTree!BY11),(UpProb*BZ11+DownProb*BZ12)*StepDiscount)))</f>
        <v>437.41259484946403</v>
      </c>
      <c r="BZ11" s="17">
        <f>IF(BZ$3="","",IF(BZ$3=Steps,MAX(IF(CallPut=1,UndTree!BZ11-Strike,Strike-UndTree!BZ11),0),MAX((2-AmEur)*IF(CallPut=1,UndTree!BZ11-Strike,Strike-UndTree!BZ11),(UpProb*CA11+DownProb*CA12)*StepDiscount)))</f>
        <v>453.58377043422172</v>
      </c>
      <c r="CA11" s="17">
        <f>IF(CA$3="","",IF(CA$3=Steps,MAX(IF(CallPut=1,UndTree!CA11-Strike,Strike-UndTree!CA11),0),MAX((2-AmEur)*IF(CallPut=1,UndTree!CA11-Strike,Strike-UndTree!CA11),(UpProb*CB11+DownProb*CB12)*StepDiscount)))</f>
        <v>470.24603082683382</v>
      </c>
      <c r="CB11" s="17">
        <f>IF(CB$3="","",IF(CB$3=Steps,MAX(IF(CallPut=1,UndTree!CB11-Strike,Strike-UndTree!CB11),0),MAX((2-AmEur)*IF(CallPut=1,UndTree!CB11-Strike,Strike-UndTree!CB11),(UpProb*CC11+DownProb*CC12)*StepDiscount)))</f>
        <v>487.41424323331398</v>
      </c>
      <c r="CC11" s="17">
        <f>IF(CC$3="","",IF(CC$3=Steps,MAX(IF(CallPut=1,UndTree!CC11-Strike,Strike-UndTree!CC11),0),MAX((2-AmEur)*IF(CallPut=1,UndTree!CC11-Strike,Strike-UndTree!CC11),(UpProb*CD11+DownProb*CD12)*StepDiscount)))</f>
        <v>505.1037249284941</v>
      </c>
      <c r="CD11" s="17">
        <f>IF(CD$3="","",IF(CD$3=Steps,MAX(IF(CallPut=1,UndTree!CD11-Strike,Strike-UndTree!CD11),0),MAX((2-AmEur)*IF(CallPut=1,UndTree!CD11-Strike,Strike-UndTree!CD11),(UpProb*CE11+DownProb*CE12)*StepDiscount)))</f>
        <v>523.33025688075929</v>
      </c>
      <c r="CE11" s="17">
        <f>IF(CE$3="","",IF(CE$3=Steps,MAX(IF(CallPut=1,UndTree!CE11-Strike,Strike-UndTree!CE11),0),MAX((2-AmEur)*IF(CallPut=1,UndTree!CE11-Strike,Strike-UndTree!CE11),(UpProb*CF11+DownProb*CF12)*StepDiscount)))</f>
        <v>542.11009778923938</v>
      </c>
      <c r="CF11" s="17">
        <f>IF(CF$3="","",IF(CF$3=Steps,MAX(IF(CallPut=1,UndTree!CF11-Strike,Strike-UndTree!CF11),0),MAX((2-AmEur)*IF(CallPut=1,UndTree!CF11-Strike,Strike-UndTree!CF11),(UpProb*CG11+DownProb*CG12)*StepDiscount)))</f>
        <v>561.45999854594152</v>
      </c>
      <c r="CG11" s="17">
        <f>IF(CG$3="","",IF(CG$3=Steps,MAX(IF(CallPut=1,UndTree!CG11-Strike,Strike-UndTree!CG11),0),MAX((2-AmEur)*IF(CallPut=1,UndTree!CG11-Strike,Strike-UndTree!CG11),(UpProb*CH11+DownProb*CH12)*StepDiscount)))</f>
        <v>581.39721713568895</v>
      </c>
      <c r="CH11" s="17">
        <f>IF(CH$3="","",IF(CH$3=Steps,MAX(IF(CallPut=1,UndTree!CH11-Strike,Strike-UndTree!CH11),0),MAX((2-AmEur)*IF(CallPut=1,UndTree!CH11-Strike,Strike-UndTree!CH11),(UpProb*CI11+DownProb*CI12)*StepDiscount)))</f>
        <v>601.9395339871196</v>
      </c>
      <c r="CI11" s="17">
        <f>IF(CI$3="","",IF(CI$3=Steps,MAX(IF(CallPut=1,UndTree!CI11-Strike,Strike-UndTree!CI11),0),MAX((2-AmEur)*IF(CallPut=1,UndTree!CI11-Strike,Strike-UndTree!CI11),(UpProb*CJ11+DownProb*CJ12)*StepDiscount)))</f>
        <v>623.10526778839846</v>
      </c>
      <c r="CJ11" s="17">
        <f>IF(CJ$3="","",IF(CJ$3=Steps,MAX(IF(CallPut=1,UndTree!CJ11-Strike,Strike-UndTree!CJ11),0),MAX((2-AmEur)*IF(CallPut=1,UndTree!CJ11-Strike,Strike-UndTree!CJ11),(UpProb*CK11+DownProb*CK12)*StepDiscount)))</f>
        <v>644.91329178171202</v>
      </c>
      <c r="CK11" s="17">
        <f>IF(CK$3="","",IF(CK$3=Steps,MAX(IF(CallPut=1,UndTree!CK11-Strike,Strike-UndTree!CK11),0),MAX((2-AmEur)*IF(CallPut=1,UndTree!CK11-Strike,Strike-UndTree!CK11),(UpProb*CL11+DownProb*CL12)*StepDiscount)))</f>
        <v>667.38305055103797</v>
      </c>
      <c r="CL11" s="17">
        <f>IF(CL$3="","",IF(CL$3=Steps,MAX(IF(CallPut=1,UndTree!CL11-Strike,Strike-UndTree!CL11),0),MAX((2-AmEur)*IF(CallPut=1,UndTree!CL11-Strike,Strike-UndTree!CL11),(UpProb*CM11+DownProb*CM12)*StepDiscount)))</f>
        <v>690.53457731812352</v>
      </c>
      <c r="CM11" s="17">
        <f>IF(CM$3="","",IF(CM$3=Steps,MAX(IF(CallPut=1,UndTree!CM11-Strike,Strike-UndTree!CM11),0),MAX((2-AmEur)*IF(CallPut=1,UndTree!CM11-Strike,Strike-UndTree!CM11),(UpProb*CN11+DownProb*CN12)*StepDiscount)))</f>
        <v>714.38851176205765</v>
      </c>
      <c r="CN11" s="17">
        <f>IF(CN$3="","",IF(CN$3=Steps,MAX(IF(CallPut=1,UndTree!CN11-Strike,Strike-UndTree!CN11),0),MAX((2-AmEur)*IF(CallPut=1,UndTree!CN11-Strike,Strike-UndTree!CN11),(UpProb*CO11+DownProb*CO12)*StepDiscount)))</f>
        <v>738.96611837828573</v>
      </c>
      <c r="CO11" s="17">
        <f>IF(CO$3="","",IF(CO$3=Steps,MAX(IF(CallPut=1,UndTree!CO11-Strike,Strike-UndTree!CO11),0),MAX((2-AmEur)*IF(CallPut=1,UndTree!CO11-Strike,Strike-UndTree!CO11),(UpProb*CP11+DownProb*CP12)*StepDiscount)))</f>
        <v>764.28930539340286</v>
      </c>
      <c r="CP11" s="17">
        <f>IF(CP$3="","",IF(CP$3=Steps,MAX(IF(CallPut=1,UndTree!CP11-Strike,Strike-UndTree!CP11),0),MAX((2-AmEur)*IF(CallPut=1,UndTree!CP11-Strike,Strike-UndTree!CP11),(UpProb*CQ11+DownProb*CQ12)*StepDiscount)))</f>
        <v>790.38064425254652</v>
      </c>
      <c r="CQ11" s="17">
        <f>IF(CQ$3="","",IF(CQ$3=Steps,MAX(IF(CallPut=1,UndTree!CQ11-Strike,Strike-UndTree!CQ11),0),MAX((2-AmEur)*IF(CallPut=1,UndTree!CQ11-Strike,Strike-UndTree!CQ11),(UpProb*CR11+DownProb*CR12)*StepDiscount)))</f>
        <v>817.26338969672656</v>
      </c>
      <c r="CR11" s="17">
        <f>IF(CR$3="","",IF(CR$3=Steps,MAX(IF(CallPut=1,UndTree!CR11-Strike,Strike-UndTree!CR11),0),MAX((2-AmEur)*IF(CallPut=1,UndTree!CR11-Strike,Strike-UndTree!CR11),(UpProb*CS11+DownProb*CS12)*StepDiscount)))</f>
        <v>844.96150044794501</v>
      </c>
      <c r="CS11" s="17">
        <f>IF(CS$3="","",IF(CS$3=Steps,MAX(IF(CallPut=1,UndTree!CS11-Strike,Strike-UndTree!CS11),0),MAX((2-AmEur)*IF(CallPut=1,UndTree!CS11-Strike,Strike-UndTree!CS11),(UpProb*CT11+DownProb*CT12)*StepDiscount)))</f>
        <v>873.49966052050479</v>
      </c>
      <c r="CT11" s="17">
        <f>IF(CT$3="","",IF(CT$3=Steps,MAX(IF(CallPut=1,UndTree!CT11-Strike,Strike-UndTree!CT11),0),MAX((2-AmEur)*IF(CallPut=1,UndTree!CT11-Strike,Strike-UndTree!CT11),(UpProb*CU11+DownProb*CU12)*StepDiscount)))</f>
        <v>902.90330117745657</v>
      </c>
      <c r="CU11" s="17">
        <f>IF(CU$3="","",IF(CU$3=Steps,MAX(IF(CallPut=1,UndTree!CU11-Strike,Strike-UndTree!CU11),0),MAX((2-AmEur)*IF(CallPut=1,UndTree!CU11-Strike,Strike-UndTree!CU11),(UpProb*CV11+DownProb*CV12)*StepDiscount)))</f>
        <v>933.19862355171301</v>
      </c>
      <c r="CV11" s="17">
        <f>IF(CV$3="","",IF(CV$3=Steps,MAX(IF(CallPut=1,UndTree!CV11-Strike,Strike-UndTree!CV11),0),MAX((2-AmEur)*IF(CallPut=1,UndTree!CV11-Strike,Strike-UndTree!CV11),(UpProb*CW11+DownProb*CW12)*StepDiscount)))</f>
        <v>964.41262195195679</v>
      </c>
      <c r="CW11" s="17">
        <f>IF(CW$3="","",IF(CW$3=Steps,MAX(IF(CallPut=1,UndTree!CW11-Strike,Strike-UndTree!CW11),0),MAX((2-AmEur)*IF(CallPut=1,UndTree!CW11-Strike,Strike-UndTree!CW11),(UpProb*CX11+DownProb*CX12)*StepDiscount)))</f>
        <v>996.57310787409267</v>
      </c>
      <c r="CX11" s="17">
        <f>IF(CX$3="","",IF(CX$3=Steps,MAX(IF(CallPut=1,UndTree!CX11-Strike,Strike-UndTree!CX11),0),MAX((2-AmEur)*IF(CallPut=1,UndTree!CX11-Strike,Strike-UndTree!CX11),(UpProb*CY11+DownProb*CY12)*StepDiscount)))</f>
        <v>1029.7087347396166</v>
      </c>
      <c r="CY11" s="17">
        <f>IF(CY$3="","",IF(CY$3=Steps,MAX(IF(CallPut=1,UndTree!CY11-Strike,Strike-UndTree!CY11),0),MAX((2-AmEur)*IF(CallPut=1,UndTree!CY11-Strike,Strike-UndTree!CY11),(UpProb*CZ11+DownProb*CZ12)*StepDiscount)))</f>
        <v>1063.8490233829309</v>
      </c>
      <c r="CZ11" s="17">
        <f>IF(CZ$3="","",IF(CZ$3=Steps,MAX(IF(CallPut=1,UndTree!CZ11-Strike,Strike-UndTree!CZ11),0),MAX((2-AmEur)*IF(CallPut=1,UndTree!CZ11-Strike,Strike-UndTree!CZ11),(UpProb*DA11+DownProb*DA12)*StepDiscount)))</f>
        <v>1099.024388310329</v>
      </c>
      <c r="DA11" s="17">
        <f>IF(DA$3="","",IF(DA$3=Steps,MAX(IF(CallPut=1,UndTree!DA11-Strike,Strike-UndTree!DA11),0),MAX((2-AmEur)*IF(CallPut=1,UndTree!DA11-Strike,Strike-UndTree!DA11),(UpProb*DB11+DownProb*DB12)*StepDiscount)))</f>
        <v>1135.2661647539023</v>
      </c>
      <c r="DB11" s="17">
        <f>IF(DB$3="","",IF(DB$3=Steps,MAX(IF(CallPut=1,UndTree!DB11-Strike,Strike-UndTree!DB11),0),MAX((2-AmEur)*IF(CallPut=1,UndTree!DB11-Strike,Strike-UndTree!DB11),(UpProb*DC11+DownProb*DC12)*StepDiscount)))</f>
        <v>1172.6066365434999</v>
      </c>
    </row>
    <row r="12" spans="1:106" x14ac:dyDescent="0.2">
      <c r="A12">
        <f>ExDivTree!A12</f>
        <v>202095455099.99994</v>
      </c>
      <c r="B12" s="71">
        <f>ExDivTree!B12</f>
        <v>7.9712601825619149E-20</v>
      </c>
      <c r="C12" s="71">
        <f>ExDivTree!C12</f>
        <v>9.9819555924848361E-20</v>
      </c>
      <c r="D12" s="177">
        <f>ExDivTree!D12</f>
        <v>8</v>
      </c>
      <c r="M12" s="17">
        <f>IF(M$3="","",IF(M$3=Steps,MAX(IF(CallPut=1,UndTree!M12-Strike,Strike-UndTree!M12),0),MAX((2-AmEur)*IF(CallPut=1,UndTree!M12-Strike,Strike-UndTree!M12),(UpProb*N12+DownProb*N13)*StepDiscount)))</f>
        <v>2.7231235562381353</v>
      </c>
      <c r="N12" s="17">
        <f>IF(N$3="","",IF(N$3=Steps,MAX(IF(CallPut=1,UndTree!N12-Strike,Strike-UndTree!N12),0),MAX((2-AmEur)*IF(CallPut=1,UndTree!N12-Strike,Strike-UndTree!N12),(UpProb*O12+DownProb*O13)*StepDiscount)))</f>
        <v>3.2670134668309934</v>
      </c>
      <c r="O12" s="17">
        <f>IF(O$3="","",IF(O$3=Steps,MAX(IF(CallPut=1,UndTree!O12-Strike,Strike-UndTree!O12),0),MAX((2-AmEur)*IF(CallPut=1,UndTree!O12-Strike,Strike-UndTree!O12),(UpProb*P12+DownProb*P13)*StepDiscount)))</f>
        <v>3.8999398976629585</v>
      </c>
      <c r="P12" s="17">
        <f>IF(P$3="","",IF(P$3=Steps,MAX(IF(CallPut=1,UndTree!P12-Strike,Strike-UndTree!P12),0),MAX((2-AmEur)*IF(CallPut=1,UndTree!P12-Strike,Strike-UndTree!P12),(UpProb*Q12+DownProb*Q13)*StepDiscount)))</f>
        <v>4.6321139605569339</v>
      </c>
      <c r="Q12" s="17">
        <f>IF(Q$3="","",IF(Q$3=Steps,MAX(IF(CallPut=1,UndTree!Q12-Strike,Strike-UndTree!Q12),0),MAX((2-AmEur)*IF(CallPut=1,UndTree!Q12-Strike,Strike-UndTree!Q12),(UpProb*R12+DownProb*R13)*StepDiscount)))</f>
        <v>5.4740491159049265</v>
      </c>
      <c r="R12" s="17">
        <f>IF(R$3="","",IF(R$3=Steps,MAX(IF(CallPut=1,UndTree!R12-Strike,Strike-UndTree!R12),0),MAX((2-AmEur)*IF(CallPut=1,UndTree!R12-Strike,Strike-UndTree!R12),(UpProb*S12+DownProb*S13)*StepDiscount)))</f>
        <v>6.4364035209732258</v>
      </c>
      <c r="S12" s="17">
        <f>IF(S$3="","",IF(S$3=Steps,MAX(IF(CallPut=1,UndTree!S12-Strike,Strike-UndTree!S12),0),MAX((2-AmEur)*IF(CallPut=1,UndTree!S12-Strike,Strike-UndTree!S12),(UpProb*T12+DownProb*T13)*StepDiscount)))</f>
        <v>7.5298000435548378</v>
      </c>
      <c r="T12" s="17">
        <f>IF(T$3="","",IF(T$3=Steps,MAX(IF(CallPut=1,UndTree!T12-Strike,Strike-UndTree!T12),0),MAX((2-AmEur)*IF(CallPut=1,UndTree!T12-Strike,Strike-UndTree!T12),(UpProb*U12+DownProb*U13)*StepDiscount)))</f>
        <v>8.7646289251034464</v>
      </c>
      <c r="U12" s="17">
        <f>IF(U$3="","",IF(U$3=Steps,MAX(IF(CallPut=1,UndTree!U12-Strike,Strike-UndTree!U12),0),MAX((2-AmEur)*IF(CallPut=1,UndTree!U12-Strike,Strike-UndTree!U12),(UpProb*V12+DownProb*V13)*StepDiscount)))</f>
        <v>10.150839852999791</v>
      </c>
      <c r="V12" s="17">
        <f>IF(V$3="","",IF(V$3=Steps,MAX(IF(CallPut=1,UndTree!V12-Strike,Strike-UndTree!V12),0),MAX((2-AmEur)*IF(CallPut=1,UndTree!V12-Strike,Strike-UndTree!V12),(UpProb*W12+DownProb*W13)*StepDiscount)))</f>
        <v>11.697731816845447</v>
      </c>
      <c r="W12" s="17">
        <f>IF(W$3="","",IF(W$3=Steps,MAX(IF(CallPut=1,UndTree!W12-Strike,Strike-UndTree!W12),0),MAX((2-AmEur)*IF(CallPut=1,UndTree!W12-Strike,Strike-UndTree!W12),(UpProb*X12+DownProb*X13)*StepDiscount)))</f>
        <v>13.413750416450627</v>
      </c>
      <c r="X12" s="17">
        <f>IF(X$3="","",IF(X$3=Steps,MAX(IF(CallPut=1,UndTree!X12-Strike,Strike-UndTree!X12),0),MAX((2-AmEur)*IF(CallPut=1,UndTree!X12-Strike,Strike-UndTree!X12),(UpProb*Y12+DownProb*Y13)*StepDiscount)))</f>
        <v>15.306303094869563</v>
      </c>
      <c r="Y12" s="17">
        <f>IF(Y$3="","",IF(Y$3=Steps,MAX(IF(CallPut=1,UndTree!Y12-Strike,Strike-UndTree!Y12),0),MAX((2-AmEur)*IF(CallPut=1,UndTree!Y12-Strike,Strike-UndTree!Y12),(UpProb*Z12+DownProb*Z13)*StepDiscount)))</f>
        <v>17.381602938640398</v>
      </c>
      <c r="Z12" s="17">
        <f>IF(Z$3="","",IF(Z$3=Steps,MAX(IF(CallPut=1,UndTree!Z12-Strike,Strike-UndTree!Z12),0),MAX((2-AmEur)*IF(CallPut=1,UndTree!Z12-Strike,Strike-UndTree!Z12),(UpProb*AA12+DownProb*AA13)*StepDiscount)))</f>
        <v>19.64455110377347</v>
      </c>
      <c r="AA12" s="17">
        <f>IF(AA$3="","",IF(AA$3=Steps,MAX(IF(CallPut=1,UndTree!AA12-Strike,Strike-UndTree!AA12),0),MAX((2-AmEur)*IF(CallPut=1,UndTree!AA12-Strike,Strike-UndTree!AA12),(UpProb*AB12+DownProb*AB13)*StepDiscount)))</f>
        <v>22.098666528339173</v>
      </c>
      <c r="AB12" s="17">
        <f>IF(AB$3="","",IF(AB$3=Steps,MAX(IF(CallPut=1,UndTree!AB12-Strike,Strike-UndTree!AB12),0),MAX((2-AmEur)*IF(CallPut=1,UndTree!AB12-Strike,Strike-UndTree!AB12),(UpProb*AC12+DownProb*AC13)*StepDiscount)))</f>
        <v>24.746069390047133</v>
      </c>
      <c r="AC12" s="17">
        <f>IF(AC$3="","",IF(AC$3=Steps,MAX(IF(CallPut=1,UndTree!AC12-Strike,Strike-UndTree!AC12),0),MAX((2-AmEur)*IF(CallPut=1,UndTree!AC12-Strike,Strike-UndTree!AC12),(UpProb*AD12+DownProb*AD13)*StepDiscount)))</f>
        <v>27.587521851934234</v>
      </c>
      <c r="AD12" s="17">
        <f>IF(AD$3="","",IF(AD$3=Steps,MAX(IF(CallPut=1,UndTree!AD12-Strike,Strike-UndTree!AD12),0),MAX((2-AmEur)*IF(CallPut=1,UndTree!AD12-Strike,Strike-UndTree!AD12),(UpProb*AE12+DownProb*AE13)*StepDiscount)))</f>
        <v>30.622526189159014</v>
      </c>
      <c r="AE12" s="17">
        <f>IF(AE$3="","",IF(AE$3=Steps,MAX(IF(CallPut=1,UndTree!AE12-Strike,Strike-UndTree!AE12),0),MAX((2-AmEur)*IF(CallPut=1,UndTree!AE12-Strike,Strike-UndTree!AE12),(UpProb*AF12+DownProb*AF13)*StepDiscount)))</f>
        <v>33.849476661786035</v>
      </c>
      <c r="AF12" s="17">
        <f>IF(AF$3="","",IF(AF$3=Steps,MAX(IF(CallPut=1,UndTree!AF12-Strike,Strike-UndTree!AF12),0),MAX((2-AmEur)*IF(CallPut=1,UndTree!AF12-Strike,Strike-UndTree!AF12),(UpProb*AG12+DownProb*AG13)*StepDiscount)))</f>
        <v>37.265857809350621</v>
      </c>
      <c r="AG12" s="17">
        <f>IF(AG$3="","",IF(AG$3=Steps,MAX(IF(CallPut=1,UndTree!AG12-Strike,Strike-UndTree!AG12),0),MAX((2-AmEur)*IF(CallPut=1,UndTree!AG12-Strike,Strike-UndTree!AG12),(UpProb*AH12+DownProb*AH13)*StepDiscount)))</f>
        <v>40.86847854032321</v>
      </c>
      <c r="AH12" s="17">
        <f>IF(AH$3="","",IF(AH$3=Steps,MAX(IF(CallPut=1,UndTree!AH12-Strike,Strike-UndTree!AH12),0),MAX((2-AmEur)*IF(CallPut=1,UndTree!AH12-Strike,Strike-UndTree!AH12),(UpProb*AI12+DownProb*AI13)*StepDiscount)))</f>
        <v>44.65372881274488</v>
      </c>
      <c r="AI12" s="17">
        <f>IF(AI$3="","",IF(AI$3=Steps,MAX(IF(CallPut=1,UndTree!AI12-Strike,Strike-UndTree!AI12),0),MAX((2-AmEur)*IF(CallPut=1,UndTree!AI12-Strike,Strike-UndTree!AI12),(UpProb*AJ12+DownProb*AJ13)*StepDiscount)))</f>
        <v>48.617844139997565</v>
      </c>
      <c r="AJ12" s="17">
        <f>IF(AJ$3="","",IF(AJ$3=Steps,MAX(IF(CallPut=1,UndTree!AJ12-Strike,Strike-UndTree!AJ12),0),MAX((2-AmEur)*IF(CallPut=1,UndTree!AJ12-Strike,Strike-UndTree!AJ12),(UpProb*AK12+DownProb*AK13)*StepDiscount)))</f>
        <v>52.757162804795129</v>
      </c>
      <c r="AK12" s="17">
        <f>IF(AK$3="","",IF(AK$3=Steps,MAX(IF(CallPut=1,UndTree!AK12-Strike,Strike-UndTree!AK12),0),MAX((2-AmEur)*IF(CallPut=1,UndTree!AK12-Strike,Strike-UndTree!AK12),(UpProb*AL12+DownProb*AL13)*StepDiscount)))</f>
        <v>57.068361597088362</v>
      </c>
      <c r="AL12" s="17">
        <f>IF(AL$3="","",IF(AL$3=Steps,MAX(IF(CallPut=1,UndTree!AL12-Strike,Strike-UndTree!AL12),0),MAX((2-AmEur)*IF(CallPut=1,UndTree!AL12-Strike,Strike-UndTree!AL12),(UpProb*AM12+DownProb*AM13)*StepDiscount)))</f>
        <v>61.548658036247808</v>
      </c>
      <c r="AM12" s="17">
        <f>IF(AM$3="","",IF(AM$3=Steps,MAX(IF(CallPut=1,UndTree!AM12-Strike,Strike-UndTree!AM12),0),MAX((2-AmEur)*IF(CallPut=1,UndTree!AM12-Strike,Strike-UndTree!AM12),(UpProb*AN12+DownProb*AN13)*StepDiscount)))</f>
        <v>66.195970180180439</v>
      </c>
      <c r="AN12" s="17">
        <f>IF(AN$3="","",IF(AN$3=Steps,MAX(IF(CallPut=1,UndTree!AN12-Strike,Strike-UndTree!AN12),0),MAX((2-AmEur)*IF(CallPut=1,UndTree!AN12-Strike,Strike-UndTree!AN12),(UpProb*AO12+DownProb*AO13)*StepDiscount)))</f>
        <v>71.009028927979713</v>
      </c>
      <c r="AO12" s="17">
        <f>IF(AO$3="","",IF(AO$3=Steps,MAX(IF(CallPut=1,UndTree!AO12-Strike,Strike-UndTree!AO12),0),MAX((2-AmEur)*IF(CallPut=1,UndTree!AO12-Strike,Strike-UndTree!AO12),(UpProb*AP12+DownProb*AP13)*StepDiscount)))</f>
        <v>75.987441771817359</v>
      </c>
      <c r="AP12" s="17">
        <f>IF(AP$3="","",IF(AP$3=Steps,MAX(IF(CallPut=1,UndTree!AP12-Strike,Strike-UndTree!AP12),0),MAX((2-AmEur)*IF(CallPut=1,UndTree!AP12-Strike,Strike-UndTree!AP12),(UpProb*AQ12+DownProb*AQ13)*StepDiscount)))</f>
        <v>81.131710806319617</v>
      </c>
      <c r="AQ12" s="17">
        <f>IF(AQ$3="","",IF(AQ$3=Steps,MAX(IF(CallPut=1,UndTree!AQ12-Strike,Strike-UndTree!AQ12),0),MAX((2-AmEur)*IF(CallPut=1,UndTree!AQ12-Strike,Strike-UndTree!AQ12),(UpProb*AR12+DownProb*AR13)*StepDiscount)))</f>
        <v>86.443211053759697</v>
      </c>
      <c r="AR12" s="17">
        <f>IF(AR$3="","",IF(AR$3=Steps,MAX(IF(CallPut=1,UndTree!AR12-Strike,Strike-UndTree!AR12),0),MAX((2-AmEur)*IF(CallPut=1,UndTree!AR12-Strike,Strike-UndTree!AR12),(UpProb*AS12+DownProb*AS13)*StepDiscount)))</f>
        <v>91.924137497813973</v>
      </c>
      <c r="AS12" s="17">
        <f>IF(AS$3="","",IF(AS$3=Steps,MAX(IF(CallPut=1,UndTree!AS12-Strike,Strike-UndTree!AS12),0),MAX((2-AmEur)*IF(CallPut=1,UndTree!AS12-Strike,Strike-UndTree!AS12),(UpProb*AT12+DownProb*AT13)*StepDiscount)))</f>
        <v>97.57743045916493</v>
      </c>
      <c r="AT12" s="17">
        <f>IF(AT$3="","",IF(AT$3=Steps,MAX(IF(CallPut=1,UndTree!AT12-Strike,Strike-UndTree!AT12),0),MAX((2-AmEur)*IF(CallPut=1,UndTree!AT12-Strike,Strike-UndTree!AT12),(UpProb*AU12+DownProb*AU13)*StepDiscount)))</f>
        <v>103.40668906982702</v>
      </c>
      <c r="AU12" s="17">
        <f>IF(AU$3="","",IF(AU$3=Steps,MAX(IF(CallPut=1,UndTree!AU12-Strike,Strike-UndTree!AU12),0),MAX((2-AmEur)*IF(CallPut=1,UndTree!AU12-Strike,Strike-UndTree!AU12),(UpProb*AV12+DownProb*AV13)*StepDiscount)))</f>
        <v>109.41608173593121</v>
      </c>
      <c r="AV12" s="17">
        <f>IF(AV$3="","",IF(AV$3=Steps,MAX(IF(CallPut=1,UndTree!AV12-Strike,Strike-UndTree!AV12),0),MAX((2-AmEur)*IF(CallPut=1,UndTree!AV12-Strike,Strike-UndTree!AV12),(UpProb*AW12+DownProb*AW13)*StepDiscount)))</f>
        <v>115.61026086578399</v>
      </c>
      <c r="AW12" s="17">
        <f>IF(AW$3="","",IF(AW$3=Steps,MAX(IF(CallPut=1,UndTree!AW12-Strike,Strike-UndTree!AW12),0),MAX((2-AmEur)*IF(CallPut=1,UndTree!AW12-Strike,Strike-UndTree!AW12),(UpProb*AX12+DownProb*AX13)*StepDiscount)))</f>
        <v>121.99428709621411</v>
      </c>
      <c r="AX12" s="17">
        <f>IF(AX$3="","",IF(AX$3=Steps,MAX(IF(CallPut=1,UndTree!AX12-Strike,Strike-UndTree!AX12),0),MAX((2-AmEur)*IF(CallPut=1,UndTree!AX12-Strike,Strike-UndTree!AX12),(UpProb*AY12+DownProb*AY13)*StepDiscount)))</f>
        <v>128.57356610336777</v>
      </c>
      <c r="AY12" s="17">
        <f>IF(AY$3="","",IF(AY$3=Steps,MAX(IF(CallPut=1,UndTree!AY12-Strike,Strike-UndTree!AY12),0),MAX((2-AmEur)*IF(CallPut=1,UndTree!AY12-Strike,Strike-UndTree!AY12),(UpProb*AZ12+DownProb*AZ13)*StepDiscount)))</f>
        <v>135.35379912131768</v>
      </c>
      <c r="AZ12" s="17">
        <f>IF(AZ$3="","",IF(AZ$3=Steps,MAX(IF(CallPut=1,UndTree!AZ12-Strike,Strike-UndTree!AZ12),0),MAX((2-AmEur)*IF(CallPut=1,UndTree!AZ12-Strike,Strike-UndTree!AZ12),(UpProb*BA12+DownProb*BA13)*StepDiscount)))</f>
        <v>142.34094671943058</v>
      </c>
      <c r="BA12" s="17">
        <f>IF(BA$3="","",IF(BA$3=Steps,MAX(IF(CallPut=1,UndTree!BA12-Strike,Strike-UndTree!BA12),0),MAX((2-AmEur)*IF(CallPut=1,UndTree!BA12-Strike,Strike-UndTree!BA12),(UpProb*BB12+DownProb*BB13)*StepDiscount)))</f>
        <v>149.54120431311043</v>
      </c>
      <c r="BB12" s="17">
        <f>IF(BB$3="","",IF(BB$3=Steps,MAX(IF(CallPut=1,UndTree!BB12-Strike,Strike-UndTree!BB12),0),MAX((2-AmEur)*IF(CallPut=1,UndTree!BB12-Strike,Strike-UndTree!BB12),(UpProb*BC12+DownProb*BC13)*StepDiscount)))</f>
        <v>156.96098730942225</v>
      </c>
      <c r="BC12" s="17">
        <f>IF(BC$3="","",IF(BC$3=Steps,MAX(IF(CallPut=1,UndTree!BC12-Strike,Strike-UndTree!BC12),0),MAX((2-AmEur)*IF(CallPut=1,UndTree!BC12-Strike,Strike-UndTree!BC12),(UpProb*BD12+DownProb*BD13)*StepDiscount)))</f>
        <v>164.60692364802713</v>
      </c>
      <c r="BD12" s="17">
        <f>IF(BD$3="","",IF(BD$3=Steps,MAX(IF(CallPut=1,UndTree!BD12-Strike,Strike-UndTree!BD12),0),MAX((2-AmEur)*IF(CallPut=1,UndTree!BD12-Strike,Strike-UndTree!BD12),(UpProb*BE12+DownProb*BE13)*StepDiscount)))</f>
        <v>172.4858516706131</v>
      </c>
      <c r="BE12" s="17">
        <f>IF(BE$3="","",IF(BE$3=Steps,MAX(IF(CallPut=1,UndTree!BE12-Strike,Strike-UndTree!BE12),0),MAX((2-AmEur)*IF(CallPut=1,UndTree!BE12-Strike,Strike-UndTree!BE12),(UpProb*BF12+DownProb*BF13)*StepDiscount)))</f>
        <v>180.6048216067868</v>
      </c>
      <c r="BF12" s="17">
        <f>IF(BF$3="","",IF(BF$3=Steps,MAX(IF(CallPut=1,UndTree!BF12-Strike,Strike-UndTree!BF12),0),MAX((2-AmEur)*IF(CallPut=1,UndTree!BF12-Strike,Strike-UndTree!BF12),(UpProb*BG12+DownProb*BG13)*StepDiscount)))</f>
        <v>188.97109938359276</v>
      </c>
      <c r="BG12" s="17">
        <f>IF(BG$3="","",IF(BG$3=Steps,MAX(IF(CallPut=1,UndTree!BG12-Strike,Strike-UndTree!BG12),0),MAX((2-AmEur)*IF(CallPut=1,UndTree!BG12-Strike,Strike-UndTree!BG12),(UpProb*BH12+DownProb*BH13)*StepDiscount)))</f>
        <v>197.59217186324335</v>
      </c>
      <c r="BH12" s="17">
        <f>IF(BH$3="","",IF(BH$3=Steps,MAX(IF(CallPut=1,UndTree!BH12-Strike,Strike-UndTree!BH12),0),MAX((2-AmEur)*IF(CallPut=1,UndTree!BH12-Strike,Strike-UndTree!BH12),(UpProb*BI12+DownProb*BI13)*StepDiscount)))</f>
        <v>206.47575293993091</v>
      </c>
      <c r="BI12" s="17">
        <f>IF(BI$3="","",IF(BI$3=Steps,MAX(IF(CallPut=1,UndTree!BI12-Strike,Strike-UndTree!BI12),0),MAX((2-AmEur)*IF(CallPut=1,UndTree!BI12-Strike,Strike-UndTree!BI12),(UpProb*BJ12+DownProb*BJ13)*StepDiscount)))</f>
        <v>215.62979016504673</v>
      </c>
      <c r="BJ12" s="17">
        <f>IF(BJ$3="","",IF(BJ$3=Steps,MAX(IF(CallPut=1,UndTree!BJ12-Strike,Strike-UndTree!BJ12),0),MAX((2-AmEur)*IF(CallPut=1,UndTree!BJ12-Strike,Strike-UndTree!BJ12),(UpProb*BK12+DownProb*BK13)*StepDiscount)))</f>
        <v>225.06247172687461</v>
      </c>
      <c r="BK12" s="17">
        <f>IF(BK$3="","",IF(BK$3=Steps,MAX(IF(CallPut=1,UndTree!BK12-Strike,Strike-UndTree!BK12),0),MAX((2-AmEur)*IF(CallPut=1,UndTree!BK12-Strike,Strike-UndTree!BK12),(UpProb*BL12+DownProb*BL13)*StepDiscount)))</f>
        <v>234.78223370370839</v>
      </c>
      <c r="BL12" s="17">
        <f>IF(BL$3="","",IF(BL$3=Steps,MAX(IF(CallPut=1,UndTree!BL12-Strike,Strike-UndTree!BL12),0),MAX((2-AmEur)*IF(CallPut=1,UndTree!BL12-Strike,Strike-UndTree!BL12),(UpProb*BM12+DownProb*BM13)*StepDiscount)))</f>
        <v>244.7977675588287</v>
      </c>
      <c r="BM12" s="17">
        <f>IF(BM$3="","",IF(BM$3=Steps,MAX(IF(CallPut=1,UndTree!BM12-Strike,Strike-UndTree!BM12),0),MAX((2-AmEur)*IF(CallPut=1,UndTree!BM12-Strike,Strike-UndTree!BM12),(UpProb*BN12+DownProb*BN13)*StepDiscount)))</f>
        <v>255.11802786934047</v>
      </c>
      <c r="BN12" s="17">
        <f>IF(BN$3="","",IF(BN$3=Steps,MAX(IF(CallPut=1,UndTree!BN12-Strike,Strike-UndTree!BN12),0),MAX((2-AmEur)*IF(CallPut=1,UndTree!BN12-Strike,Strike-UndTree!BN12),(UpProb*BO12+DownProb*BO13)*StepDiscount)))</f>
        <v>265.75224029082926</v>
      </c>
      <c r="BO12" s="17">
        <f>IF(BO$3="","",IF(BO$3=Steps,MAX(IF(CallPut=1,UndTree!BO12-Strike,Strike-UndTree!BO12),0),MAX((2-AmEur)*IF(CallPut=1,UndTree!BO12-Strike,Strike-UndTree!BO12),(UpProb*BP12+DownProb*BP13)*StepDiscount)))</f>
        <v>276.70990976352755</v>
      </c>
      <c r="BP12" s="17">
        <f>IF(BP$3="","",IF(BP$3=Steps,MAX(IF(CallPut=1,UndTree!BP12-Strike,Strike-UndTree!BP12),0),MAX((2-AmEur)*IF(CallPut=1,UndTree!BP12-Strike,Strike-UndTree!BP12),(UpProb*BQ12+DownProb*BQ13)*StepDiscount)))</f>
        <v>288.00082896696841</v>
      </c>
      <c r="BQ12" s="17">
        <f>IF(BQ$3="","",IF(BQ$3=Steps,MAX(IF(CallPut=1,UndTree!BQ12-Strike,Strike-UndTree!BQ12),0),MAX((2-AmEur)*IF(CallPut=1,UndTree!BQ12-Strike,Strike-UndTree!BQ12),(UpProb*BR12+DownProb*BR13)*StepDiscount)))</f>
        <v>299.63508703059063</v>
      </c>
      <c r="BR12" s="17">
        <f>IF(BR$3="","",IF(BR$3=Steps,MAX(IF(CallPut=1,UndTree!BR12-Strike,Strike-UndTree!BR12),0),MAX((2-AmEur)*IF(CallPut=1,UndTree!BR12-Strike,Strike-UndTree!BR12),(UpProb*BS12+DownProb*BS13)*StepDiscount)))</f>
        <v>311.62307850803654</v>
      </c>
      <c r="BS12" s="17">
        <f>IF(BS$3="","",IF(BS$3=Steps,MAX(IF(CallPut=1,UndTree!BS12-Strike,Strike-UndTree!BS12),0),MAX((2-AmEur)*IF(CallPut=1,UndTree!BS12-Strike,Strike-UndTree!BS12),(UpProb*BT12+DownProb*BT13)*StepDiscount)))</f>
        <v>323.97551262312538</v>
      </c>
      <c r="BT12" s="17">
        <f>IF(BT$3="","",IF(BT$3=Steps,MAX(IF(CallPut=1,UndTree!BT12-Strike,Strike-UndTree!BT12),0),MAX((2-AmEur)*IF(CallPut=1,UndTree!BT12-Strike,Strike-UndTree!BT12),(UpProb*BU12+DownProb*BU13)*StepDiscount)))</f>
        <v>336.70342279572537</v>
      </c>
      <c r="BU12" s="17">
        <f>IF(BU$3="","",IF(BU$3=Steps,MAX(IF(CallPut=1,UndTree!BU12-Strike,Strike-UndTree!BU12),0),MAX((2-AmEur)*IF(CallPut=1,UndTree!BU12-Strike,Strike-UndTree!BU12),(UpProb*BV12+DownProb*BV13)*StepDiscount)))</f>
        <v>349.8181764559983</v>
      </c>
      <c r="BV12" s="17">
        <f>IF(BV$3="","",IF(BV$3=Steps,MAX(IF(CallPut=1,UndTree!BV12-Strike,Strike-UndTree!BV12),0),MAX((2-AmEur)*IF(CallPut=1,UndTree!BV12-Strike,Strike-UndTree!BV12),(UpProb*BW12+DownProb*BW13)*StepDiscount)))</f>
        <v>363.33148515574663</v>
      </c>
      <c r="BW12" s="17">
        <f>IF(BW$3="","",IF(BW$3=Steps,MAX(IF(CallPut=1,UndTree!BW12-Strike,Strike-UndTree!BW12),0),MAX((2-AmEur)*IF(CallPut=1,UndTree!BW12-Strike,Strike-UndTree!BW12),(UpProb*BX12+DownProb*BX13)*StepDiscount)))</f>
        <v>377.2554149858571</v>
      </c>
      <c r="BX12" s="17">
        <f>IF(BX$3="","",IF(BX$3=Steps,MAX(IF(CallPut=1,UndTree!BX12-Strike,Strike-UndTree!BX12),0),MAX((2-AmEur)*IF(CallPut=1,UndTree!BX12-Strike,Strike-UndTree!BX12),(UpProb*BY12+DownProb*BY13)*StepDiscount)))</f>
        <v>391.60239730910644</v>
      </c>
      <c r="BY12" s="17">
        <f>IF(BY$3="","",IF(BY$3=Steps,MAX(IF(CallPut=1,UndTree!BY12-Strike,Strike-UndTree!BY12),0),MAX((2-AmEur)*IF(CallPut=1,UndTree!BY12-Strike,Strike-UndTree!BY12),(UpProb*BZ12+DownProb*BZ13)*StepDiscount)))</f>
        <v>406.38523981787694</v>
      </c>
      <c r="BZ12" s="17">
        <f>IF(BZ$3="","",IF(BZ$3=Steps,MAX(IF(CallPut=1,UndTree!BZ12-Strike,Strike-UndTree!BZ12),0),MAX((2-AmEur)*IF(CallPut=1,UndTree!BZ12-Strike,Strike-UndTree!BZ12),(UpProb*CA12+DownProb*CA13)*StepDiscount)))</f>
        <v>421.61713792661777</v>
      </c>
      <c r="CA12" s="17">
        <f>IF(CA$3="","",IF(CA$3=Steps,MAX(IF(CallPut=1,UndTree!CA12-Strike,Strike-UndTree!CA12),0),MAX((2-AmEur)*IF(CallPut=1,UndTree!CA12-Strike,Strike-UndTree!CA12),(UpProb*CB12+DownProb*CB13)*StepDiscount)))</f>
        <v>437.31168650918454</v>
      </c>
      <c r="CB12" s="17">
        <f>IF(CB$3="","",IF(CB$3=Steps,MAX(IF(CallPut=1,UndTree!CB12-Strike,Strike-UndTree!CB12),0),MAX((2-AmEur)*IF(CallPut=1,UndTree!CB12-Strike,Strike-UndTree!CB12),(UpProb*CC12+DownProb*CC13)*StepDiscount)))</f>
        <v>453.48289199149878</v>
      </c>
      <c r="CC12" s="17">
        <f>IF(CC$3="","",IF(CC$3=Steps,MAX(IF(CallPut=1,UndTree!CC12-Strike,Strike-UndTree!CC12),0),MAX((2-AmEur)*IF(CallPut=1,UndTree!CC12-Strike,Strike-UndTree!CC12),(UpProb*CD12+DownProb*CD13)*StepDiscount)))</f>
        <v>470.14518481028284</v>
      </c>
      <c r="CD12" s="17">
        <f>IF(CD$3="","",IF(CD$3=Steps,MAX(IF(CallPut=1,UndTree!CD12-Strike,Strike-UndTree!CD12),0),MAX((2-AmEur)*IF(CallPut=1,UndTree!CD12-Strike,Strike-UndTree!CD12),(UpProb*CE12+DownProb*CE13)*StepDiscount)))</f>
        <v>487.31343224895295</v>
      </c>
      <c r="CE12" s="17">
        <f>IF(CE$3="","",IF(CE$3=Steps,MAX(IF(CallPut=1,UndTree!CE12-Strike,Strike-UndTree!CE12),0),MAX((2-AmEur)*IF(CallPut=1,UndTree!CE12-Strike,Strike-UndTree!CE12),(UpProb*CF12+DownProb*CF13)*StepDiscount)))</f>
        <v>505.00295166208679</v>
      </c>
      <c r="CF12" s="17">
        <f>IF(CF$3="","",IF(CF$3=Steps,MAX(IF(CallPut=1,UndTree!CF12-Strike,Strike-UndTree!CF12),0),MAX((2-AmEur)*IF(CallPut=1,UndTree!CF12-Strike,Strike-UndTree!CF12),(UpProb*CG12+DownProb*CG13)*StepDiscount)))</f>
        <v>523.22952410023015</v>
      </c>
      <c r="CG12" s="17">
        <f>IF(CG$3="","",IF(CG$3=Steps,MAX(IF(CallPut=1,UndTree!CG12-Strike,Strike-UndTree!CG12),0),MAX((2-AmEur)*IF(CallPut=1,UndTree!CG12-Strike,Strike-UndTree!CG12),(UpProb*CH12+DownProb*CH13)*StepDiscount)))</f>
        <v>542.00940834716073</v>
      </c>
      <c r="CH12" s="17">
        <f>IF(CH$3="","",IF(CH$3=Steps,MAX(IF(CallPut=1,UndTree!CH12-Strike,Strike-UndTree!CH12),0),MAX((2-AmEur)*IF(CallPut=1,UndTree!CH12-Strike,Strike-UndTree!CH12),(UpProb*CI12+DownProb*CI13)*StepDiscount)))</f>
        <v>561.35935538209662</v>
      </c>
      <c r="CI12" s="17">
        <f>IF(CI$3="","",IF(CI$3=Steps,MAX(IF(CallPut=1,UndTree!CI12-Strike,Strike-UndTree!CI12),0),MAX((2-AmEur)*IF(CallPut=1,UndTree!CI12-Strike,Strike-UndTree!CI12),(UpProb*CJ12+DownProb*CJ13)*StepDiscount)))</f>
        <v>581.29662327971187</v>
      </c>
      <c r="CJ12" s="17">
        <f>IF(CJ$3="","",IF(CJ$3=Steps,MAX(IF(CallPut=1,UndTree!CJ12-Strike,Strike-UndTree!CJ12),0),MAX((2-AmEur)*IF(CallPut=1,UndTree!CJ12-Strike,Strike-UndTree!CJ12),(UpProb*CK12+DownProb*CK13)*StepDiscount)))</f>
        <v>601.83899256121629</v>
      </c>
      <c r="CK12" s="17">
        <f>IF(CK$3="","",IF(CK$3=Steps,MAX(IF(CallPut=1,UndTree!CK12-Strike,Strike-UndTree!CK12),0),MAX((2-AmEur)*IF(CallPut=1,UndTree!CK12-Strike,Strike-UndTree!CK12),(UpProb*CL12+DownProb*CL13)*StepDiscount)))</f>
        <v>623.00478201015039</v>
      </c>
      <c r="CL12" s="17">
        <f>IF(CL$3="","",IF(CL$3=Steps,MAX(IF(CallPut=1,UndTree!CL12-Strike,Strike-UndTree!CL12),0),MAX((2-AmEur)*IF(CallPut=1,UndTree!CL12-Strike,Strike-UndTree!CL12),(UpProb*CM12+DownProb*CM13)*StepDiscount)))</f>
        <v>644.81286496696362</v>
      </c>
      <c r="CM12" s="17">
        <f>IF(CM$3="","",IF(CM$3=Steps,MAX(IF(CallPut=1,UndTree!CM12-Strike,Strike-UndTree!CM12),0),MAX((2-AmEur)*IF(CallPut=1,UndTree!CM12-Strike,Strike-UndTree!CM12),(UpProb*CN12+DownProb*CN13)*StepDiscount)))</f>
        <v>667.28268611687247</v>
      </c>
      <c r="CN12" s="17">
        <f>IF(CN$3="","",IF(CN$3=Steps,MAX(IF(CallPut=1,UndTree!CN12-Strike,Strike-UndTree!CN12),0),MAX((2-AmEur)*IF(CallPut=1,UndTree!CN12-Strike,Strike-UndTree!CN12),(UpProb*CO12+DownProb*CO13)*StepDiscount)))</f>
        <v>690.4342787859282</v>
      </c>
      <c r="CO12" s="17">
        <f>IF(CO$3="","",IF(CO$3=Steps,MAX(IF(CallPut=1,UndTree!CO12-Strike,Strike-UndTree!CO12),0),MAX((2-AmEur)*IF(CallPut=1,UndTree!CO12-Strike,Strike-UndTree!CO12),(UpProb*CP12+DownProb*CP13)*StepDiscount)))</f>
        <v>714.28828276067884</v>
      </c>
      <c r="CP12" s="17">
        <f>IF(CP$3="","",IF(CP$3=Steps,MAX(IF(CallPut=1,UndTree!CP12-Strike,Strike-UndTree!CP12),0),MAX((2-AmEur)*IF(CallPut=1,UndTree!CP12-Strike,Strike-UndTree!CP12),(UpProb*CQ12+DownProb*CQ13)*StepDiscount)))</f>
        <v>738.86596264728155</v>
      </c>
      <c r="CQ12" s="17">
        <f>IF(CQ$3="","",IF(CQ$3=Steps,MAX(IF(CallPut=1,UndTree!CQ12-Strike,Strike-UndTree!CQ12),0),MAX((2-AmEur)*IF(CallPut=1,UndTree!CQ12-Strike,Strike-UndTree!CQ12),(UpProb*CR12+DownProb*CR13)*StepDiscount)))</f>
        <v>764.18922678639194</v>
      </c>
      <c r="CR12" s="17">
        <f>IF(CR$3="","",IF(CR$3=Steps,MAX(IF(CallPut=1,UndTree!CR12-Strike,Strike-UndTree!CR12),0),MAX((2-AmEur)*IF(CallPut=1,UndTree!CR12-Strike,Strike-UndTree!CR12),(UpProb*CS12+DownProb*CS13)*StepDiscount)))</f>
        <v>790.28064674066229</v>
      </c>
      <c r="CS12" s="17">
        <f>IF(CS$3="","",IF(CS$3=Steps,MAX(IF(CallPut=1,UndTree!CS12-Strike,Strike-UndTree!CS12),0),MAX((2-AmEur)*IF(CallPut=1,UndTree!CS12-Strike,Strike-UndTree!CS12),(UpProb*CT12+DownProb*CT13)*StepDiscount)))</f>
        <v>817.16347737217882</v>
      </c>
      <c r="CT12" s="17">
        <f>IF(CT$3="","",IF(CT$3=Steps,MAX(IF(CallPut=1,UndTree!CT12-Strike,Strike-UndTree!CT12),0),MAX((2-AmEur)*IF(CallPut=1,UndTree!CT12-Strike,Strike-UndTree!CT12),(UpProb*CU12+DownProb*CU13)*StepDiscount)))</f>
        <v>844.86167752769541</v>
      </c>
      <c r="CU12" s="17">
        <f>IF(CU$3="","",IF(CU$3=Steps,MAX(IF(CallPut=1,UndTree!CU12-Strike,Strike-UndTree!CU12),0),MAX((2-AmEur)*IF(CallPut=1,UndTree!CU12-Strike,Strike-UndTree!CU12),(UpProb*CV12+DownProb*CV13)*StepDiscount)))</f>
        <v>873.39993135005454</v>
      </c>
      <c r="CV12" s="17">
        <f>IF(CV$3="","",IF(CV$3=Steps,MAX(IF(CallPut=1,UndTree!CV12-Strike,Strike-UndTree!CV12),0),MAX((2-AmEur)*IF(CallPut=1,UndTree!CV12-Strike,Strike-UndTree!CV12),(UpProb*CW12+DownProb*CW13)*StepDiscount)))</f>
        <v>902.80367023474253</v>
      </c>
      <c r="CW12" s="17">
        <f>IF(CW$3="","",IF(CW$3=Steps,MAX(IF(CallPut=1,UndTree!CW12-Strike,Strike-UndTree!CW12),0),MAX((2-AmEur)*IF(CallPut=1,UndTree!CW12-Strike,Strike-UndTree!CW12),(UpProb*CX12+DownProb*CX13)*StepDiscount)))</f>
        <v>933.09909545110406</v>
      </c>
      <c r="CX12" s="17">
        <f>IF(CX$3="","",IF(CX$3=Steps,MAX(IF(CallPut=1,UndTree!CX12-Strike,Strike-UndTree!CX12),0),MAX((2-AmEur)*IF(CallPut=1,UndTree!CX12-Strike,Strike-UndTree!CX12),(UpProb*CY12+DownProb*CY13)*StepDiscount)))</f>
        <v>964.31320144835433</v>
      </c>
      <c r="CY12" s="17">
        <f>IF(CY$3="","",IF(CY$3=Steps,MAX(IF(CallPut=1,UndTree!CY12-Strike,Strike-UndTree!CY12),0),MAX((2-AmEur)*IF(CallPut=1,UndTree!CY12-Strike,Strike-UndTree!CY12),(UpProb*CZ12+DownProb*CZ13)*StepDiscount)))</f>
        <v>996.47379986713327</v>
      </c>
      <c r="CZ12" s="17">
        <f>IF(CZ$3="","",IF(CZ$3=Steps,MAX(IF(CallPut=1,UndTree!CZ12-Strike,Strike-UndTree!CZ12),0),MAX((2-AmEur)*IF(CallPut=1,UndTree!CZ12-Strike,Strike-UndTree!CZ12),(UpProb*DA12+DownProb*DA13)*StepDiscount)))</f>
        <v>1029.6095442779504</v>
      </c>
      <c r="DA12" s="17">
        <f>IF(DA$3="","",IF(DA$3=Steps,MAX(IF(CallPut=1,UndTree!DA12-Strike,Strike-UndTree!DA12),0),MAX((2-AmEur)*IF(CallPut=1,UndTree!DA12-Strike,Strike-UndTree!DA12),(UpProb*DB12+DownProb*DB13)*StepDiscount)))</f>
        <v>1063.7499556687349</v>
      </c>
      <c r="DB12" s="17">
        <f>IF(DB$3="","",IF(DB$3=Steps,MAX(IF(CallPut=1,UndTree!DB12-Strike,Strike-UndTree!DB12),0),MAX((2-AmEur)*IF(CallPut=1,UndTree!DB12-Strike,Strike-UndTree!DB12),(UpProb*DC12+DownProb*DC13)*StepDiscount)))</f>
        <v>1098.9254487049</v>
      </c>
    </row>
    <row r="13" spans="1:106" x14ac:dyDescent="0.2">
      <c r="A13">
        <f>ExDivTree!A13</f>
        <v>2088319702700</v>
      </c>
      <c r="B13" s="71">
        <f>ExDivTree!B13</f>
        <v>8.2369688553139813E-19</v>
      </c>
      <c r="C13" s="71">
        <f>ExDivTree!C13</f>
        <v>1.0260154271960537E-18</v>
      </c>
      <c r="D13" s="177">
        <f>ExDivTree!D13</f>
        <v>9</v>
      </c>
      <c r="N13" s="17">
        <f>IF(N$3="","",IF(N$3=Steps,MAX(IF(CallPut=1,UndTree!N13-Strike,Strike-UndTree!N13),0),MAX((2-AmEur)*IF(CallPut=1,UndTree!N13-Strike,Strike-UndTree!N13),(UpProb*O13+DownProb*O14)*StepDiscount)))</f>
        <v>2.1792169802541381</v>
      </c>
      <c r="O13" s="17">
        <f>IF(O$3="","",IF(O$3=Steps,MAX(IF(CallPut=1,UndTree!O13-Strike,Strike-UndTree!O13),0),MAX((2-AmEur)*IF(CallPut=1,UndTree!O13-Strike,Strike-UndTree!O13),(UpProb*P13+DownProb*P14)*StepDiscount)))</f>
        <v>2.6341711887236197</v>
      </c>
      <c r="P13" s="17">
        <f>IF(P$3="","",IF(P$3=Steps,MAX(IF(CallPut=1,UndTree!P13-Strike,Strike-UndTree!P13),0),MAX((2-AmEur)*IF(CallPut=1,UndTree!P13-Strike,Strike-UndTree!P13),(UpProb*Q13+DownProb*Q14)*StepDiscount)))</f>
        <v>3.1679905071114409</v>
      </c>
      <c r="Q13" s="17">
        <f>IF(Q$3="","",IF(Q$3=Steps,MAX(IF(CallPut=1,UndTree!Q13-Strike,Strike-UndTree!Q13),0),MAX((2-AmEur)*IF(CallPut=1,UndTree!Q13-Strike,Strike-UndTree!Q13),(UpProb*R13+DownProb*R14)*StepDiscount)))</f>
        <v>3.7905928690412667</v>
      </c>
      <c r="R13" s="17">
        <f>IF(R$3="","",IF(R$3=Steps,MAX(IF(CallPut=1,UndTree!R13-Strike,Strike-UndTree!R13),0),MAX((2-AmEur)*IF(CallPut=1,UndTree!R13-Strike,Strike-UndTree!R13),(UpProb*S13+DownProb*S14)*StepDiscount)))</f>
        <v>4.5123573654416216</v>
      </c>
      <c r="S13" s="17">
        <f>IF(S$3="","",IF(S$3=Steps,MAX(IF(CallPut=1,UndTree!S13-Strike,Strike-UndTree!S13),0),MAX((2-AmEur)*IF(CallPut=1,UndTree!S13-Strike,Strike-UndTree!S13),(UpProb*T13+DownProb*T14)*StepDiscount)))</f>
        <v>5.3439888798192783</v>
      </c>
      <c r="T13" s="17">
        <f>IF(T$3="","",IF(T$3=Steps,MAX(IF(CallPut=1,UndTree!T13-Strike,Strike-UndTree!T13),0),MAX((2-AmEur)*IF(CallPut=1,UndTree!T13-Strike,Strike-UndTree!T13),(UpProb*U13+DownProb*U14)*StepDiscount)))</f>
        <v>6.2963553546814888</v>
      </c>
      <c r="U13" s="17">
        <f>IF(U$3="","",IF(U$3=Steps,MAX(IF(CallPut=1,UndTree!U13-Strike,Strike-UndTree!U13),0),MAX((2-AmEur)*IF(CallPut=1,UndTree!U13-Strike,Strike-UndTree!U13),(UpProb*V13+DownProb*V14)*StepDiscount)))</f>
        <v>7.3803008935483332</v>
      </c>
      <c r="V13" s="17">
        <f>IF(V$3="","",IF(V$3=Steps,MAX(IF(CallPut=1,UndTree!V13-Strike,Strike-UndTree!V13),0),MAX((2-AmEur)*IF(CallPut=1,UndTree!V13-Strike,Strike-UndTree!V13),(UpProb*W13+DownProb*W14)*StepDiscount)))</f>
        <v>8.6064398415114116</v>
      </c>
      <c r="W13" s="17">
        <f>IF(W$3="","",IF(W$3=Steps,MAX(IF(CallPut=1,UndTree!W13-Strike,Strike-UndTree!W13),0),MAX((2-AmEur)*IF(CallPut=1,UndTree!W13-Strike,Strike-UndTree!W13),(UpProb*X13+DownProb*X14)*StepDiscount)))</f>
        <v>9.9849389284303296</v>
      </c>
      <c r="X13" s="17">
        <f>IF(X$3="","",IF(X$3=Steps,MAX(IF(CallPut=1,UndTree!X13-Strike,Strike-UndTree!X13),0),MAX((2-AmEur)*IF(CallPut=1,UndTree!X13-Strike,Strike-UndTree!X13),(UpProb*Y13+DownProb*Y14)*StepDiscount)))</f>
        <v>11.525296342668277</v>
      </c>
      <c r="Y13" s="17">
        <f>IF(Y$3="","",IF(Y$3=Steps,MAX(IF(CallPut=1,UndTree!Y13-Strike,Strike-UndTree!Y13),0),MAX((2-AmEur)*IF(CallPut=1,UndTree!Y13-Strike,Strike-UndTree!Y13),(UpProb*Z13+DownProb*Z14)*StepDiscount)))</f>
        <v>13.236128050073786</v>
      </c>
      <c r="Z13" s="17">
        <f>IF(Z$3="","",IF(Z$3=Steps,MAX(IF(CallPut=1,UndTree!Z13-Strike,Strike-UndTree!Z13),0),MAX((2-AmEur)*IF(CallPut=1,UndTree!Z13-Strike,Strike-UndTree!Z13),(UpProb*AA13+DownProb*AA14)*StepDiscount)))</f>
        <v>15.124972598312903</v>
      </c>
      <c r="AA13" s="17">
        <f>IF(AA$3="","",IF(AA$3=Steps,MAX(IF(CallPut=1,UndTree!AA13-Strike,Strike-UndTree!AA13),0),MAX((2-AmEur)*IF(CallPut=1,UndTree!AA13-Strike,Strike-UndTree!AA13),(UpProb*AB13+DownProb*AB14)*StepDiscount)))</f>
        <v>17.198125880833473</v>
      </c>
      <c r="AB13" s="17">
        <f>IF(AB$3="","",IF(AB$3=Steps,MAX(IF(CallPut=1,UndTree!AB13-Strike,Strike-UndTree!AB13),0),MAX((2-AmEur)*IF(CallPut=1,UndTree!AB13-Strike,Strike-UndTree!AB13),(UpProb*AC13+DownProb*AC14)*StepDiscount)))</f>
        <v>19.460516744619525</v>
      </c>
      <c r="AC13" s="17">
        <f>IF(AC$3="","",IF(AC$3=Steps,MAX(IF(CallPut=1,UndTree!AC13-Strike,Strike-UndTree!AC13),0),MAX((2-AmEur)*IF(CallPut=1,UndTree!AC13-Strike,Strike-UndTree!AC13),(UpProb*AD13+DownProb*AD14)*StepDiscount)))</f>
        <v>21.915632837712952</v>
      </c>
      <c r="AD13" s="17">
        <f>IF(AD$3="","",IF(AD$3=Steps,MAX(IF(CallPut=1,UndTree!AD13-Strike,Strike-UndTree!AD13),0),MAX((2-AmEur)*IF(CallPut=1,UndTree!AD13-Strike,Strike-UndTree!AD13),(UpProb*AE13+DownProb*AE14)*StepDiscount)))</f>
        <v>24.565503711817332</v>
      </c>
      <c r="AE13" s="17">
        <f>IF(AE$3="","",IF(AE$3=Steps,MAX(IF(CallPut=1,UndTree!AE13-Strike,Strike-UndTree!AE13),0),MAX((2-AmEur)*IF(CallPut=1,UndTree!AE13-Strike,Strike-UndTree!AE13),(UpProb*AF13+DownProb*AF14)*StepDiscount)))</f>
        <v>27.410745021008356</v>
      </c>
      <c r="AF13" s="17">
        <f>IF(AF$3="","",IF(AF$3=Steps,MAX(IF(CallPut=1,UndTree!AF13-Strike,Strike-UndTree!AF13),0),MAX((2-AmEur)*IF(CallPut=1,UndTree!AF13-Strike,Strike-UndTree!AF13),(UpProb*AG13+DownProb*AG14)*StepDiscount)))</f>
        <v>30.45066388629893</v>
      </c>
      <c r="AG13" s="17">
        <f>IF(AG$3="","",IF(AG$3=Steps,MAX(IF(CallPut=1,UndTree!AG13-Strike,Strike-UndTree!AG13),0),MAX((2-AmEur)*IF(CallPut=1,UndTree!AG13-Strike,Strike-UndTree!AG13),(UpProb*AH13+DownProb*AH14)*StepDiscount)))</f>
        <v>33.683421414343705</v>
      </c>
      <c r="AH13" s="17">
        <f>IF(AH$3="","",IF(AH$3=Steps,MAX(IF(CallPut=1,UndTree!AH13-Strike,Strike-UndTree!AH13),0),MAX((2-AmEur)*IF(CallPut=1,UndTree!AH13-Strike,Strike-UndTree!AH13),(UpProb*AI13+DownProb*AI14)*StepDiscount)))</f>
        <v>37.106244322729971</v>
      </c>
      <c r="AI13" s="17">
        <f>IF(AI$3="","",IF(AI$3=Steps,MAX(IF(CallPut=1,UndTree!AI13-Strike,Strike-UndTree!AI13),0),MAX((2-AmEur)*IF(CallPut=1,UndTree!AI13-Strike,Strike-UndTree!AI13),(UpProb*AJ13+DownProb*AJ14)*StepDiscount)))</f>
        <v>40.715674024802489</v>
      </c>
      <c r="AJ13" s="17">
        <f>IF(AJ$3="","",IF(AJ$3=Steps,MAX(IF(CallPut=1,UndTree!AJ13-Strike,Strike-UndTree!AJ13),0),MAX((2-AmEur)*IF(CallPut=1,UndTree!AJ13-Strike,Strike-UndTree!AJ13),(UpProb*AK13+DownProb*AK14)*StepDiscount)))</f>
        <v>44.507838745142593</v>
      </c>
      <c r="AK13" s="17">
        <f>IF(AK$3="","",IF(AK$3=Steps,MAX(IF(CallPut=1,UndTree!AK13-Strike,Strike-UndTree!AK13),0),MAX((2-AmEur)*IF(CallPut=1,UndTree!AK13-Strike,Strike-UndTree!AK13),(UpProb*AL13+DownProb*AL14)*StepDiscount)))</f>
        <v>48.478732595269612</v>
      </c>
      <c r="AL13" s="17">
        <f>IF(AL$3="","",IF(AL$3=Steps,MAX(IF(CallPut=1,UndTree!AL13-Strike,Strike-UndTree!AL13),0),MAX((2-AmEur)*IF(CallPut=1,UndTree!AL13-Strike,Strike-UndTree!AL13),(UpProb*AM13+DownProb*AM14)*StepDiscount)))</f>
        <v>52.624485254216218</v>
      </c>
      <c r="AM13" s="17">
        <f>IF(AM$3="","",IF(AM$3=Steps,MAX(IF(CallPut=1,UndTree!AM13-Strike,Strike-UndTree!AM13),0),MAX((2-AmEur)*IF(CallPut=1,UndTree!AM13-Strike,Strike-UndTree!AM13),(UpProb*AN13+DownProb*AN14)*StepDiscount)))</f>
        <v>56.941607042640975</v>
      </c>
      <c r="AN13" s="17">
        <f>IF(AN$3="","",IF(AN$3=Steps,MAX(IF(CallPut=1,UndTree!AN13-Strike,Strike-UndTree!AN13),0),MAX((2-AmEur)*IF(CallPut=1,UndTree!AN13-Strike,Strike-UndTree!AN13),(UpProb*AO13+DownProb*AO14)*StepDiscount)))</f>
        <v>61.427196659581924</v>
      </c>
      <c r="AO13" s="17">
        <f>IF(AO$3="","",IF(AO$3=Steps,MAX(IF(CallPut=1,UndTree!AO13-Strike,Strike-UndTree!AO13),0),MAX((2-AmEur)*IF(CallPut=1,UndTree!AO13-Strike,Strike-UndTree!AO13),(UpProb*AP13+DownProb*AP14)*StepDiscount)))</f>
        <v>66.079102412444882</v>
      </c>
      <c r="AP13" s="17">
        <f>IF(AP$3="","",IF(AP$3=Steps,MAX(IF(CallPut=1,UndTree!AP13-Strike,Strike-UndTree!AP13),0),MAX((2-AmEur)*IF(CallPut=1,UndTree!AP13-Strike,Strike-UndTree!AP13),(UpProb*AQ13+DownProb*AQ14)*StepDiscount)))</f>
        <v>70.896032021821171</v>
      </c>
      <c r="AQ13" s="17">
        <f>IF(AQ$3="","",IF(AQ$3=Steps,MAX(IF(CallPut=1,UndTree!AQ13-Strike,Strike-UndTree!AQ13),0),MAX((2-AmEur)*IF(CallPut=1,UndTree!AQ13-Strike,Strike-UndTree!AQ13),(UpProb*AR13+DownProb*AR14)*StepDiscount)))</f>
        <v>75.877610544979106</v>
      </c>
      <c r="AR13" s="17">
        <f>IF(AR$3="","",IF(AR$3=Steps,MAX(IF(CallPut=1,UndTree!AR13-Strike,Strike-UndTree!AR13),0),MAX((2-AmEur)*IF(CallPut=1,UndTree!AR13-Strike,Strike-UndTree!AR13),(UpProb*AS13+DownProb*AS14)*StepDiscount)))</f>
        <v>81.024390135931412</v>
      </c>
      <c r="AS13" s="17">
        <f>IF(AS$3="","",IF(AS$3=Steps,MAX(IF(CallPut=1,UndTree!AS13-Strike,Strike-UndTree!AS13),0),MAX((2-AmEur)*IF(CallPut=1,UndTree!AS13-Strike,Strike-UndTree!AS13),(UpProb*AT13+DownProb*AT14)*StepDiscount)))</f>
        <v>86.337818796555041</v>
      </c>
      <c r="AT13" s="17">
        <f>IF(AT$3="","",IF(AT$3=Steps,MAX(IF(CallPut=1,UndTree!AT13-Strike,Strike-UndTree!AT13),0),MAX((2-AmEur)*IF(CallPut=1,UndTree!AT13-Strike,Strike-UndTree!AT13),(UpProb*AU13+DownProb*AU14)*StepDiscount)))</f>
        <v>91.820177637964306</v>
      </c>
      <c r="AU13" s="17">
        <f>IF(AU$3="","",IF(AU$3=Steps,MAX(IF(CallPut=1,UndTree!AU13-Strike,Strike-UndTree!AU13),0),MAX((2-AmEur)*IF(CallPut=1,UndTree!AU13-Strike,Strike-UndTree!AU13),(UpProb*AV13+DownProb*AV14)*StepDiscount)))</f>
        <v>97.474497291060871</v>
      </c>
      <c r="AV13" s="17">
        <f>IF(AV$3="","",IF(AV$3=Steps,MAX(IF(CallPut=1,UndTree!AV13-Strike,Strike-UndTree!AV13),0),MAX((2-AmEur)*IF(CallPut=1,UndTree!AV13-Strike,Strike-UndTree!AV13),(UpProb*AW13+DownProb*AW14)*StepDiscount)))</f>
        <v>103.30446398687104</v>
      </c>
      <c r="AW13" s="17">
        <f>IF(AW$3="","",IF(AW$3=Steps,MAX(IF(CallPut=1,UndTree!AW13-Strike,Strike-UndTree!AW13),0),MAX((2-AmEur)*IF(CallPut=1,UndTree!AW13-Strike,Strike-UndTree!AW13),(UpProb*AX13+DownProb*AX14)*StepDiscount)))</f>
        <v>109.31432464583256</v>
      </c>
      <c r="AX13" s="17">
        <f>IF(AX$3="","",IF(AX$3=Steps,MAX(IF(CallPut=1,UndTree!AX13-Strike,Strike-UndTree!AX13),0),MAX((2-AmEur)*IF(CallPut=1,UndTree!AX13-Strike,Strike-UndTree!AX13),(UpProb*AY13+DownProb*AY14)*StepDiscount)))</f>
        <v>115.50879837283036</v>
      </c>
      <c r="AY13" s="17">
        <f>IF(AY$3="","",IF(AY$3=Steps,MAX(IF(CallPut=1,UndTree!AY13-Strike,Strike-UndTree!AY13),0),MAX((2-AmEur)*IF(CallPut=1,UndTree!AY13-Strike,Strike-UndTree!AY13),(UpProb*AZ13+DownProb*AZ14)*StepDiscount)))</f>
        <v>121.89299942062695</v>
      </c>
      <c r="AZ13" s="17">
        <f>IF(AZ$3="","",IF(AZ$3=Steps,MAX(IF(CallPut=1,UndTree!AZ13-Strike,Strike-UndTree!AZ13),0),MAX((2-AmEur)*IF(CallPut=1,UndTree!AZ13-Strike,Strike-UndTree!AZ13),(UpProb*BA13+DownProb*BA14)*StepDiscount)))</f>
        <v>128.47237432701669</v>
      </c>
      <c r="BA13" s="17">
        <f>IF(BA$3="","",IF(BA$3=Steps,MAX(IF(CallPut=1,UndTree!BA13-Strike,Strike-UndTree!BA13),0),MAX((2-AmEur)*IF(CallPut=1,UndTree!BA13-Strike,Strike-UndTree!BA13),(UpProb*BB13+DownProb*BB14)*StepDiscount)))</f>
        <v>135.25265385822294</v>
      </c>
      <c r="BB13" s="17">
        <f>IF(BB$3="","",IF(BB$3=Steps,MAX(IF(CallPut=1,UndTree!BB13-Strike,Strike-UndTree!BB13),0),MAX((2-AmEur)*IF(CallPut=1,UndTree!BB13-Strike,Strike-UndTree!BB13),(UpProb*BC13+DownProb*BC14)*StepDiscount)))</f>
        <v>142.23981880770347</v>
      </c>
      <c r="BC13" s="17">
        <f>IF(BC$3="","",IF(BC$3=Steps,MAX(IF(CallPut=1,UndTree!BC13-Strike,Strike-UndTree!BC13),0),MAX((2-AmEur)*IF(CallPut=1,UndTree!BC13-Strike,Strike-UndTree!BC13),(UpProb*BD13+DownProb*BD14)*StepDiscount)))</f>
        <v>149.44007769147848</v>
      </c>
      <c r="BD13" s="17">
        <f>IF(BD$3="","",IF(BD$3=Steps,MAX(IF(CallPut=1,UndTree!BD13-Strike,Strike-UndTree!BD13),0),MAX((2-AmEur)*IF(CallPut=1,UndTree!BD13-Strike,Strike-UndTree!BD13),(UpProb*BE13+DownProb*BE14)*StepDiscount)))</f>
        <v>156.85985392437615</v>
      </c>
      <c r="BE13" s="17">
        <f>IF(BE$3="","",IF(BE$3=Steps,MAX(IF(CallPut=1,UndTree!BE13-Strike,Strike-UndTree!BE13),0),MAX((2-AmEur)*IF(CallPut=1,UndTree!BE13-Strike,Strike-UndTree!BE13),(UpProb*BF13+DownProb*BF14)*StepDiscount)))</f>
        <v>164.50578005153199</v>
      </c>
      <c r="BF13" s="17">
        <f>IF(BF$3="","",IF(BF$3=Steps,MAX(IF(CallPut=1,UndTree!BF13-Strike,Strike-UndTree!BF13),0),MAX((2-AmEur)*IF(CallPut=1,UndTree!BF13-Strike,Strike-UndTree!BF13),(UpProb*BG13+DownProb*BG14)*StepDiscount)))</f>
        <v>172.3846968998713</v>
      </c>
      <c r="BG13" s="17">
        <f>IF(BG$3="","",IF(BG$3=Steps,MAX(IF(CallPut=1,UndTree!BG13-Strike,Strike-UndTree!BG13),0),MAX((2-AmEur)*IF(CallPut=1,UndTree!BG13-Strike,Strike-UndTree!BG13),(UpProb*BH13+DownProb*BH14)*StepDiscount)))</f>
        <v>180.50365595584728</v>
      </c>
      <c r="BH13" s="17">
        <f>IF(BH$3="","",IF(BH$3=Steps,MAX(IF(CallPut=1,UndTree!BH13-Strike,Strike-UndTree!BH13),0),MAX((2-AmEur)*IF(CallPut=1,UndTree!BH13-Strike,Strike-UndTree!BH13),(UpProb*BI13+DownProb*BI14)*StepDiscount)))</f>
        <v>188.8699237450513</v>
      </c>
      <c r="BI13" s="17">
        <f>IF(BI$3="","",IF(BI$3=Steps,MAX(IF(CallPut=1,UndTree!BI13-Strike,Strike-UndTree!BI13),0),MAX((2-AmEur)*IF(CallPut=1,UndTree!BI13-Strike,Strike-UndTree!BI13),(UpProb*BJ13+DownProb*BJ14)*StepDiscount)))</f>
        <v>197.49098740424409</v>
      </c>
      <c r="BJ13" s="17">
        <f>IF(BJ$3="","",IF(BJ$3=Steps,MAX(IF(CallPut=1,UndTree!BJ13-Strike,Strike-UndTree!BJ13),0),MAX((2-AmEur)*IF(CallPut=1,UndTree!BJ13-Strike,Strike-UndTree!BJ13),(UpProb*BK13+DownProb*BK14)*StepDiscount)))</f>
        <v>206.3745609572091</v>
      </c>
      <c r="BK13" s="17">
        <f>IF(BK$3="","",IF(BK$3=Steps,MAX(IF(CallPut=1,UndTree!BK13-Strike,Strike-UndTree!BK13),0),MAX((2-AmEur)*IF(CallPut=1,UndTree!BK13-Strike,Strike-UndTree!BK13),(UpProb*BL13+DownProb*BL14)*StepDiscount)))</f>
        <v>215.52859202693557</v>
      </c>
      <c r="BL13" s="17">
        <f>IF(BL$3="","",IF(BL$3=Steps,MAX(IF(CallPut=1,UndTree!BL13-Strike,Strike-UndTree!BL13),0),MAX((2-AmEur)*IF(CallPut=1,UndTree!BL13-Strike,Strike-UndTree!BL13),(UpProb*BM13+DownProb*BM14)*StepDiscount)))</f>
        <v>224.96126885324637</v>
      </c>
      <c r="BM13" s="17">
        <f>IF(BM$3="","",IF(BM$3=Steps,MAX(IF(CallPut=1,UndTree!BM13-Strike,Strike-UndTree!BM13),0),MAX((2-AmEur)*IF(CallPut=1,UndTree!BM13-Strike,Strike-UndTree!BM13),(UpProb*BN13+DownProb*BN14)*StepDiscount)))</f>
        <v>234.68102756058198</v>
      </c>
      <c r="BN13" s="17">
        <f>IF(BN$3="","",IF(BN$3=Steps,MAX(IF(CallPut=1,UndTree!BN13-Strike,Strike-UndTree!BN13),0),MAX((2-AmEur)*IF(CallPut=1,UndTree!BN13-Strike,Strike-UndTree!BN13),(UpProb*BO13+DownProb*BO14)*StepDiscount)))</f>
        <v>244.69655965792293</v>
      </c>
      <c r="BO13" s="17">
        <f>IF(BO$3="","",IF(BO$3=Steps,MAX(IF(CallPut=1,UndTree!BO13-Strike,Strike-UndTree!BO13),0),MAX((2-AmEur)*IF(CallPut=1,UndTree!BO13-Strike,Strike-UndTree!BO13),(UpProb*BP13+DownProb*BP14)*StepDiscount)))</f>
        <v>255.01681976905914</v>
      </c>
      <c r="BP13" s="17">
        <f>IF(BP$3="","",IF(BP$3=Steps,MAX(IF(CallPut=1,UndTree!BP13-Strike,Strike-UndTree!BP13),0),MAX((2-AmEur)*IF(CallPut=1,UndTree!BP13-Strike,Strike-UndTree!BP13),(UpProb*BQ13+DownProb*BQ14)*StepDiscount)))</f>
        <v>265.65103359760917</v>
      </c>
      <c r="BQ13" s="17">
        <f>IF(BQ$3="","",IF(BQ$3=Steps,MAX(IF(CallPut=1,UndTree!BQ13-Strike,Strike-UndTree!BQ13),0),MAX((2-AmEur)*IF(CallPut=1,UndTree!BQ13-Strike,Strike-UndTree!BQ13),(UpProb*BR13+DownProb*BR14)*StepDiscount)))</f>
        <v>276.60870613328558</v>
      </c>
      <c r="BR13" s="17">
        <f>IF(BR$3="","",IF(BR$3=Steps,MAX(IF(CallPut=1,UndTree!BR13-Strike,Strike-UndTree!BR13),0),MAX((2-AmEur)*IF(CallPut=1,UndTree!BR13-Strike,Strike-UndTree!BR13),(UpProb*BS13+DownProb*BS14)*StepDiscount)))</f>
        <v>287.89963010659909</v>
      </c>
      <c r="BS13" s="17">
        <f>IF(BS$3="","",IF(BS$3=Steps,MAX(IF(CallPut=1,UndTree!BS13-Strike,Strike-UndTree!BS13),0),MAX((2-AmEur)*IF(CallPut=1,UndTree!BS13-Strike,Strike-UndTree!BS13),(UpProb*BT13+DownProb*BT14)*StepDiscount)))</f>
        <v>299.53389469951014</v>
      </c>
      <c r="BT13" s="17">
        <f>IF(BT$3="","",IF(BT$3=Steps,MAX(IF(CallPut=1,UndTree!BT13-Strike,Strike-UndTree!BT13),0),MAX((2-AmEur)*IF(CallPut=1,UndTree!BT13-Strike,Strike-UndTree!BT13),(UpProb*BU13+DownProb*BU14)*StepDiscount)))</f>
        <v>311.52189451977313</v>
      </c>
      <c r="BU13" s="17">
        <f>IF(BU$3="","",IF(BU$3=Steps,MAX(IF(CallPut=1,UndTree!BU13-Strike,Strike-UndTree!BU13),0),MAX((2-AmEur)*IF(CallPut=1,UndTree!BU13-Strike,Strike-UndTree!BU13),(UpProb*BV13+DownProb*BV14)*StepDiscount)))</f>
        <v>323.8743388469577</v>
      </c>
      <c r="BV13" s="17">
        <f>IF(BV$3="","",IF(BV$3=Steps,MAX(IF(CallPut=1,UndTree!BV13-Strike,Strike-UndTree!BV13),0),MAX((2-AmEur)*IF(CallPut=1,UndTree!BV13-Strike,Strike-UndTree!BV13),(UpProb*BW13+DownProb*BW14)*StepDiscount)))</f>
        <v>336.60226115837082</v>
      </c>
      <c r="BW13" s="17">
        <f>IF(BW$3="","",IF(BW$3=Steps,MAX(IF(CallPut=1,UndTree!BW13-Strike,Strike-UndTree!BW13),0),MAX((2-AmEur)*IF(CallPut=1,UndTree!BW13-Strike,Strike-UndTree!BW13),(UpProb*BX13+DownProb*BX14)*StepDiscount)))</f>
        <v>349.71702894335215</v>
      </c>
      <c r="BX13" s="17">
        <f>IF(BX$3="","",IF(BX$3=Steps,MAX(IF(CallPut=1,UndTree!BX13-Strike,Strike-UndTree!BX13),0),MAX((2-AmEur)*IF(CallPut=1,UndTree!BX13-Strike,Strike-UndTree!BX13),(UpProb*BY13+DownProb*BY14)*StepDiscount)))</f>
        <v>363.23035381467429</v>
      </c>
      <c r="BY13" s="17">
        <f>IF(BY$3="","",IF(BY$3=Steps,MAX(IF(CallPut=1,UndTree!BY13-Strike,Strike-UndTree!BY13),0),MAX((2-AmEur)*IF(CallPut=1,UndTree!BY13-Strike,Strike-UndTree!BY13),(UpProb*BZ13+DownProb*BZ14)*StepDiscount)))</f>
        <v>377.15430192604003</v>
      </c>
      <c r="BZ13" s="17">
        <f>IF(BZ$3="","",IF(BZ$3=Steps,MAX(IF(CallPut=1,UndTree!BZ13-Strike,Strike-UndTree!BZ13),0),MAX((2-AmEur)*IF(CallPut=1,UndTree!BZ13-Strike,Strike-UndTree!BZ13),(UpProb*CA13+DownProb*CA14)*StepDiscount)))</f>
        <v>391.50130470494418</v>
      </c>
      <c r="CA13" s="17">
        <f>IF(CA$3="","",IF(CA$3=Steps,MAX(IF(CallPut=1,UndTree!CA13-Strike,Strike-UndTree!CA13),0),MAX((2-AmEur)*IF(CallPut=1,UndTree!CA13-Strike,Strike-UndTree!CA13),(UpProb*CB13+DownProb*CB14)*StepDiscount)))</f>
        <v>406.28416991044691</v>
      </c>
      <c r="CB13" s="17">
        <f>IF(CB$3="","",IF(CB$3=Steps,MAX(IF(CallPut=1,UndTree!CB13-Strike,Strike-UndTree!CB13),0),MAX((2-AmEur)*IF(CallPut=1,UndTree!CB13-Strike,Strike-UndTree!CB13),(UpProb*CC13+DownProb*CC14)*StepDiscount)))</f>
        <v>421.51609302569386</v>
      </c>
      <c r="CC13" s="17">
        <f>IF(CC$3="","",IF(CC$3=Steps,MAX(IF(CallPut=1,UndTree!CC13-Strike,Strike-UndTree!CC13),0),MAX((2-AmEur)*IF(CallPut=1,UndTree!CC13-Strike,Strike-UndTree!CC13),(UpProb*CD13+DownProb*CD14)*StepDiscount)))</f>
        <v>437.21066899531746</v>
      </c>
      <c r="CD13" s="17">
        <f>IF(CD$3="","",IF(CD$3=Steps,MAX(IF(CallPut=1,UndTree!CD13-Strike,Strike-UndTree!CD13),0),MAX((2-AmEur)*IF(CallPut=1,UndTree!CD13-Strike,Strike-UndTree!CD13),(UpProb*CE13+DownProb*CE14)*StepDiscount)))</f>
        <v>453.38190431815906</v>
      </c>
      <c r="CE13" s="17">
        <f>IF(CE$3="","",IF(CE$3=Steps,MAX(IF(CallPut=1,UndTree!CE13-Strike,Strike-UndTree!CE13),0),MAX((2-AmEur)*IF(CallPut=1,UndTree!CE13-Strike,Strike-UndTree!CE13),(UpProb*CF13+DownProb*CF14)*StepDiscount)))</f>
        <v>470.04422950606903</v>
      </c>
      <c r="CF13" s="17">
        <f>IF(CF$3="","",IF(CF$3=Steps,MAX(IF(CallPut=1,UndTree!CF13-Strike,Strike-UndTree!CF13),0),MAX((2-AmEur)*IF(CallPut=1,UndTree!CF13-Strike,Strike-UndTree!CF13),(UpProb*CG13+DownProb*CG14)*StepDiscount)))</f>
        <v>487.21251191986642</v>
      </c>
      <c r="CG13" s="17">
        <f>IF(CG$3="","",IF(CG$3=Steps,MAX(IF(CallPut=1,UndTree!CG13-Strike,Strike-UndTree!CG13),0),MAX((2-AmEur)*IF(CallPut=1,UndTree!CG13-Strike,Strike-UndTree!CG13),(UpProb*CH13+DownProb*CH14)*StepDiscount)))</f>
        <v>504.90206899387556</v>
      </c>
      <c r="CH13" s="17">
        <f>IF(CH$3="","",IF(CH$3=Steps,MAX(IF(CallPut=1,UndTree!CH13-Strike,Strike-UndTree!CH13),0),MAX((2-AmEur)*IF(CallPut=1,UndTree!CH13-Strike,Strike-UndTree!CH13),(UpProb*CI13+DownProb*CI14)*StepDiscount)))</f>
        <v>523.12868186080311</v>
      </c>
      <c r="CI13" s="17">
        <f>IF(CI$3="","",IF(CI$3=Steps,MAX(IF(CallPut=1,UndTree!CI13-Strike,Strike-UndTree!CI13),0),MAX((2-AmEur)*IF(CallPut=1,UndTree!CI13-Strike,Strike-UndTree!CI13),(UpProb*CJ13+DownProb*CJ14)*StepDiscount)))</f>
        <v>541.90860938907508</v>
      </c>
      <c r="CJ13" s="17">
        <f>IF(CJ$3="","",IF(CJ$3=Steps,MAX(IF(CallPut=1,UndTree!CJ13-Strike,Strike-UndTree!CJ13),0),MAX((2-AmEur)*IF(CallPut=1,UndTree!CJ13-Strike,Strike-UndTree!CJ13),(UpProb*CK13+DownProb*CK14)*StepDiscount)))</f>
        <v>561.25860264512016</v>
      </c>
      <c r="CK13" s="17">
        <f>IF(CK$3="","",IF(CK$3=Steps,MAX(IF(CallPut=1,UndTree!CK13-Strike,Strike-UndTree!CK13),0),MAX((2-AmEur)*IF(CallPut=1,UndTree!CK13-Strike,Strike-UndTree!CK13),(UpProb*CL13+DownProb*CL14)*StepDiscount)))</f>
        <v>581.1959197934641</v>
      </c>
      <c r="CL13" s="17">
        <f>IF(CL$3="","",IF(CL$3=Steps,MAX(IF(CallPut=1,UndTree!CL13-Strike,Strike-UndTree!CL13),0),MAX((2-AmEur)*IF(CallPut=1,UndTree!CL13-Strike,Strike-UndTree!CL13),(UpProb*CM13+DownProb*CM14)*StepDiscount)))</f>
        <v>601.73834144788896</v>
      </c>
      <c r="CM13" s="17">
        <f>IF(CM$3="","",IF(CM$3=Steps,MAX(IF(CallPut=1,UndTree!CM13-Strike,Strike-UndTree!CM13),0),MAX((2-AmEur)*IF(CallPut=1,UndTree!CM13-Strike,Strike-UndTree!CM13),(UpProb*CN13+DownProb*CN14)*StepDiscount)))</f>
        <v>622.90418648731054</v>
      </c>
      <c r="CN13" s="17">
        <f>IF(CN$3="","",IF(CN$3=Steps,MAX(IF(CallPut=1,UndTree!CN13-Strike,Strike-UndTree!CN13),0),MAX((2-AmEur)*IF(CallPut=1,UndTree!CN13-Strike,Strike-UndTree!CN13),(UpProb*CO13+DownProb*CO14)*StepDiscount)))</f>
        <v>644.7123283504435</v>
      </c>
      <c r="CO13" s="17">
        <f>IF(CO$3="","",IF(CO$3=Steps,MAX(IF(CallPut=1,UndTree!CO13-Strike,Strike-UndTree!CO13),0),MAX((2-AmEur)*IF(CallPut=1,UndTree!CO13-Strike,Strike-UndTree!CO13),(UpProb*CP13+DownProb*CP14)*StepDiscount)))</f>
        <v>667.18221182374475</v>
      </c>
      <c r="CP13" s="17">
        <f>IF(CP$3="","",IF(CP$3=Steps,MAX(IF(CallPut=1,UndTree!CP13-Strike,Strike-UndTree!CP13),0),MAX((2-AmEur)*IF(CallPut=1,UndTree!CP13-Strike,Strike-UndTree!CP13),(UpProb*CQ13+DownProb*CQ14)*StepDiscount)))</f>
        <v>690.33387033756992</v>
      </c>
      <c r="CQ13" s="17">
        <f>IF(CQ$3="","",IF(CQ$3=Steps,MAX(IF(CallPut=1,UndTree!CQ13-Strike,Strike-UndTree!CQ13),0),MAX((2-AmEur)*IF(CallPut=1,UndTree!CQ13-Strike,Strike-UndTree!CQ13),(UpProb*CR13+DownProb*CR14)*StepDiscount)))</f>
        <v>714.18794378592781</v>
      </c>
      <c r="CR13" s="17">
        <f>IF(CR$3="","",IF(CR$3=Steps,MAX(IF(CallPut=1,UndTree!CR13-Strike,Strike-UndTree!CR13),0),MAX((2-AmEur)*IF(CallPut=1,UndTree!CR13-Strike,Strike-UndTree!CR13),(UpProb*CS13+DownProb*CS14)*StepDiscount)))</f>
        <v>738.76569688568463</v>
      </c>
      <c r="CS13" s="17">
        <f>IF(CS$3="","",IF(CS$3=Steps,MAX(IF(CallPut=1,UndTree!CS13-Strike,Strike-UndTree!CS13),0),MAX((2-AmEur)*IF(CallPut=1,UndTree!CS13-Strike,Strike-UndTree!CS13),(UpProb*CT13+DownProb*CT14)*StepDiscount)))</f>
        <v>764.08903809155356</v>
      </c>
      <c r="CT13" s="17">
        <f>IF(CT$3="","",IF(CT$3=Steps,MAX(IF(CallPut=1,UndTree!CT13-Strike,Strike-UndTree!CT13),0),MAX((2-AmEur)*IF(CallPut=1,UndTree!CT13-Strike,Strike-UndTree!CT13),(UpProb*CU13+DownProb*CU14)*StepDiscount)))</f>
        <v>790.18053908369689</v>
      </c>
      <c r="CU13" s="17">
        <f>IF(CU$3="","",IF(CU$3=Steps,MAX(IF(CallPut=1,UndTree!CU13-Strike,Strike-UndTree!CU13),0),MAX((2-AmEur)*IF(CallPut=1,UndTree!CU13-Strike,Strike-UndTree!CU13),(UpProb*CV13+DownProb*CV14)*StepDiscount)))</f>
        <v>817.06345484527606</v>
      </c>
      <c r="CV13" s="17">
        <f>IF(CV$3="","",IF(CV$3=Steps,MAX(IF(CallPut=1,UndTree!CV13-Strike,Strike-UndTree!CV13),0),MAX((2-AmEur)*IF(CallPut=1,UndTree!CV13-Strike,Strike-UndTree!CV13),(UpProb*CW13+DownProb*CW14)*StepDiscount)))</f>
        <v>844.76174434780353</v>
      </c>
      <c r="CW13" s="17">
        <f>IF(CW$3="","",IF(CW$3=Steps,MAX(IF(CallPut=1,UndTree!CW13-Strike,Strike-UndTree!CW13),0),MAX((2-AmEur)*IF(CallPut=1,UndTree!CW13-Strike,Strike-UndTree!CW13),(UpProb*CX13+DownProb*CX14)*StepDiscount)))</f>
        <v>873.30009186267898</v>
      </c>
      <c r="CX13" s="17">
        <f>IF(CX$3="","",IF(CX$3=Steps,MAX(IF(CallPut=1,UndTree!CX13-Strike,Strike-UndTree!CX13),0),MAX((2-AmEur)*IF(CallPut=1,UndTree!CX13-Strike,Strike-UndTree!CX13),(UpProb*CY13+DownProb*CY14)*StepDiscount)))</f>
        <v>902.70392891784354</v>
      </c>
      <c r="CY13" s="17">
        <f>IF(CY$3="","",IF(CY$3=Steps,MAX(IF(CallPut=1,UndTree!CY13-Strike,Strike-UndTree!CY13),0),MAX((2-AmEur)*IF(CallPut=1,UndTree!CY13-Strike,Strike-UndTree!CY13),(UpProb*CZ13+DownProb*CZ14)*StepDiscount)))</f>
        <v>932.99945691909681</v>
      </c>
      <c r="CZ13" s="17">
        <f>IF(CZ$3="","",IF(CZ$3=Steps,MAX(IF(CallPut=1,UndTree!CZ13-Strike,Strike-UndTree!CZ13),0),MAX((2-AmEur)*IF(CallPut=1,UndTree!CZ13-Strike,Strike-UndTree!CZ13),(UpProb*DA13+DownProb*DA14)*StepDiscount)))</f>
        <v>964.21367045624163</v>
      </c>
      <c r="DA13" s="17">
        <f>IF(DA$3="","",IF(DA$3=Steps,MAX(IF(CallPut=1,UndTree!DA13-Strike,Strike-UndTree!DA13),0),MAX((2-AmEur)*IF(CallPut=1,UndTree!DA13-Strike,Strike-UndTree!DA13),(UpProb*DB13+DownProb*DB14)*StepDiscount)))</f>
        <v>996.3743813145511</v>
      </c>
      <c r="DB13" s="17">
        <f>IF(DB$3="","",IF(DB$3=Steps,MAX(IF(CallPut=1,UndTree!DB13-Strike,Strike-UndTree!DB13),0),MAX((2-AmEur)*IF(CallPut=1,UndTree!DB13-Strike,Strike-UndTree!DB13),(UpProb*DC13+DownProb*DC14)*StepDiscount)))</f>
        <v>1029.5102432126</v>
      </c>
    </row>
    <row r="14" spans="1:106" x14ac:dyDescent="0.2">
      <c r="A14">
        <f>ExDivTree!A14</f>
        <v>19212541264840</v>
      </c>
      <c r="B14" s="71">
        <f>ExDivTree!B14</f>
        <v>7.5780113468888628E-18</v>
      </c>
      <c r="C14" s="71">
        <f>ExDivTree!C14</f>
        <v>9.3894366592070468E-18</v>
      </c>
      <c r="D14" s="177">
        <f>ExDivTree!D14</f>
        <v>10</v>
      </c>
      <c r="O14" s="17">
        <f>IF(O$3="","",IF(O$3=Steps,MAX(IF(CallPut=1,UndTree!O14-Strike,Strike-UndTree!O14),0),MAX((2-AmEur)*IF(CallPut=1,UndTree!O14-Strike,Strike-UndTree!O14),(UpProb*P14+DownProb*P15)*StepDiscount)))</f>
        <v>1.7241447348354781</v>
      </c>
      <c r="P14" s="17">
        <f>IF(P$3="","",IF(P$3=Steps,MAX(IF(CallPut=1,UndTree!P14-Strike,Strike-UndTree!P14),0),MAX((2-AmEur)*IF(CallPut=1,UndTree!P14-Strike,Strike-UndTree!P14),(UpProb*Q14+DownProb*Q15)*StepDiscount)))</f>
        <v>2.1002948453939267</v>
      </c>
      <c r="Q14" s="17">
        <f>IF(Q$3="","",IF(Q$3=Steps,MAX(IF(CallPut=1,UndTree!Q14-Strike,Strike-UndTree!Q14),0),MAX((2-AmEur)*IF(CallPut=1,UndTree!Q14-Strike,Strike-UndTree!Q14),(UpProb*R14+DownProb*R15)*StepDiscount)))</f>
        <v>2.5454226565415414</v>
      </c>
      <c r="R14" s="17">
        <f>IF(R$3="","",IF(R$3=Steps,MAX(IF(CallPut=1,UndTree!R14-Strike,Strike-UndTree!R14),0),MAX((2-AmEur)*IF(CallPut=1,UndTree!R14-Strike,Strike-UndTree!R14),(UpProb*S14+DownProb*S15)*StepDiscount)))</f>
        <v>3.0689929614552325</v>
      </c>
      <c r="S14" s="17">
        <f>IF(S$3="","",IF(S$3=Steps,MAX(IF(CallPut=1,UndTree!S14-Strike,Strike-UndTree!S14),0),MAX((2-AmEur)*IF(CallPut=1,UndTree!S14-Strike,Strike-UndTree!S14),(UpProb*T14+DownProb*T15)*StepDiscount)))</f>
        <v>3.6810682815435234</v>
      </c>
      <c r="T14" s="17">
        <f>IF(T$3="","",IF(T$3=Steps,MAX(IF(CallPut=1,UndTree!T14-Strike,Strike-UndTree!T14),0),MAX((2-AmEur)*IF(CallPut=1,UndTree!T14-Strike,Strike-UndTree!T14),(UpProb*U14+DownProb*U15)*StepDiscount)))</f>
        <v>4.3922008731664288</v>
      </c>
      <c r="U14" s="17">
        <f>IF(U$3="","",IF(U$3=Steps,MAX(IF(CallPut=1,UndTree!U14-Strike,Strike-UndTree!U14),0),MAX((2-AmEur)*IF(CallPut=1,UndTree!U14-Strike,Strike-UndTree!U14),(UpProb*V14+DownProb*V15)*StepDiscount)))</f>
        <v>5.213294115144544</v>
      </c>
      <c r="V14" s="17">
        <f>IF(V$3="","",IF(V$3=Steps,MAX(IF(CallPut=1,UndTree!V14-Strike,Strike-UndTree!V14),0),MAX((2-AmEur)*IF(CallPut=1,UndTree!V14-Strike,Strike-UndTree!V14),(UpProb*W14+DownProb*W15)*StepDiscount)))</f>
        <v>6.1554345360625646</v>
      </c>
      <c r="W14" s="17">
        <f>IF(W$3="","",IF(W$3=Steps,MAX(IF(CallPut=1,UndTree!W14-Strike,Strike-UndTree!W14),0),MAX((2-AmEur)*IF(CallPut=1,UndTree!W14-Strike,Strike-UndTree!W14),(UpProb*X14+DownProb*X15)*StepDiscount)))</f>
        <v>7.22969767829915</v>
      </c>
      <c r="X14" s="17">
        <f>IF(X$3="","",IF(X$3=Steps,MAX(IF(CallPut=1,UndTree!X14-Strike,Strike-UndTree!X14),0),MAX((2-AmEur)*IF(CallPut=1,UndTree!X14-Strike,Strike-UndTree!X14),(UpProb*Y14+DownProb*Y15)*StepDiscount)))</f>
        <v>8.4469330970606684</v>
      </c>
      <c r="Y14" s="17">
        <f>IF(Y$3="","",IF(Y$3=Steps,MAX(IF(CallPut=1,UndTree!Y14-Strike,Strike-UndTree!Y14),0),MAX((2-AmEur)*IF(CallPut=1,UndTree!Y14-Strike,Strike-UndTree!Y14),(UpProb*Z14+DownProb*Z15)*StepDiscount)))</f>
        <v>9.8175359171840881</v>
      </c>
      <c r="Z14" s="17">
        <f>IF(Z$3="","",IF(Z$3=Steps,MAX(IF(CallPut=1,UndTree!Z14-Strike,Strike-UndTree!Z14),0),MAX((2-AmEur)*IF(CallPut=1,UndTree!Z14-Strike,Strike-UndTree!Z14),(UpProb*AA14+DownProb*AA15)*StepDiscount)))</f>
        <v>11.351214342987292</v>
      </c>
      <c r="AA14" s="17">
        <f>IF(AA$3="","",IF(AA$3=Steps,MAX(IF(CallPut=1,UndTree!AA14-Strike,Strike-UndTree!AA14),0),MAX((2-AmEur)*IF(CallPut=1,UndTree!AA14-Strike,Strike-UndTree!AA14),(UpProb*AB14+DownProb*AB15)*StepDiscount)))</f>
        <v>13.056764137712131</v>
      </c>
      <c r="AB14" s="17">
        <f>IF(AB$3="","",IF(AB$3=Steps,MAX(IF(CallPut=1,UndTree!AB14-Strike,Strike-UndTree!AB14),0),MAX((2-AmEur)*IF(CallPut=1,UndTree!AB14-Strike,Strike-UndTree!AB14),(UpProb*AC14+DownProb*AC15)*StepDiscount)))</f>
        <v>14.941862152212943</v>
      </c>
      <c r="AC14" s="17">
        <f>IF(AC$3="","",IF(AC$3=Steps,MAX(IF(CallPut=1,UndTree!AC14-Strike,Strike-UndTree!AC14),0),MAX((2-AmEur)*IF(CallPut=1,UndTree!AC14-Strike,Strike-UndTree!AC14),(UpProb*AD14+DownProb*AD15)*StepDiscount)))</f>
        <v>17.012891294626662</v>
      </c>
      <c r="AD14" s="17">
        <f>IF(AD$3="","",IF(AD$3=Steps,MAX(IF(CallPut=1,UndTree!AD14-Strike,Strike-UndTree!AD14),0),MAX((2-AmEur)*IF(CallPut=1,UndTree!AD14-Strike,Strike-UndTree!AD14),(UpProb*AE14+DownProb*AE15)*StepDiscount)))</f>
        <v>19.274808740234487</v>
      </c>
      <c r="AE14" s="17">
        <f>IF(AE$3="","",IF(AE$3=Steps,MAX(IF(CallPut=1,UndTree!AE14-Strike,Strike-UndTree!AE14),0),MAX((2-AmEur)*IF(CallPut=1,UndTree!AE14-Strike,Strike-UndTree!AE14),(UpProb*AF14+DownProb*AF15)*StepDiscount)))</f>
        <v>21.731067595396166</v>
      </c>
      <c r="AF14" s="17">
        <f>IF(AF$3="","",IF(AF$3=Steps,MAX(IF(CallPut=1,UndTree!AF14-Strike,Strike-UndTree!AF14),0),MAX((2-AmEur)*IF(CallPut=1,UndTree!AF14-Strike,Strike-UndTree!AF14),(UpProb*AG14+DownProb*AG15)*StepDiscount)))</f>
        <v>24.383599651956228</v>
      </c>
      <c r="AG14" s="17">
        <f>IF(AG$3="","",IF(AG$3=Steps,MAX(IF(CallPut=1,UndTree!AG14-Strike,Strike-UndTree!AG14),0),MAX((2-AmEur)*IF(CallPut=1,UndTree!AG14-Strike,Strike-UndTree!AG14),(UpProb*AH14+DownProb*AH15)*StepDiscount)))</f>
        <v>27.232863405100453</v>
      </c>
      <c r="AH14" s="17">
        <f>IF(AH$3="","",IF(AH$3=Steps,MAX(IF(CallPut=1,UndTree!AH14-Strike,Strike-UndTree!AH14),0),MAX((2-AmEur)*IF(CallPut=1,UndTree!AH14-Strike,Strike-UndTree!AH14),(UpProb*AI14+DownProb*AI15)*StepDiscount)))</f>
        <v>30.277957376001446</v>
      </c>
      <c r="AI14" s="17">
        <f>IF(AI$3="","",IF(AI$3=Steps,MAX(IF(CallPut=1,UndTree!AI14-Strike,Strike-UndTree!AI14),0),MAX((2-AmEur)*IF(CallPut=1,UndTree!AI14-Strike,Strike-UndTree!AI14),(UpProb*AJ14+DownProb*AJ15)*StepDiscount)))</f>
        <v>33.516794301837464</v>
      </c>
      <c r="AJ14" s="17">
        <f>IF(AJ$3="","",IF(AJ$3=Steps,MAX(IF(CallPut=1,UndTree!AJ14-Strike,Strike-UndTree!AJ14),0),MAX((2-AmEur)*IF(CallPut=1,UndTree!AJ14-Strike,Strike-UndTree!AJ14),(UpProb*AK14+DownProb*AK15)*StepDiscount)))</f>
        <v>36.946327330451702</v>
      </c>
      <c r="AK14" s="17">
        <f>IF(AK$3="","",IF(AK$3=Steps,MAX(IF(CallPut=1,UndTree!AK14-Strike,Strike-UndTree!AK14),0),MAX((2-AmEur)*IF(CallPut=1,UndTree!AK14-Strike,Strike-UndTree!AK14),(UpProb*AL14+DownProb*AL15)*StepDiscount)))</f>
        <v>40.562815425820844</v>
      </c>
      <c r="AL14" s="17">
        <f>IF(AL$3="","",IF(AL$3=Steps,MAX(IF(CallPut=1,UndTree!AL14-Strike,Strike-UndTree!AL14),0),MAX((2-AmEur)*IF(CallPut=1,UndTree!AL14-Strike,Strike-UndTree!AL14),(UpProb*AM14+DownProb*AM15)*StepDiscount)))</f>
        <v>44.362112183369746</v>
      </c>
      <c r="AM14" s="17">
        <f>IF(AM$3="","",IF(AM$3=Steps,MAX(IF(CallPut=1,UndTree!AM14-Strike,Strike-UndTree!AM14),0),MAX((2-AmEur)*IF(CallPut=1,UndTree!AM14-Strike,Strike-UndTree!AM14),(UpProb*AN14+DownProb*AN15)*StepDiscount)))</f>
        <v>48.3399605324297</v>
      </c>
      <c r="AN14" s="17">
        <f>IF(AN$3="","",IF(AN$3=Steps,MAX(IF(CallPut=1,UndTree!AN14-Strike,Strike-UndTree!AN14),0),MAX((2-AmEur)*IF(CallPut=1,UndTree!AN14-Strike,Strike-UndTree!AN14),(UpProb*AO14+DownProb*AO15)*StepDiscount)))</f>
        <v>52.492275604824279</v>
      </c>
      <c r="AO14" s="17">
        <f>IF(AO$3="","",IF(AO$3=Steps,MAX(IF(CallPut=1,UndTree!AO14-Strike,Strike-UndTree!AO14),0),MAX((2-AmEur)*IF(CallPut=1,UndTree!AO14-Strike,Strike-UndTree!AO14),(UpProb*AP14+DownProb*AP15)*StepDiscount)))</f>
        <v>56.815399444830398</v>
      </c>
      <c r="AP14" s="17">
        <f>IF(AP$3="","",IF(AP$3=Steps,MAX(IF(CallPut=1,UndTree!AP14-Strike,Strike-UndTree!AP14),0),MAX((2-AmEur)*IF(CallPut=1,UndTree!AP14-Strike,Strike-UndTree!AP14),(UpProb*AQ14+DownProb*AQ15)*StepDiscount)))</f>
        <v>61.30631410783527</v>
      </c>
      <c r="AQ14" s="17">
        <f>IF(AQ$3="","",IF(AQ$3=Steps,MAX(IF(CallPut=1,UndTree!AQ14-Strike,Strike-UndTree!AQ14),0),MAX((2-AmEur)*IF(CallPut=1,UndTree!AQ14-Strike,Strike-UndTree!AQ14),(UpProb*AR14+DownProb*AR15)*StepDiscount)))</f>
        <v>65.962803738125828</v>
      </c>
      <c r="AR14" s="17">
        <f>IF(AR$3="","",IF(AR$3=Steps,MAX(IF(CallPut=1,UndTree!AR14-Strike,Strike-UndTree!AR14),0),MAX((2-AmEur)*IF(CallPut=1,UndTree!AR14-Strike,Strike-UndTree!AR14),(UpProb*AS14+DownProb*AS15)*StepDiscount)))</f>
        <v>70.783560972930715</v>
      </c>
      <c r="AS14" s="17">
        <f>IF(AS$3="","",IF(AS$3=Steps,MAX(IF(CallPut=1,UndTree!AS14-Strike,Strike-UndTree!AS14),0),MAX((2-AmEur)*IF(CallPut=1,UndTree!AS14-Strike,Strike-UndTree!AS14),(UpProb*AT14+DownProb*AT15)*StepDiscount)))</f>
        <v>75.76823793970101</v>
      </c>
      <c r="AT14" s="17">
        <f>IF(AT$3="","",IF(AT$3=Steps,MAX(IF(CallPut=1,UndTree!AT14-Strike,Strike-UndTree!AT14),0),MAX((2-AmEur)*IF(CallPut=1,UndTree!AT14-Strike,Strike-UndTree!AT14),(UpProb*AU14+DownProb*AU15)*StepDiscount)))</f>
        <v>80.917446631364257</v>
      </c>
      <c r="AU14" s="17">
        <f>IF(AU$3="","",IF(AU$3=Steps,MAX(IF(CallPut=1,UndTree!AU14-Strike,Strike-UndTree!AU14),0),MAX((2-AmEur)*IF(CallPut=1,UndTree!AU14-Strike,Strike-UndTree!AU14),(UpProb*AV14+DownProb*AV15)*StepDiscount)))</f>
        <v>86.232717063125961</v>
      </c>
      <c r="AV14" s="17">
        <f>IF(AV$3="","",IF(AV$3=Steps,MAX(IF(CallPut=1,UndTree!AV14-Strike,Strike-UndTree!AV14),0),MAX((2-AmEur)*IF(CallPut=1,UndTree!AV14-Strike,Strike-UndTree!AV14),(UpProb*AW14+DownProb*AW15)*StepDiscount)))</f>
        <v>91.716423979913145</v>
      </c>
      <c r="AW14" s="17">
        <f>IF(AW$3="","",IF(AW$3=Steps,MAX(IF(CallPut=1,UndTree!AW14-Strike,Strike-UndTree!AW14),0),MAX((2-AmEur)*IF(CallPut=1,UndTree!AW14-Strike,Strike-UndTree!AW14),(UpProb*AX14+DownProb*AX15)*StepDiscount)))</f>
        <v>97.371693833901475</v>
      </c>
      <c r="AX14" s="17">
        <f>IF(AX$3="","",IF(AX$3=Steps,MAX(IF(CallPut=1,UndTree!AX14-Strike,Strike-UndTree!AX14),0),MAX((2-AmEur)*IF(CallPut=1,UndTree!AX14-Strike,Strike-UndTree!AX14),(UpProb*AY14+DownProb*AY15)*StepDiscount)))</f>
        <v>103.20230333383245</v>
      </c>
      <c r="AY14" s="17">
        <f>IF(AY$3="","",IF(AY$3=Steps,MAX(IF(CallPut=1,UndTree!AY14-Strike,Strike-UndTree!AY14),0),MAX((2-AmEur)*IF(CallPut=1,UndTree!AY14-Strike,Strike-UndTree!AY14),(UpProb*AZ14+DownProb*AZ15)*StepDiscount)))</f>
        <v>109.21257931728626</v>
      </c>
      <c r="AZ14" s="17">
        <f>IF(AZ$3="","",IF(AZ$3=Steps,MAX(IF(CallPut=1,UndTree!AZ14-Strike,Strike-UndTree!AZ14),0),MAX((2-AmEur)*IF(CallPut=1,UndTree!AZ14-Strike,Strike-UndTree!AZ14),(UpProb*BA14+DownProb*BA15)*StepDiscount)))</f>
        <v>115.40730738374607</v>
      </c>
      <c r="BA14" s="17">
        <f>IF(BA$3="","",IF(BA$3=Steps,MAX(IF(CallPut=1,UndTree!BA14-Strike,Strike-UndTree!BA14),0),MAX((2-AmEur)*IF(CallPut=1,UndTree!BA14-Strike,Strike-UndTree!BA14),(UpProb*BB14+DownProb*BB15)*StepDiscount)))</f>
        <v>121.79165408046444</v>
      </c>
      <c r="BB14" s="17">
        <f>IF(BB$3="","",IF(BB$3=Steps,MAX(IF(CallPut=1,UndTree!BB14-Strike,Strike-UndTree!BB14),0),MAX((2-AmEur)*IF(CallPut=1,UndTree!BB14-Strike,Strike-UndTree!BB14),(UpProb*BC14+DownProb*BC15)*StepDiscount)))</f>
        <v>128.37110486608864</v>
      </c>
      <c r="BC14" s="17">
        <f>IF(BC$3="","",IF(BC$3=Steps,MAX(IF(CallPut=1,UndTree!BC14-Strike,Strike-UndTree!BC14),0),MAX((2-AmEur)*IF(CallPut=1,UndTree!BC14-Strike,Strike-UndTree!BC14),(UpProb*BD14+DownProb*BD15)*StepDiscount)))</f>
        <v>135.15141791361501</v>
      </c>
      <c r="BD14" s="17">
        <f>IF(BD$3="","",IF(BD$3=Steps,MAX(IF(CallPut=1,UndTree!BD14-Strike,Strike-UndTree!BD14),0),MAX((2-AmEur)*IF(CallPut=1,UndTree!BD14-Strike,Strike-UndTree!BD14),(UpProb*BE14+DownProb*BE15)*StepDiscount)))</f>
        <v>142.13859225086631</v>
      </c>
      <c r="BE14" s="17">
        <f>IF(BE$3="","",IF(BE$3=Steps,MAX(IF(CallPut=1,UndTree!BE14-Strike,Strike-UndTree!BE14),0),MAX((2-AmEur)*IF(CallPut=1,UndTree!BE14-Strike,Strike-UndTree!BE14),(UpProb*BF14+DownProb*BF15)*StepDiscount)))</f>
        <v>149.33884783045008</v>
      </c>
      <c r="BF14" s="17">
        <f>IF(BF$3="","",IF(BF$3=Steps,MAX(IF(CallPut=1,UndTree!BF14-Strike,Strike-UndTree!BF14),0),MAX((2-AmEur)*IF(CallPut=1,UndTree!BF14-Strike,Strike-UndTree!BF14),(UpProb*BG14+DownProb*BG15)*StepDiscount)))</f>
        <v>156.75861480903586</v>
      </c>
      <c r="BG14" s="17">
        <f>IF(BG$3="","",IF(BG$3=Steps,MAX(IF(CallPut=1,UndTree!BG14-Strike,Strike-UndTree!BG14),0),MAX((2-AmEur)*IF(CallPut=1,UndTree!BG14-Strike,Strike-UndTree!BG14),(UpProb*BH14+DownProb*BH15)*StepDiscount)))</f>
        <v>164.40452945453927</v>
      </c>
      <c r="BH14" s="17">
        <f>IF(BH$3="","",IF(BH$3=Steps,MAX(IF(CallPut=1,UndTree!BH14-Strike,Strike-UndTree!BH14),0),MAX((2-AmEur)*IF(CallPut=1,UndTree!BH14-Strike,Strike-UndTree!BH14),(UpProb*BI14+DownProb*BI15)*StepDiscount)))</f>
        <v>172.28343451385737</v>
      </c>
      <c r="BI14" s="17">
        <f>IF(BI$3="","",IF(BI$3=Steps,MAX(IF(CallPut=1,UndTree!BI14-Strike,Strike-UndTree!BI14),0),MAX((2-AmEur)*IF(CallPut=1,UndTree!BI14-Strike,Strike-UndTree!BI14),(UpProb*BJ14+DownProb*BJ15)*StepDiscount)))</f>
        <v>180.40238239834241</v>
      </c>
      <c r="BJ14" s="17">
        <f>IF(BJ$3="","",IF(BJ$3=Steps,MAX(IF(CallPut=1,UndTree!BJ14-Strike,Strike-UndTree!BJ14),0),MAX((2-AmEur)*IF(CallPut=1,UndTree!BJ14-Strike,Strike-UndTree!BJ14),(UpProb*BK14+DownProb*BK15)*StepDiscount)))</f>
        <v>188.7686400541516</v>
      </c>
      <c r="BK14" s="17">
        <f>IF(BK$3="","",IF(BK$3=Steps,MAX(IF(CallPut=1,UndTree!BK14-Strike,Strike-UndTree!BK14),0),MAX((2-AmEur)*IF(CallPut=1,UndTree!BK14-Strike,Strike-UndTree!BK14),(UpProb*BL14+DownProb*BL15)*StepDiscount)))</f>
        <v>197.38969480607489</v>
      </c>
      <c r="BL14" s="17">
        <f>IF(BL$3="","",IF(BL$3=Steps,MAX(IF(CallPut=1,UndTree!BL14-Strike,Strike-UndTree!BL14),0),MAX((2-AmEur)*IF(CallPut=1,UndTree!BL14-Strike,Strike-UndTree!BL14),(UpProb*BM14+DownProb*BM15)*StepDiscount)))</f>
        <v>206.27326076973497</v>
      </c>
      <c r="BM14" s="17">
        <f>IF(BM$3="","",IF(BM$3=Steps,MAX(IF(CallPut=1,UndTree!BM14-Strike,Strike-UndTree!BM14),0),MAX((2-AmEur)*IF(CallPut=1,UndTree!BM14-Strike,Strike-UndTree!BM14),(UpProb*BN14+DownProb*BN15)*StepDiscount)))</f>
        <v>215.42728562513534</v>
      </c>
      <c r="BN14" s="17">
        <f>IF(BN$3="","",IF(BN$3=Steps,MAX(IF(CallPut=1,UndTree!BN14-Strike,Strike-UndTree!BN14),0),MAX((2-AmEur)*IF(CallPut=1,UndTree!BN14-Strike,Strike-UndTree!BN14),(UpProb*BO14+DownProb*BO15)*StepDiscount)))</f>
        <v>224.85995765874353</v>
      </c>
      <c r="BO14" s="17">
        <f>IF(BO$3="","",IF(BO$3=Steps,MAX(IF(CallPut=1,UndTree!BO14-Strike,Strike-UndTree!BO14),0),MAX((2-AmEur)*IF(CallPut=1,UndTree!BO14-Strike,Strike-UndTree!BO14),(UpProb*BP14+DownProb*BP15)*StepDiscount)))</f>
        <v>234.57971303975765</v>
      </c>
      <c r="BP14" s="17">
        <f>IF(BP$3="","",IF(BP$3=Steps,MAX(IF(CallPut=1,UndTree!BP14-Strike,Strike-UndTree!BP14),0),MAX((2-AmEur)*IF(CallPut=1,UndTree!BP14-Strike,Strike-UndTree!BP14),(UpProb*BQ14+DownProb*BQ15)*StepDiscount)))</f>
        <v>244.59524332253756</v>
      </c>
      <c r="BQ14" s="17">
        <f>IF(BQ$3="","",IF(BQ$3=Steps,MAX(IF(CallPut=1,UndTree!BQ14-Strike,Strike-UndTree!BQ14),0),MAX((2-AmEur)*IF(CallPut=1,UndTree!BQ14-Strike,Strike-UndTree!BQ14),(UpProb*BR14+DownProb*BR15)*StepDiscount)))</f>
        <v>254.91550317750205</v>
      </c>
      <c r="BR14" s="17">
        <f>IF(BR$3="","",IF(BR$3=Steps,MAX(IF(CallPut=1,UndTree!BR14-Strike,Strike-UndTree!BR14),0),MAX((2-AmEur)*IF(CallPut=1,UndTree!BR14-Strike,Strike-UndTree!BR14),(UpProb*BS14+DownProb*BS15)*StepDiscount)))</f>
        <v>265.54971835629613</v>
      </c>
      <c r="BS14" s="17">
        <f>IF(BS$3="","",IF(BS$3=Steps,MAX(IF(CallPut=1,UndTree!BS14-Strike,Strike-UndTree!BS14),0),MAX((2-AmEur)*IF(CallPut=1,UndTree!BS14-Strike,Strike-UndTree!BS14),(UpProb*BT14+DownProb*BT15)*StepDiscount)))</f>
        <v>276.50739389811196</v>
      </c>
      <c r="BT14" s="17">
        <f>IF(BT$3="","",IF(BT$3=Steps,MAX(IF(CallPut=1,UndTree!BT14-Strike,Strike-UndTree!BT14),0),MAX((2-AmEur)*IF(CallPut=1,UndTree!BT14-Strike,Strike-UndTree!BT14),(UpProb*BU14+DownProb*BU15)*StepDiscount)))</f>
        <v>287.79832258443861</v>
      </c>
      <c r="BU14" s="17">
        <f>IF(BU$3="","",IF(BU$3=Steps,MAX(IF(CallPut=1,UndTree!BU14-Strike,Strike-UndTree!BU14),0),MAX((2-AmEur)*IF(CallPut=1,UndTree!BU14-Strike,Strike-UndTree!BU14),(UpProb*BV14+DownProb*BV15)*StepDiscount)))</f>
        <v>299.43259364975819</v>
      </c>
      <c r="BV14" s="17">
        <f>IF(BV$3="","",IF(BV$3=Steps,MAX(IF(CallPut=1,UndTree!BV14-Strike,Strike-UndTree!BV14),0),MAX((2-AmEur)*IF(CallPut=1,UndTree!BV14-Strike,Strike-UndTree!BV14),(UpProb*BW14+DownProb*BW15)*StepDiscount)))</f>
        <v>311.42060175593735</v>
      </c>
      <c r="BW14" s="17">
        <f>IF(BW$3="","",IF(BW$3=Steps,MAX(IF(CallPut=1,UndTree!BW14-Strike,Strike-UndTree!BW14),0),MAX((2-AmEur)*IF(CallPut=1,UndTree!BW14-Strike,Strike-UndTree!BW14),(UpProb*BX14+DownProb*BX15)*StepDiscount)))</f>
        <v>323.77305623829648</v>
      </c>
      <c r="BX14" s="17">
        <f>IF(BX$3="","",IF(BX$3=Steps,MAX(IF(CallPut=1,UndTree!BX14-Strike,Strike-UndTree!BX14),0),MAX((2-AmEur)*IF(CallPut=1,UndTree!BX14-Strike,Strike-UndTree!BX14),(UpProb*BY14+DownProb*BY15)*StepDiscount)))</f>
        <v>336.50099063158143</v>
      </c>
      <c r="BY14" s="17">
        <f>IF(BY$3="","",IF(BY$3=Steps,MAX(IF(CallPut=1,UndTree!BY14-Strike,Strike-UndTree!BY14),0),MAX((2-AmEur)*IF(CallPut=1,UndTree!BY14-Strike,Strike-UndTree!BY14),(UpProb*BZ14+DownProb*BZ15)*StepDiscount)))</f>
        <v>349.61577248431047</v>
      </c>
      <c r="BZ14" s="17">
        <f>IF(BZ$3="","",IF(BZ$3=Steps,MAX(IF(CallPut=1,UndTree!BZ14-Strike,Strike-UndTree!BZ14),0),MAX((2-AmEur)*IF(CallPut=1,UndTree!BZ14-Strike,Strike-UndTree!BZ14),(UpProb*CA14+DownProb*CA15)*StepDiscount)))</f>
        <v>363.12911347022629</v>
      </c>
      <c r="CA14" s="17">
        <f>IF(CA$3="","",IF(CA$3=Steps,MAX(IF(CallPut=1,UndTree!CA14-Strike,Strike-UndTree!CA14),0),MAX((2-AmEur)*IF(CallPut=1,UndTree!CA14-Strike,Strike-UndTree!CA14),(UpProb*CB14+DownProb*CB15)*StepDiscount)))</f>
        <v>377.0530798058482</v>
      </c>
      <c r="CB14" s="17">
        <f>IF(CB$3="","",IF(CB$3=Steps,MAX(IF(CallPut=1,UndTree!CB14-Strike,Strike-UndTree!CB14),0),MAX((2-AmEur)*IF(CallPut=1,UndTree!CB14-Strike,Strike-UndTree!CB14),(UpProb*CC14+DownProb*CC15)*StepDiscount)))</f>
        <v>391.40010298338939</v>
      </c>
      <c r="CC14" s="17">
        <f>IF(CC$3="","",IF(CC$3=Steps,MAX(IF(CallPut=1,UndTree!CC14-Strike,Strike-UndTree!CC14),0),MAX((2-AmEur)*IF(CallPut=1,UndTree!CC14-Strike,Strike-UndTree!CC14),(UpProb*CD14+DownProb*CD15)*StepDiscount)))</f>
        <v>406.18299082858806</v>
      </c>
      <c r="CD14" s="17">
        <f>IF(CD$3="","",IF(CD$3=Steps,MAX(IF(CallPut=1,UndTree!CD14-Strike,Strike-UndTree!CD14),0),MAX((2-AmEur)*IF(CallPut=1,UndTree!CD14-Strike,Strike-UndTree!CD14),(UpProb*CE14+DownProb*CE15)*StepDiscount)))</f>
        <v>421.41493889328677</v>
      </c>
      <c r="CE14" s="17">
        <f>IF(CE$3="","",IF(CE$3=Steps,MAX(IF(CallPut=1,UndTree!CE14-Strike,Strike-UndTree!CE14),0),MAX((2-AmEur)*IF(CallPut=1,UndTree!CE14-Strike,Strike-UndTree!CE14),(UpProb*CF14+DownProb*CF15)*StepDiscount)))</f>
        <v>437.10954219289493</v>
      </c>
      <c r="CF14" s="17">
        <f>IF(CF$3="","",IF(CF$3=Steps,MAX(IF(CallPut=1,UndTree!CF14-Strike,Strike-UndTree!CF14),0),MAX((2-AmEur)*IF(CallPut=1,UndTree!CF14-Strike,Strike-UndTree!CF14),(UpProb*CG14+DownProb*CG15)*StepDiscount)))</f>
        <v>453.28080729917417</v>
      </c>
      <c r="CG14" s="17">
        <f>IF(CG$3="","",IF(CG$3=Steps,MAX(IF(CallPut=1,UndTree!CG14-Strike,Strike-UndTree!CG14),0),MAX((2-AmEur)*IF(CallPut=1,UndTree!CG14-Strike,Strike-UndTree!CG14),(UpProb*CH14+DownProb*CH15)*StepDiscount)))</f>
        <v>469.94316479910339</v>
      </c>
      <c r="CH14" s="17">
        <f>IF(CH$3="","",IF(CH$3=Steps,MAX(IF(CallPut=1,UndTree!CH14-Strike,Strike-UndTree!CH14),0),MAX((2-AmEur)*IF(CallPut=1,UndTree!CH14-Strike,Strike-UndTree!CH14),(UpProb*CI14+DownProb*CI15)*StepDiscount)))</f>
        <v>487.11148213090496</v>
      </c>
      <c r="CI14" s="17">
        <f>IF(CI$3="","",IF(CI$3=Steps,MAX(IF(CallPut=1,UndTree!CI14-Strike,Strike-UndTree!CI14),0),MAX((2-AmEur)*IF(CallPut=1,UndTree!CI14-Strike,Strike-UndTree!CI14),(UpProb*CJ14+DownProb*CJ15)*StepDiscount)))</f>
        <v>504.80107680865035</v>
      </c>
      <c r="CJ14" s="17">
        <f>IF(CJ$3="","",IF(CJ$3=Steps,MAX(IF(CallPut=1,UndTree!CJ14-Strike,Strike-UndTree!CJ14),0),MAX((2-AmEur)*IF(CallPut=1,UndTree!CJ14-Strike,Strike-UndTree!CJ14),(UpProb*CK14+DownProb*CK15)*StepDiscount)))</f>
        <v>523.02773004720768</v>
      </c>
      <c r="CK14" s="17">
        <f>IF(CK$3="","",IF(CK$3=Steps,MAX(IF(CallPut=1,UndTree!CK14-Strike,Strike-UndTree!CK14),0),MAX((2-AmEur)*IF(CallPut=1,UndTree!CK14-Strike,Strike-UndTree!CK14),(UpProb*CL14+DownProb*CL15)*StepDiscount)))</f>
        <v>541.80770079965134</v>
      </c>
      <c r="CL14" s="17">
        <f>IF(CL$3="","",IF(CL$3=Steps,MAX(IF(CallPut=1,UndTree!CL14-Strike,Strike-UndTree!CL14),0),MAX((2-AmEur)*IF(CallPut=1,UndTree!CL14-Strike,Strike-UndTree!CL14),(UpProb*CM14+DownProb*CM15)*StepDiscount)))</f>
        <v>561.15774021962091</v>
      </c>
      <c r="CM14" s="17">
        <f>IF(CM$3="","",IF(CM$3=Steps,MAX(IF(CallPut=1,UndTree!CM14-Strike,Strike-UndTree!CM14),0),MAX((2-AmEur)*IF(CallPut=1,UndTree!CM14-Strike,Strike-UndTree!CM14),(UpProb*CN14+DownProb*CN15)*StepDiscount)))</f>
        <v>581.09510656149348</v>
      </c>
      <c r="CN14" s="17">
        <f>IF(CN$3="","",IF(CN$3=Steps,MAX(IF(CallPut=1,UndTree!CN14-Strike,Strike-UndTree!CN14),0),MAX((2-AmEur)*IF(CallPut=1,UndTree!CN14-Strike,Strike-UndTree!CN14),(UpProb*CO14+DownProb*CO15)*StepDiscount)))</f>
        <v>601.63758053162314</v>
      </c>
      <c r="CO14" s="17">
        <f>IF(CO$3="","",IF(CO$3=Steps,MAX(IF(CallPut=1,UndTree!CO14-Strike,Strike-UndTree!CO14),0),MAX((2-AmEur)*IF(CallPut=1,UndTree!CO14-Strike,Strike-UndTree!CO14),(UpProb*CP14+DownProb*CP15)*StepDiscount)))</f>
        <v>622.80348110430305</v>
      </c>
      <c r="CP14" s="17">
        <f>IF(CP$3="","",IF(CP$3=Steps,MAX(IF(CallPut=1,UndTree!CP14-Strike,Strike-UndTree!CP14),0),MAX((2-AmEur)*IF(CallPut=1,UndTree!CP14-Strike,Strike-UndTree!CP14),(UpProb*CQ14+DownProb*CQ15)*StepDiscount)))</f>
        <v>644.61168181651419</v>
      </c>
      <c r="CQ14" s="17">
        <f>IF(CQ$3="","",IF(CQ$3=Steps,MAX(IF(CallPut=1,UndTree!CQ14-Strike,Strike-UndTree!CQ14),0),MAX((2-AmEur)*IF(CallPut=1,UndTree!CQ14-Strike,Strike-UndTree!CQ14),(UpProb*CR14+DownProb*CR15)*StepDiscount)))</f>
        <v>667.08162755595617</v>
      </c>
      <c r="CR14" s="17">
        <f>IF(CR$3="","",IF(CR$3=Steps,MAX(IF(CallPut=1,UndTree!CR14-Strike,Strike-UndTree!CR14),0),MAX((2-AmEur)*IF(CallPut=1,UndTree!CR14-Strike,Strike-UndTree!CR14),(UpProb*CS14+DownProb*CS15)*StepDiscount)))</f>
        <v>690.23335185729195</v>
      </c>
      <c r="CS14" s="17">
        <f>IF(CS$3="","",IF(CS$3=Steps,MAX(IF(CallPut=1,UndTree!CS14-Strike,Strike-UndTree!CS14),0),MAX((2-AmEur)*IF(CallPut=1,UndTree!CS14-Strike,Strike-UndTree!CS14),(UpProb*CT14+DownProb*CT15)*StepDiscount)))</f>
        <v>714.08749472199077</v>
      </c>
      <c r="CT14" s="17">
        <f>IF(CT$3="","",IF(CT$3=Steps,MAX(IF(CallPut=1,UndTree!CT14-Strike,Strike-UndTree!CT14),0),MAX((2-AmEur)*IF(CallPut=1,UndTree!CT14-Strike,Strike-UndTree!CT14),(UpProb*CU14+DownProb*CU15)*StepDiscount)))</f>
        <v>738.66532097762558</v>
      </c>
      <c r="CU14" s="17">
        <f>IF(CU$3="","",IF(CU$3=Steps,MAX(IF(CallPut=1,UndTree!CU14-Strike,Strike-UndTree!CU14),0),MAX((2-AmEur)*IF(CallPut=1,UndTree!CU14-Strike,Strike-UndTree!CU14),(UpProb*CV14+DownProb*CV15)*StepDiscount)))</f>
        <v>763.98873919295943</v>
      </c>
      <c r="CV14" s="17">
        <f>IF(CV$3="","",IF(CV$3=Steps,MAX(IF(CallPut=1,UndTree!CV14-Strike,Strike-UndTree!CV14),0),MAX((2-AmEur)*IF(CallPut=1,UndTree!CV14-Strike,Strike-UndTree!CV14),(UpProb*CW14+DownProb*CW15)*StepDiscount)))</f>
        <v>790.08032116565471</v>
      </c>
      <c r="CW14" s="17">
        <f>IF(CW$3="","",IF(CW$3=Steps,MAX(IF(CallPut=1,UndTree!CW14-Strike,Strike-UndTree!CW14),0),MAX((2-AmEur)*IF(CallPut=1,UndTree!CW14-Strike,Strike-UndTree!CW14),(UpProb*CX14+DownProb*CX15)*StepDiscount)))</f>
        <v>816.9633219999447</v>
      </c>
      <c r="CX14" s="17">
        <f>IF(CX$3="","",IF(CX$3=Steps,MAX(IF(CallPut=1,UndTree!CX14-Strike,Strike-UndTree!CX14),0),MAX((2-AmEur)*IF(CallPut=1,UndTree!CX14-Strike,Strike-UndTree!CX14),(UpProb*CY14+DownProb*CY15)*StepDiscount)))</f>
        <v>844.66170079211554</v>
      </c>
      <c r="CY14" s="17">
        <f>IF(CY$3="","",IF(CY$3=Steps,MAX(IF(CallPut=1,UndTree!CY14-Strike,Strike-UndTree!CY14),0),MAX((2-AmEur)*IF(CallPut=1,UndTree!CY14-Strike,Strike-UndTree!CY14),(UpProb*CZ14+DownProb*CZ15)*StepDiscount)))</f>
        <v>873.20014194214116</v>
      </c>
      <c r="CZ14" s="17">
        <f>IF(CZ$3="","",IF(CZ$3=Steps,MAX(IF(CallPut=1,UndTree!CZ14-Strike,Strike-UndTree!CZ14),0),MAX((2-AmEur)*IF(CallPut=1,UndTree!CZ14-Strike,Strike-UndTree!CZ14),(UpProb*DA14+DownProb*DA15)*StepDiscount)))</f>
        <v>902.60407711040648</v>
      </c>
      <c r="DA14" s="17">
        <f>IF(DA$3="","",IF(DA$3=Steps,MAX(IF(CallPut=1,UndTree!DA14-Strike,Strike-UndTree!DA14),0),MAX((2-AmEur)*IF(CallPut=1,UndTree!DA14-Strike,Strike-UndTree!DA14),(UpProb*DB14+DownProb*DB15)*StepDiscount)))</f>
        <v>932.89970783938008</v>
      </c>
      <c r="DB14" s="17">
        <f>IF(DB$3="","",IF(DB$3=Steps,MAX(IF(CallPut=1,UndTree!DB14-Strike,Strike-UndTree!DB14),0),MAX((2-AmEur)*IF(CallPut=1,UndTree!DB14-Strike,Strike-UndTree!DB14),(UpProb*DC14+DownProb*DC15)*StepDiscount)))</f>
        <v>964.11402886020005</v>
      </c>
    </row>
    <row r="15" spans="1:106" x14ac:dyDescent="0.2">
      <c r="A15">
        <f>ExDivTree!A15</f>
        <v>158940114100040.06</v>
      </c>
      <c r="B15" s="71">
        <f>ExDivTree!B15</f>
        <v>6.2690821142444253E-17</v>
      </c>
      <c r="C15" s="71">
        <f>ExDivTree!C15</f>
        <v>7.7265578758774959E-17</v>
      </c>
      <c r="D15" s="177">
        <f>ExDivTree!D15</f>
        <v>11</v>
      </c>
      <c r="P15" s="17">
        <f>IF(P$3="","",IF(P$3=Steps,MAX(IF(CallPut=1,UndTree!P15-Strike,Strike-UndTree!P15),0),MAX((2-AmEur)*IF(CallPut=1,UndTree!P15-Strike,Strike-UndTree!P15),(UpProb*Q15+DownProb*Q16)*StepDiscount)))</f>
        <v>1.3478151264563771</v>
      </c>
      <c r="Q15" s="17">
        <f>IF(Q$3="","",IF(Q$3=Steps,MAX(IF(CallPut=1,UndTree!Q15-Strike,Strike-UndTree!Q15),0),MAX((2-AmEur)*IF(CallPut=1,UndTree!Q15-Strike,Strike-UndTree!Q15),(UpProb*R15+DownProb*R16)*StepDiscount)))</f>
        <v>1.6550179262959086</v>
      </c>
      <c r="R15" s="17">
        <f>IF(R$3="","",IF(R$3=Steps,MAX(IF(CallPut=1,UndTree!R15-Strike,Strike-UndTree!R15),0),MAX((2-AmEur)*IF(CallPut=1,UndTree!R15-Strike,Strike-UndTree!R15),(UpProb*S15+DownProb*S16)*StepDiscount)))</f>
        <v>2.0217561305911391</v>
      </c>
      <c r="S15" s="17">
        <f>IF(S$3="","",IF(S$3=Steps,MAX(IF(CallPut=1,UndTree!S15-Strike,Strike-UndTree!S15),0),MAX((2-AmEur)*IF(CallPut=1,UndTree!S15-Strike,Strike-UndTree!S15),(UpProb*T15+DownProb*T16)*StepDiscount)))</f>
        <v>2.4569036169957443</v>
      </c>
      <c r="T15" s="17">
        <f>IF(T$3="","",IF(T$3=Steps,MAX(IF(CallPut=1,UndTree!T15-Strike,Strike-UndTree!T15),0),MAX((2-AmEur)*IF(CallPut=1,UndTree!T15-Strike,Strike-UndTree!T15),(UpProb*U15+DownProb*U16)*StepDiscount)))</f>
        <v>2.9700411895392613</v>
      </c>
      <c r="U15" s="17">
        <f>IF(U$3="","",IF(U$3=Steps,MAX(IF(CallPut=1,UndTree!U15-Strike,Strike-UndTree!U15),0),MAX((2-AmEur)*IF(CallPut=1,UndTree!U15-Strike,Strike-UndTree!U15),(UpProb*V15+DownProb*V16)*StepDiscount)))</f>
        <v>3.5713792533181961</v>
      </c>
      <c r="V15" s="17">
        <f>IF(V$3="","",IF(V$3=Steps,MAX(IF(CallPut=1,UndTree!V15-Strike,Strike-UndTree!V15),0),MAX((2-AmEur)*IF(CallPut=1,UndTree!V15-Strike,Strike-UndTree!V15),(UpProb*W15+DownProb*W16)*StepDiscount)))</f>
        <v>4.2716485719622721</v>
      </c>
      <c r="W15" s="17">
        <f>IF(W$3="","",IF(W$3=Steps,MAX(IF(CallPut=1,UndTree!W15-Strike,Strike-UndTree!W15),0),MAX((2-AmEur)*IF(CallPut=1,UndTree!W15-Strike,Strike-UndTree!W15),(UpProb*X15+DownProb*X16)*StepDiscount)))</f>
        <v>5.0819584199830006</v>
      </c>
      <c r="X15" s="17">
        <f>IF(X$3="","",IF(X$3=Steps,MAX(IF(CallPut=1,UndTree!X15-Strike,Strike-UndTree!X15),0),MAX((2-AmEur)*IF(CallPut=1,UndTree!X15-Strike,Strike-UndTree!X15),(UpProb*Y15+DownProb*Y16)*StepDiscount)))</f>
        <v>6.0136232177962956</v>
      </c>
      <c r="Y15" s="17">
        <f>IF(Y$3="","",IF(Y$3=Steps,MAX(IF(CallPut=1,UndTree!Y15-Strike,Strike-UndTree!Y15),0),MAX((2-AmEur)*IF(CallPut=1,UndTree!Y15-Strike,Strike-UndTree!Y15),(UpProb*Z15+DownProb*Z16)*StepDiscount)))</f>
        <v>7.0779608175093749</v>
      </c>
      <c r="Z15" s="17">
        <f>IF(Z$3="","",IF(Z$3=Steps,MAX(IF(CallPut=1,UndTree!Z15-Strike,Strike-UndTree!Z15),0),MAX((2-AmEur)*IF(CallPut=1,UndTree!Z15-Strike,Strike-UndTree!Z15),(UpProb*AA15+DownProb*AA16)*StepDiscount)))</f>
        <v>8.2860678870744948</v>
      </c>
      <c r="AA15" s="17">
        <f>IF(AA$3="","",IF(AA$3=Steps,MAX(IF(CallPut=1,UndTree!AA15-Strike,Strike-UndTree!AA15),0),MAX((2-AmEur)*IF(CallPut=1,UndTree!AA15-Strike,Strike-UndTree!AA15),(UpProb*AB15+DownProb*AB16)*StepDiscount)))</f>
        <v>9.6485801681200272</v>
      </c>
      <c r="AB15" s="17">
        <f>IF(AB$3="","",IF(AB$3=Steps,MAX(IF(CallPut=1,UndTree!AB15-Strike,Strike-UndTree!AB15),0),MAX((2-AmEur)*IF(CallPut=1,UndTree!AB15-Strike,Strike-UndTree!AB15),(UpProb*AC15+DownProb*AC16)*StepDiscount)))</f>
        <v>11.175427566873712</v>
      </c>
      <c r="AC15" s="17">
        <f>IF(AC$3="","",IF(AC$3=Steps,MAX(IF(CallPut=1,UndTree!AC15-Strike,Strike-UndTree!AC15),0),MAX((2-AmEur)*IF(CallPut=1,UndTree!AC15-Strike,Strike-UndTree!AC15),(UpProb*AD15+DownProb*AD16)*StepDiscount)))</f>
        <v>12.875595856838295</v>
      </c>
      <c r="AD15" s="17">
        <f>IF(AD$3="","",IF(AD$3=Steps,MAX(IF(CallPut=1,UndTree!AD15-Strike,Strike-UndTree!AD15),0),MAX((2-AmEur)*IF(CallPut=1,UndTree!AD15-Strike,Strike-UndTree!AD15),(UpProb*AE15+DownProb*AE16)*StepDiscount)))</f>
        <v>14.756907993709955</v>
      </c>
      <c r="AE15" s="17">
        <f>IF(AE$3="","",IF(AE$3=Steps,MAX(IF(CallPut=1,UndTree!AE15-Strike,Strike-UndTree!AE15),0),MAX((2-AmEur)*IF(CallPut=1,UndTree!AE15-Strike,Strike-UndTree!AE15),(UpProb*AF15+DownProb*AF16)*StepDiscount)))</f>
        <v>16.825838447958056</v>
      </c>
      <c r="AF15" s="17">
        <f>IF(AF$3="","",IF(AF$3=Steps,MAX(IF(CallPut=1,UndTree!AF15-Strike,Strike-UndTree!AF15),0),MAX((2-AmEur)*IF(CallPut=1,UndTree!AF15-Strike,Strike-UndTree!AF15),(UpProb*AG15+DownProb*AG16)*StepDiscount)))</f>
        <v>19.0873733709088</v>
      </c>
      <c r="AG15" s="17">
        <f>IF(AG$3="","",IF(AG$3=Steps,MAX(IF(CallPut=1,UndTree!AG15-Strike,Strike-UndTree!AG15),0),MAX((2-AmEur)*IF(CallPut=1,UndTree!AG15-Strike,Strike-UndTree!AG15),(UpProb*AH15+DownProb*AH16)*StepDiscount)))</f>
        <v>21.5449277206211</v>
      </c>
      <c r="AH15" s="17">
        <f>IF(AH$3="","",IF(AH$3=Steps,MAX(IF(CallPut=1,UndTree!AH15-Strike,Strike-UndTree!AH15),0),MAX((2-AmEur)*IF(CallPut=1,UndTree!AH15-Strike,Strike-UndTree!AH15),(UpProb*AI15+DownProb*AI16)*StepDiscount)))</f>
        <v>24.200327678536812</v>
      </c>
      <c r="AI15" s="17">
        <f>IF(AI$3="","",IF(AI$3=Steps,MAX(IF(CallPut=1,UndTree!AI15-Strike,Strike-UndTree!AI15),0),MAX((2-AmEur)*IF(CallPut=1,UndTree!AI15-Strike,Strike-UndTree!AI15),(UpProb*AJ15+DownProb*AJ16)*StepDiscount)))</f>
        <v>27.0538629008472</v>
      </c>
      <c r="AJ15" s="17">
        <f>IF(AJ$3="","",IF(AJ$3=Steps,MAX(IF(CallPut=1,UndTree!AJ15-Strike,Strike-UndTree!AJ15),0),MAX((2-AmEur)*IF(CallPut=1,UndTree!AJ15-Strike,Strike-UndTree!AJ15),(UpProb*AK15+DownProb*AK16)*StepDiscount)))</f>
        <v>30.104408611313996</v>
      </c>
      <c r="AK15" s="17">
        <f>IF(AK$3="","",IF(AK$3=Steps,MAX(IF(CallPut=1,UndTree!AK15-Strike,Strike-UndTree!AK15),0),MAX((2-AmEur)*IF(CallPut=1,UndTree!AK15-Strike,Strike-UndTree!AK15),(UpProb*AL15+DownProb*AL16)*StepDiscount)))</f>
        <v>33.34961261545044</v>
      </c>
      <c r="AL15" s="17">
        <f>IF(AL$3="","",IF(AL$3=Steps,MAX(IF(CallPut=1,UndTree!AL15-Strike,Strike-UndTree!AL15),0),MAX((2-AmEur)*IF(CallPut=1,UndTree!AL15-Strike,Strike-UndTree!AL15),(UpProb*AM15+DownProb*AM16)*StepDiscount)))</f>
        <v>36.786137451842791</v>
      </c>
      <c r="AM15" s="17">
        <f>IF(AM$3="","",IF(AM$3=Steps,MAX(IF(CallPut=1,UndTree!AM15-Strike,Strike-UndTree!AM15),0),MAX((2-AmEur)*IF(CallPut=1,UndTree!AM15-Strike,Strike-UndTree!AM15),(UpProb*AN15+DownProb*AN16)*StepDiscount)))</f>
        <v>40.409943593862508</v>
      </c>
      <c r="AN15" s="17">
        <f>IF(AN$3="","",IF(AN$3=Steps,MAX(IF(CallPut=1,UndTree!AN15-Strike,Strike-UndTree!AN15),0),MAX((2-AmEur)*IF(CallPut=1,UndTree!AN15-Strike,Strike-UndTree!AN15),(UpProb*AO15+DownProb*AO16)*StepDiscount)))</f>
        <v>44.216596359939523</v>
      </c>
      <c r="AO15" s="17">
        <f>IF(AO$3="","",IF(AO$3=Steps,MAX(IF(CallPut=1,UndTree!AO15-Strike,Strike-UndTree!AO15),0),MAX((2-AmEur)*IF(CallPut=1,UndTree!AO15-Strike,Strike-UndTree!AO15),(UpProb*AP15+DownProb*AP16)*StepDiscount)))</f>
        <v>48.201577388992213</v>
      </c>
      <c r="AP15" s="17">
        <f>IF(AP$3="","",IF(AP$3=Steps,MAX(IF(CallPut=1,UndTree!AP15-Strike,Strike-UndTree!AP15),0),MAX((2-AmEur)*IF(CallPut=1,UndTree!AP15-Strike,Strike-UndTree!AP15),(UpProb*AQ15+DownProb*AQ16)*StepDiscount)))</f>
        <v>52.360581451693349</v>
      </c>
      <c r="AQ15" s="17">
        <f>IF(AQ$3="","",IF(AQ$3=Steps,MAX(IF(CallPut=1,UndTree!AQ15-Strike,Strike-UndTree!AQ15),0),MAX((2-AmEur)*IF(CallPut=1,UndTree!AQ15-Strike,Strike-UndTree!AQ15),(UpProb*AR15+DownProb*AR16)*StepDiscount)))</f>
        <v>56.689781066088642</v>
      </c>
      <c r="AR15" s="17">
        <f>IF(AR$3="","",IF(AR$3=Steps,MAX(IF(CallPut=1,UndTree!AR15-Strike,Strike-UndTree!AR15),0),MAX((2-AmEur)*IF(CallPut=1,UndTree!AR15-Strike,Strike-UndTree!AR15),(UpProb*AS15+DownProb*AS16)*StepDiscount)))</f>
        <v>61.18604471610783</v>
      </c>
      <c r="AS15" s="17">
        <f>IF(AS$3="","",IF(AS$3=Steps,MAX(IF(CallPut=1,UndTree!AS15-Strike,Strike-UndTree!AS15),0),MAX((2-AmEur)*IF(CallPut=1,UndTree!AS15-Strike,Strike-UndTree!AS15),(UpProb*AT15+DownProb*AT16)*StepDiscount)))</f>
        <v>65.847099069162041</v>
      </c>
      <c r="AT15" s="17">
        <f>IF(AT$3="","",IF(AT$3=Steps,MAX(IF(CallPut=1,UndTree!AT15-Strike,Strike-UndTree!AT15),0),MAX((2-AmEur)*IF(CallPut=1,UndTree!AT15-Strike,Strike-UndTree!AT15),(UpProb*AU15+DownProb*AU16)*StepDiscount)))</f>
        <v>70.671630918334685</v>
      </c>
      <c r="AU15" s="17">
        <f>IF(AU$3="","",IF(AU$3=Steps,MAX(IF(CallPut=1,UndTree!AU15-Strike,Strike-UndTree!AU15),0),MAX((2-AmEur)*IF(CallPut=1,UndTree!AU15-Strike,Strike-UndTree!AU15),(UpProb*AV15+DownProb*AV16)*StepDiscount)))</f>
        <v>75.659330000877191</v>
      </c>
      <c r="AV15" s="17">
        <f>IF(AV$3="","",IF(AV$3=Steps,MAX(IF(CallPut=1,UndTree!AV15-Strike,Strike-UndTree!AV15),0),MAX((2-AmEur)*IF(CallPut=1,UndTree!AV15-Strike,Strike-UndTree!AV15),(UpProb*AW15+DownProb*AW16)*StepDiscount)))</f>
        <v>80.810878727359423</v>
      </c>
      <c r="AW15" s="17">
        <f>IF(AW$3="","",IF(AW$3=Steps,MAX(IF(CallPut=1,UndTree!AW15-Strike,Strike-UndTree!AW15),0),MAX((2-AmEur)*IF(CallPut=1,UndTree!AW15-Strike,Strike-UndTree!AW15),(UpProb*AX15+DownProb*AX16)*StepDiscount)))</f>
        <v>86.127898646538185</v>
      </c>
      <c r="AX15" s="17">
        <f>IF(AX$3="","",IF(AX$3=Steps,MAX(IF(CallPut=1,UndTree!AX15-Strike,Strike-UndTree!AX15),0),MAX((2-AmEur)*IF(CallPut=1,UndTree!AX15-Strike,Strike-UndTree!AX15),(UpProb*AY15+DownProb*AY16)*StepDiscount)))</f>
        <v>91.612865797709503</v>
      </c>
      <c r="AY15" s="17">
        <f>IF(AY$3="","",IF(AY$3=Steps,MAX(IF(CallPut=1,UndTree!AY15-Strike,Strike-UndTree!AY15),0),MAX((2-AmEur)*IF(CallPut=1,UndTree!AY15-Strike,Strike-UndTree!AY15),(UpProb*AZ15+DownProb*AZ16)*StepDiscount)))</f>
        <v>97.269007822962067</v>
      </c>
      <c r="AZ15" s="17">
        <f>IF(AZ$3="","",IF(AZ$3=Steps,MAX(IF(CallPut=1,UndTree!AZ15-Strike,Strike-UndTree!AZ15),0),MAX((2-AmEur)*IF(CallPut=1,UndTree!AZ15-Strike,Strike-UndTree!AZ15),(UpProb*BA15+DownProb*BA16)*StepDiscount)))</f>
        <v>103.10019492641432</v>
      </c>
      <c r="BA15" s="17">
        <f>IF(BA$3="","",IF(BA$3=Steps,MAX(IF(CallPut=1,UndTree!BA15-Strike,Strike-UndTree!BA15),0),MAX((2-AmEur)*IF(CallPut=1,UndTree!BA15-Strike,Strike-UndTree!BA15),(UpProb*BB15+DownProb*BB16)*StepDiscount)))</f>
        <v>109.11083478600922</v>
      </c>
      <c r="BB15" s="17">
        <f>IF(BB$3="","",IF(BB$3=Steps,MAX(IF(CallPut=1,UndTree!BB15-Strike,Strike-UndTree!BB15),0),MAX((2-AmEur)*IF(CallPut=1,UndTree!BB15-Strike,Strike-UndTree!BB15),(UpProb*BC15+DownProb*BC16)*StepDiscount)))</f>
        <v>115.30577879563295</v>
      </c>
      <c r="BC15" s="17">
        <f>IF(BC$3="","",IF(BC$3=Steps,MAX(IF(CallPut=1,UndTree!BC15-Strike,Strike-UndTree!BC15),0),MAX((2-AmEur)*IF(CallPut=1,UndTree!BC15-Strike,Strike-UndTree!BC15),(UpProb*BD15+DownProb*BD16)*StepDiscount)))</f>
        <v>121.69024403974798</v>
      </c>
      <c r="BD15" s="17">
        <f>IF(BD$3="","",IF(BD$3=Steps,MAX(IF(CallPut=1,UndTree!BD15-Strike,Strike-UndTree!BD15),0),MAX((2-AmEur)*IF(CallPut=1,UndTree!BD15-Strike,Strike-UndTree!BD15),(UpProb*BE15+DownProb*BE16)*StepDiscount)))</f>
        <v>128.26975263386083</v>
      </c>
      <c r="BE15" s="17">
        <f>IF(BE$3="","",IF(BE$3=Steps,MAX(IF(CallPut=1,UndTree!BE15-Strike,Strike-UndTree!BE15),0),MAX((2-AmEur)*IF(CallPut=1,UndTree!BE15-Strike,Strike-UndTree!BE15),(UpProb*BF15+DownProb*BF16)*StepDiscount)))</f>
        <v>135.05008783848666</v>
      </c>
      <c r="BF15" s="17">
        <f>IF(BF$3="","",IF(BF$3=Steps,MAX(IF(CallPut=1,UndTree!BF15-Strike,Strike-UndTree!BF15),0),MAX((2-AmEur)*IF(CallPut=1,UndTree!BF15-Strike,Strike-UndTree!BF15),(UpProb*BG15+DownProb*BG16)*StepDiscount)))</f>
        <v>142.03726484980518</v>
      </c>
      <c r="BG15" s="17">
        <f>IF(BG$3="","",IF(BG$3=Steps,MAX(IF(CallPut=1,UndTree!BG15-Strike,Strike-UndTree!BG15),0),MAX((2-AmEur)*IF(CallPut=1,UndTree!BG15-Strike,Strike-UndTree!BG15),(UpProb*BH15+DownProb*BH16)*StepDiscount)))</f>
        <v>149.23751340448845</v>
      </c>
      <c r="BH15" s="17">
        <f>IF(BH$3="","",IF(BH$3=Steps,MAX(IF(CallPut=1,UndTree!BH15-Strike,Strike-UndTree!BH15),0),MAX((2-AmEur)*IF(CallPut=1,UndTree!BH15-Strike,Strike-UndTree!BH15),(UpProb*BI15+DownProb*BI16)*StepDiscount)))</f>
        <v>156.65726919830595</v>
      </c>
      <c r="BI15" s="17">
        <f>IF(BI$3="","",IF(BI$3=Steps,MAX(IF(CallPut=1,UndTree!BI15-Strike,Strike-UndTree!BI15),0),MAX((2-AmEur)*IF(CallPut=1,UndTree!BI15-Strike,Strike-UndTree!BI15),(UpProb*BJ15+DownProb*BJ16)*StepDiscount)))</f>
        <v>164.30317142153297</v>
      </c>
      <c r="BJ15" s="17">
        <f>IF(BJ$3="","",IF(BJ$3=Steps,MAX(IF(CallPut=1,UndTree!BJ15-Strike,Strike-UndTree!BJ15),0),MAX((2-AmEur)*IF(CallPut=1,UndTree!BJ15-Strike,Strike-UndTree!BJ15),(UpProb*BK15+DownProb*BK16)*StepDiscount)))</f>
        <v>172.18206425395542</v>
      </c>
      <c r="BK15" s="17">
        <f>IF(BK$3="","",IF(BK$3=Steps,MAX(IF(CallPut=1,UndTree!BK15-Strike,Strike-UndTree!BK15),0),MAX((2-AmEur)*IF(CallPut=1,UndTree!BK15-Strike,Strike-UndTree!BK15),(UpProb*BL15+DownProb*BL16)*StepDiscount)))</f>
        <v>180.30100076170808</v>
      </c>
      <c r="BL15" s="17">
        <f>IF(BL$3="","",IF(BL$3=Steps,MAX(IF(CallPut=1,UndTree!BL15-Strike,Strike-UndTree!BL15),0),MAX((2-AmEur)*IF(CallPut=1,UndTree!BL15-Strike,Strike-UndTree!BL15),(UpProb*BM15+DownProb*BM16)*StepDiscount)))</f>
        <v>188.66724817587689</v>
      </c>
      <c r="BM15" s="17">
        <f>IF(BM$3="","",IF(BM$3=Steps,MAX(IF(CallPut=1,UndTree!BM15-Strike,Strike-UndTree!BM15),0),MAX((2-AmEur)*IF(CallPut=1,UndTree!BM15-Strike,Strike-UndTree!BM15),(UpProb*BN15+DownProb*BN16)*StepDiscount)))</f>
        <v>197.28829394819823</v>
      </c>
      <c r="BN15" s="17">
        <f>IF(BN$3="","",IF(BN$3=Steps,MAX(IF(CallPut=1,UndTree!BN15-Strike,Strike-UndTree!BN15),0),MAX((2-AmEur)*IF(CallPut=1,UndTree!BN15-Strike,Strike-UndTree!BN15),(UpProb*BO15+DownProb*BO16)*StepDiscount)))</f>
        <v>206.17185226179367</v>
      </c>
      <c r="BO15" s="17">
        <f>IF(BO$3="","",IF(BO$3=Steps,MAX(IF(CallPut=1,UndTree!BO15-Strike,Strike-UndTree!BO15),0),MAX((2-AmEur)*IF(CallPut=1,UndTree!BO15-Strike,Strike-UndTree!BO15),(UpProb*BP15+DownProb*BP16)*StepDiscount)))</f>
        <v>215.32587084525801</v>
      </c>
      <c r="BP15" s="17">
        <f>IF(BP$3="","",IF(BP$3=Steps,MAX(IF(CallPut=1,UndTree!BP15-Strike,Strike-UndTree!BP15),0),MAX((2-AmEur)*IF(CallPut=1,UndTree!BP15-Strike,Strike-UndTree!BP15),(UpProb*BQ15+DownProb*BQ16)*StepDiscount)))</f>
        <v>224.75853802923839</v>
      </c>
      <c r="BQ15" s="17">
        <f>IF(BQ$3="","",IF(BQ$3=Steps,MAX(IF(CallPut=1,UndTree!BQ15-Strike,Strike-UndTree!BQ15),0),MAX((2-AmEur)*IF(CallPut=1,UndTree!BQ15-Strike,Strike-UndTree!BQ15),(UpProb*BR15+DownProb*BR16)*StepDiscount)))</f>
        <v>234.47829002710412</v>
      </c>
      <c r="BR15" s="17">
        <f>IF(BR$3="","",IF(BR$3=Steps,MAX(IF(CallPut=1,UndTree!BR15-Strike,Strike-UndTree!BR15),0),MAX((2-AmEur)*IF(CallPut=1,UndTree!BR15-Strike,Strike-UndTree!BR15),(UpProb*BS15+DownProb*BS16)*StepDiscount)))</f>
        <v>244.49381843848803</v>
      </c>
      <c r="BS15" s="17">
        <f>IF(BS$3="","",IF(BS$3=Steps,MAX(IF(CallPut=1,UndTree!BS15-Strike,Strike-UndTree!BS15),0),MAX((2-AmEur)*IF(CallPut=1,UndTree!BS15-Strike,Strike-UndTree!BS15),(UpProb*BT15+DownProb*BT16)*StepDiscount)))</f>
        <v>254.81407798042497</v>
      </c>
      <c r="BT15" s="17">
        <f>IF(BT$3="","",IF(BT$3=Steps,MAX(IF(CallPut=1,UndTree!BT15-Strike,Strike-UndTree!BT15),0),MAX((2-AmEur)*IF(CallPut=1,UndTree!BT15-Strike,Strike-UndTree!BT15),(UpProb*BU15+DownProb*BU16)*StepDiscount)))</f>
        <v>265.44829445258557</v>
      </c>
      <c r="BU15" s="17">
        <f>IF(BU$3="","",IF(BU$3=Steps,MAX(IF(CallPut=1,UndTree!BU15-Strike,Strike-UndTree!BU15),0),MAX((2-AmEur)*IF(CallPut=1,UndTree!BU15-Strike,Strike-UndTree!BU15),(UpProb*BV15+DownProb*BV16)*StepDiscount)))</f>
        <v>276.40597294364227</v>
      </c>
      <c r="BV15" s="17">
        <f>IF(BV$3="","",IF(BV$3=Steps,MAX(IF(CallPut=1,UndTree!BV15-Strike,Strike-UndTree!BV15),0),MAX((2-AmEur)*IF(CallPut=1,UndTree!BV15-Strike,Strike-UndTree!BV15),(UpProb*BW15+DownProb*BW16)*StepDiscount)))</f>
        <v>287.69690628606236</v>
      </c>
      <c r="BW15" s="17">
        <f>IF(BW$3="","",IF(BW$3=Steps,MAX(IF(CallPut=1,UndTree!BW15-Strike,Strike-UndTree!BW15),0),MAX((2-AmEur)*IF(CallPut=1,UndTree!BW15-Strike,Strike-UndTree!BW15),(UpProb*BX15+DownProb*BX16)*StepDiscount)))</f>
        <v>299.3311837668499</v>
      </c>
      <c r="BX15" s="17">
        <f>IF(BX$3="","",IF(BX$3=Steps,MAX(IF(CallPut=1,UndTree!BX15-Strike,Strike-UndTree!BX15),0),MAX((2-AmEur)*IF(CallPut=1,UndTree!BX15-Strike,Strike-UndTree!BX15),(UpProb*BY15+DownProb*BY16)*StepDiscount)))</f>
        <v>311.31920010198405</v>
      </c>
      <c r="BY15" s="17">
        <f>IF(BY$3="","",IF(BY$3=Steps,MAX(IF(CallPut=1,UndTree!BY15-Strike,Strike-UndTree!BY15),0),MAX((2-AmEur)*IF(CallPut=1,UndTree!BY15-Strike,Strike-UndTree!BY15),(UpProb*BZ15+DownProb*BZ16)*StepDiscount)))</f>
        <v>323.67166468253623</v>
      </c>
      <c r="BZ15" s="17">
        <f>IF(BZ$3="","",IF(BZ$3=Steps,MAX(IF(CallPut=1,UndTree!BZ15-Strike,Strike-UndTree!BZ15),0),MAX((2-AmEur)*IF(CallPut=1,UndTree!BZ15-Strike,Strike-UndTree!BZ15),(UpProb*CA15+DownProb*CA16)*StepDiscount)))</f>
        <v>336.39961110069163</v>
      </c>
      <c r="CA15" s="17">
        <f>IF(CA$3="","",IF(CA$3=Steps,MAX(IF(CallPut=1,UndTree!CA15-Strike,Strike-UndTree!CA15),0),MAX((2-AmEur)*IF(CallPut=1,UndTree!CA15-Strike,Strike-UndTree!CA15),(UpProb*CB15+DownProb*CB16)*StepDiscount)))</f>
        <v>349.5144069641471</v>
      </c>
      <c r="CB15" s="17">
        <f>IF(CB$3="","",IF(CB$3=Steps,MAX(IF(CallPut=1,UndTree!CB15-Strike,Strike-UndTree!CB15),0),MAX((2-AmEur)*IF(CallPut=1,UndTree!CB15-Strike,Strike-UndTree!CB15),(UpProb*CC15+DownProb*CC16)*StepDiscount)))</f>
        <v>363.02776400761616</v>
      </c>
      <c r="CC15" s="17">
        <f>IF(CC$3="","",IF(CC$3=Steps,MAX(IF(CallPut=1,UndTree!CC15-Strike,Strike-UndTree!CC15),0),MAX((2-AmEur)*IF(CallPut=1,UndTree!CC15-Strike,Strike-UndTree!CC15),(UpProb*CD15+DownProb*CD16)*StepDiscount)))</f>
        <v>376.9517485104347</v>
      </c>
      <c r="CD15" s="17">
        <f>IF(CD$3="","",IF(CD$3=Steps,MAX(IF(CallPut=1,UndTree!CD15-Strike,Strike-UndTree!CD15),0),MAX((2-AmEur)*IF(CallPut=1,UndTree!CD15-Strike,Strike-UndTree!CD15),(UpProb*CE15+DownProb*CE16)*StepDiscount)))</f>
        <v>391.29879202953475</v>
      </c>
      <c r="CE15" s="17">
        <f>IF(CE$3="","",IF(CE$3=Steps,MAX(IF(CallPut=1,UndTree!CE15-Strike,Strike-UndTree!CE15),0),MAX((2-AmEur)*IF(CallPut=1,UndTree!CE15-Strike,Strike-UndTree!CE15),(UpProb*CF15+DownProb*CF16)*StepDiscount)))</f>
        <v>406.08170245733271</v>
      </c>
      <c r="CF15" s="17">
        <f>IF(CF$3="","",IF(CF$3=Steps,MAX(IF(CallPut=1,UndTree!CF15-Strike,Strike-UndTree!CF15),0),MAX((2-AmEur)*IF(CallPut=1,UndTree!CF15-Strike,Strike-UndTree!CF15),(UpProb*CG15+DownProb*CG16)*StepDiscount)))</f>
        <v>421.31367541436828</v>
      </c>
      <c r="CG15" s="17">
        <f>IF(CG$3="","",IF(CG$3=Steps,MAX(IF(CallPut=1,UndTree!CG15-Strike,Strike-UndTree!CG15),0),MAX((2-AmEur)*IF(CallPut=1,UndTree!CG15-Strike,Strike-UndTree!CG15),(UpProb*CH15+DownProb*CH16)*StepDiscount)))</f>
        <v>437.00830598682813</v>
      </c>
      <c r="CH15" s="17">
        <f>IF(CH$3="","",IF(CH$3=Steps,MAX(IF(CallPut=1,UndTree!CH15-Strike,Strike-UndTree!CH15),0),MAX((2-AmEur)*IF(CallPut=1,UndTree!CH15-Strike,Strike-UndTree!CH15),(UpProb*CI15+DownProb*CI16)*StepDiscount)))</f>
        <v>453.17960081939458</v>
      </c>
      <c r="CI15" s="17">
        <f>IF(CI$3="","",IF(CI$3=Steps,MAX(IF(CallPut=1,UndTree!CI15-Strike,Strike-UndTree!CI15),0),MAX((2-AmEur)*IF(CallPut=1,UndTree!CI15-Strike,Strike-UndTree!CI15),(UpProb*CJ15+DownProb*CJ16)*StepDiscount)))</f>
        <v>469.84199057417544</v>
      </c>
      <c r="CJ15" s="17">
        <f>IF(CJ$3="","",IF(CJ$3=Steps,MAX(IF(CallPut=1,UndTree!CJ15-Strike,Strike-UndTree!CJ15),0),MAX((2-AmEur)*IF(CallPut=1,UndTree!CJ15-Strike,Strike-UndTree!CJ15),(UpProb*CK15+DownProb*CK16)*StepDiscount)))</f>
        <v>487.01034276679735</v>
      </c>
      <c r="CK15" s="17">
        <f>IF(CK$3="","",IF(CK$3=Steps,MAX(IF(CallPut=1,UndTree!CK15-Strike,Strike-UndTree!CK15),0),MAX((2-AmEur)*IF(CallPut=1,UndTree!CK15-Strike,Strike-UndTree!CK15),(UpProb*CL15+DownProb*CL16)*StepDiscount)))</f>
        <v>504.69997499107956</v>
      </c>
      <c r="CL15" s="17">
        <f>IF(CL$3="","",IF(CL$3=Steps,MAX(IF(CallPut=1,UndTree!CL15-Strike,Strike-UndTree!CL15),0),MAX((2-AmEur)*IF(CallPut=1,UndTree!CL15-Strike,Strike-UndTree!CL15),(UpProb*CM15+DownProb*CM16)*StepDiscount)))</f>
        <v>522.92666854405195</v>
      </c>
      <c r="CM15" s="17">
        <f>IF(CM$3="","",IF(CM$3=Steps,MAX(IF(CallPut=1,UndTree!CM15-Strike,Strike-UndTree!CM15),0),MAX((2-AmEur)*IF(CallPut=1,UndTree!CM15-Strike,Strike-UndTree!CM15),(UpProb*CN15+DownProb*CN16)*StepDiscount)))</f>
        <v>541.70668246343757</v>
      </c>
      <c r="CN15" s="17">
        <f>IF(CN$3="","",IF(CN$3=Steps,MAX(IF(CallPut=1,UndTree!CN15-Strike,Strike-UndTree!CN15),0),MAX((2-AmEur)*IF(CallPut=1,UndTree!CN15-Strike,Strike-UndTree!CN15),(UpProb*CO15+DownProb*CO16)*StepDiscount)))</f>
        <v>561.05676799008631</v>
      </c>
      <c r="CO15" s="17">
        <f>IF(CO$3="","",IF(CO$3=Steps,MAX(IF(CallPut=1,UndTree!CO15-Strike,Strike-UndTree!CO15),0),MAX((2-AmEur)*IF(CallPut=1,UndTree!CO15-Strike,Strike-UndTree!CO15),(UpProb*CP15+DownProb*CP16)*StepDiscount)))</f>
        <v>580.99418346822586</v>
      </c>
      <c r="CP15" s="17">
        <f>IF(CP$3="","",IF(CP$3=Steps,MAX(IF(CallPut=1,UndTree!CP15-Strike,Strike-UndTree!CP15),0),MAX((2-AmEur)*IF(CallPut=1,UndTree!CP15-Strike,Strike-UndTree!CP15),(UpProb*CQ15+DownProb*CQ16)*StepDiscount)))</f>
        <v>601.53670969678319</v>
      </c>
      <c r="CQ15" s="17">
        <f>IF(CQ$3="","",IF(CQ$3=Steps,MAX(IF(CallPut=1,UndTree!CQ15-Strike,Strike-UndTree!CQ15),0),MAX((2-AmEur)*IF(CallPut=1,UndTree!CQ15-Strike,Strike-UndTree!CQ15),(UpProb*CR15+DownProb*CR16)*StepDiscount)))</f>
        <v>622.70266574542927</v>
      </c>
      <c r="CR15" s="17">
        <f>IF(CR$3="","",IF(CR$3=Steps,MAX(IF(CallPut=1,UndTree!CR15-Strike,Strike-UndTree!CR15),0),MAX((2-AmEur)*IF(CallPut=1,UndTree!CR15-Strike,Strike-UndTree!CR15),(UpProb*CS15+DownProb*CS16)*StepDiscount)))</f>
        <v>644.51092524941441</v>
      </c>
      <c r="CS15" s="17">
        <f>IF(CS$3="","",IF(CS$3=Steps,MAX(IF(CallPut=1,UndTree!CS15-Strike,Strike-UndTree!CS15),0),MAX((2-AmEur)*IF(CallPut=1,UndTree!CS15-Strike,Strike-UndTree!CS15),(UpProb*CT15+DownProb*CT16)*StepDiscount)))</f>
        <v>666.98093319768486</v>
      </c>
      <c r="CT15" s="17">
        <f>IF(CT$3="","",IF(CT$3=Steps,MAX(IF(CallPut=1,UndTree!CT15-Strike,Strike-UndTree!CT15),0),MAX((2-AmEur)*IF(CallPut=1,UndTree!CT15-Strike,Strike-UndTree!CT15),(UpProb*CU15+DownProb*CU16)*StepDiscount)))</f>
        <v>690.13272322921432</v>
      </c>
      <c r="CU15" s="17">
        <f>IF(CU$3="","",IF(CU$3=Steps,MAX(IF(CallPut=1,UndTree!CU15-Strike,Strike-UndTree!CU15),0),MAX((2-AmEur)*IF(CallPut=1,UndTree!CU15-Strike,Strike-UndTree!CU15),(UpProb*CV15+DownProb*CV16)*StepDiscount)))</f>
        <v>713.98693545293486</v>
      </c>
      <c r="CV15" s="17">
        <f>IF(CV$3="","",IF(CV$3=Steps,MAX(IF(CallPut=1,UndTree!CV15-Strike,Strike-UndTree!CV15),0),MAX((2-AmEur)*IF(CallPut=1,UndTree!CV15-Strike,Strike-UndTree!CV15),(UpProb*CW15+DownProb*CW16)*StepDiscount)))</f>
        <v>738.56483480712109</v>
      </c>
      <c r="CW15" s="17">
        <f>IF(CW$3="","",IF(CW$3=Steps,MAX(IF(CallPut=1,UndTree!CW15-Strike,Strike-UndTree!CW15),0),MAX((2-AmEur)*IF(CallPut=1,UndTree!CW15-Strike,Strike-UndTree!CW15),(UpProb*CX15+DownProb*CX16)*StepDiscount)))</f>
        <v>763.8883299745695</v>
      </c>
      <c r="CX15" s="17">
        <f>IF(CX$3="","",IF(CX$3=Steps,MAX(IF(CallPut=1,UndTree!CX15-Strike,Strike-UndTree!CX15),0),MAX((2-AmEur)*IF(CallPut=1,UndTree!CX15-Strike,Strike-UndTree!CX15),(UpProb*CY15+DownProb*CY16)*StepDiscount)))</f>
        <v>789.97999287042012</v>
      </c>
      <c r="CY15" s="17">
        <f>IF(CY$3="","",IF(CY$3=Steps,MAX(IF(CallPut=1,UndTree!CY15-Strike,Strike-UndTree!CY15),0),MAX((2-AmEur)*IF(CallPut=1,UndTree!CY15-Strike,Strike-UndTree!CY15),(UpProb*CZ15+DownProb*CZ16)*StepDiscount)))</f>
        <v>816.86307871999099</v>
      </c>
      <c r="CZ15" s="17">
        <f>IF(CZ$3="","",IF(CZ$3=Steps,MAX(IF(CallPut=1,UndTree!CZ15-Strike,Strike-UndTree!CZ15),0),MAX((2-AmEur)*IF(CallPut=1,UndTree!CZ15-Strike,Strike-UndTree!CZ15),(UpProb*DA15+DownProb*DA16)*StepDiscount)))</f>
        <v>844.56154674438926</v>
      </c>
      <c r="DA15" s="17">
        <f>IF(DA$3="","",IF(DA$3=Steps,MAX(IF(CallPut=1,UndTree!DA15-Strike,Strike-UndTree!DA15),0),MAX((2-AmEur)*IF(CallPut=1,UndTree!DA15-Strike,Strike-UndTree!DA15),(UpProb*DB15+DownProb*DB16)*StepDiscount)))</f>
        <v>873.10008147192286</v>
      </c>
      <c r="DB15" s="17">
        <f>IF(DB$3="","",IF(DB$3=Steps,MAX(IF(CallPut=1,UndTree!DB15-Strike,Strike-UndTree!DB15),0),MAX((2-AmEur)*IF(CallPut=1,UndTree!DB15-Strike,Strike-UndTree!DB15),(UpProb*DC15+DownProb*DC16)*StepDiscount)))</f>
        <v>902.50411469510004</v>
      </c>
    </row>
    <row r="16" spans="1:106" x14ac:dyDescent="0.2">
      <c r="A16">
        <f>ExDivTree!A16</f>
        <v>1192050855750300.2</v>
      </c>
      <c r="B16" s="71">
        <f>ExDivTree!B16</f>
        <v>4.7018115856833181E-16</v>
      </c>
      <c r="C16" s="71">
        <f>ExDivTree!C16</f>
        <v>5.7642809985338303E-16</v>
      </c>
      <c r="D16" s="177">
        <f>ExDivTree!D16</f>
        <v>12</v>
      </c>
      <c r="Q16" s="17">
        <f>IF(Q$3="","",IF(Q$3=Steps,MAX(IF(CallPut=1,UndTree!Q16-Strike,Strike-UndTree!Q16),0),MAX((2-AmEur)*IF(CallPut=1,UndTree!Q16-Strike,Strike-UndTree!Q16),(UpProb*R16+DownProb*R17)*StepDiscount)))</f>
        <v>1.0404020879506239</v>
      </c>
      <c r="R16" s="17">
        <f>IF(R$3="","",IF(R$3=Steps,MAX(IF(CallPut=1,UndTree!R16-Strike,Strike-UndTree!R16),0),MAX((2-AmEur)*IF(CallPut=1,UndTree!R16-Strike,Strike-UndTree!R16),(UpProb*S16+DownProb*S17)*StepDiscount)))</f>
        <v>1.2880772886636118</v>
      </c>
      <c r="S16" s="17">
        <f>IF(S$3="","",IF(S$3=Steps,MAX(IF(CallPut=1,UndTree!S16-Strike,Strike-UndTree!S16),0),MAX((2-AmEur)*IF(CallPut=1,UndTree!S16-Strike,Strike-UndTree!S16),(UpProb*T16+DownProb*T17)*StepDiscount)))</f>
        <v>1.5864296880484516</v>
      </c>
      <c r="T16" s="17">
        <f>IF(T$3="","",IF(T$3=Steps,MAX(IF(CallPut=1,UndTree!T16-Strike,Strike-UndTree!T16),0),MAX((2-AmEur)*IF(CallPut=1,UndTree!T16-Strike,Strike-UndTree!T16),(UpProb*U16+DownProb*U17)*StepDiscount)))</f>
        <v>1.9436318460138107</v>
      </c>
      <c r="U16" s="17">
        <f>IF(U$3="","",IF(U$3=Steps,MAX(IF(CallPut=1,UndTree!U16-Strike,Strike-UndTree!U16),0),MAX((2-AmEur)*IF(CallPut=1,UndTree!U16-Strike,Strike-UndTree!U16),(UpProb*V16+DownProb*V17)*StepDiscount)))</f>
        <v>2.3686417312693053</v>
      </c>
      <c r="V16" s="17">
        <f>IF(V$3="","",IF(V$3=Steps,MAX(IF(CallPut=1,UndTree!V16-Strike,Strike-UndTree!V16),0),MAX((2-AmEur)*IF(CallPut=1,UndTree!V16-Strike,Strike-UndTree!V16),(UpProb*W16+DownProb*W17)*StepDiscount)))</f>
        <v>2.8711574012695684</v>
      </c>
      <c r="W16" s="17">
        <f>IF(W$3="","",IF(W$3=Steps,MAX(IF(CallPut=1,UndTree!W16-Strike,Strike-UndTree!W16),0),MAX((2-AmEur)*IF(CallPut=1,UndTree!W16-Strike,Strike-UndTree!W16),(UpProb*X16+DownProb*X17)*StepDiscount)))</f>
        <v>3.4615404227952742</v>
      </c>
      <c r="X16" s="17">
        <f>IF(X$3="","",IF(X$3=Steps,MAX(IF(CallPut=1,UndTree!X16-Strike,Strike-UndTree!X16),0),MAX((2-AmEur)*IF(CallPut=1,UndTree!X16-Strike,Strike-UndTree!X16),(UpProb*Y16+DownProb*Y17)*StepDiscount)))</f>
        <v>4.1507055594298761</v>
      </c>
      <c r="Y16" s="17">
        <f>IF(Y$3="","",IF(Y$3=Steps,MAX(IF(CallPut=1,UndTree!Y16-Strike,Strike-UndTree!Y16),0),MAX((2-AmEur)*IF(CallPut=1,UndTree!Y16-Strike,Strike-UndTree!Y16),(UpProb*Z16+DownProb*Z17)*StepDiscount)))</f>
        <v>4.9499757235164994</v>
      </c>
      <c r="Z16" s="17">
        <f>IF(Z$3="","",IF(Z$3=Steps,MAX(IF(CallPut=1,UndTree!Z16-Strike,Strike-UndTree!Z16),0),MAX((2-AmEur)*IF(CallPut=1,UndTree!Z16-Strike,Strike-UndTree!Z16),(UpProb*AA16+DownProb*AA17)*StepDiscount)))</f>
        <v>5.870903072400985</v>
      </c>
      <c r="AA16" s="17">
        <f>IF(AA$3="","",IF(AA$3=Steps,MAX(IF(CallPut=1,UndTree!AA16-Strike,Strike-UndTree!AA16),0),MAX((2-AmEur)*IF(CallPut=1,UndTree!AA16-Strike,Strike-UndTree!AA16),(UpProb*AB16+DownProb*AB17)*StepDiscount)))</f>
        <v>6.9250593622335028</v>
      </c>
      <c r="AB16" s="17">
        <f>IF(AB$3="","",IF(AB$3=Steps,MAX(IF(CallPut=1,UndTree!AB16-Strike,Strike-UndTree!AB16),0),MAX((2-AmEur)*IF(CallPut=1,UndTree!AB16-Strike,Strike-UndTree!AB16),(UpProb*AC16+DownProb*AC17)*StepDiscount)))</f>
        <v>8.1238011471328324</v>
      </c>
      <c r="AC16" s="17">
        <f>IF(AC$3="","",IF(AC$3=Steps,MAX(IF(CallPut=1,UndTree!AC16-Strike,Strike-UndTree!AC16),0),MAX((2-AmEur)*IF(CallPut=1,UndTree!AC16-Strike,Strike-UndTree!AC16),(UpProb*AD16+DownProb*AD17)*StepDiscount)))</f>
        <v>9.4780179647249732</v>
      </c>
      <c r="AD16" s="17">
        <f>IF(AD$3="","",IF(AD$3=Steps,MAX(IF(CallPut=1,UndTree!AD16-Strike,Strike-UndTree!AD16),0),MAX((2-AmEur)*IF(CallPut=1,UndTree!AD16-Strike,Strike-UndTree!AD16),(UpProb*AE16+DownProb*AE17)*StepDiscount)))</f>
        <v>10.9978740708241</v>
      </c>
      <c r="AE16" s="17">
        <f>IF(AE$3="","",IF(AE$3=Steps,MAX(IF(CallPut=1,UndTree!AE16-Strike,Strike-UndTree!AE16),0),MAX((2-AmEur)*IF(CallPut=1,UndTree!AE16-Strike,Strike-UndTree!AE16),(UpProb*AF16+DownProb*AF17)*StepDiscount)))</f>
        <v>12.692556330387099</v>
      </c>
      <c r="AF16" s="17">
        <f>IF(AF$3="","",IF(AF$3=Steps,MAX(IF(CallPut=1,UndTree!AF16-Strike,Strike-UndTree!AF16),0),MAX((2-AmEur)*IF(CallPut=1,UndTree!AF16-Strike,Strike-UndTree!AF16),(UpProb*AG16+DownProb*AG17)*StepDiscount)))</f>
        <v>14.570042277018777</v>
      </c>
      <c r="AG16" s="17">
        <f>IF(AG$3="","",IF(AG$3=Steps,MAX(IF(CallPut=1,UndTree!AG16-Strike,Strike-UndTree!AG16),0),MAX((2-AmEur)*IF(CallPut=1,UndTree!AG16-Strike,Strike-UndTree!AG16),(UpProb*AH16+DownProb*AH17)*StepDiscount)))</f>
        <v>16.636902868931116</v>
      </c>
      <c r="AH16" s="17">
        <f>IF(AH$3="","",IF(AH$3=Steps,MAX(IF(CallPut=1,UndTree!AH16-Strike,Strike-UndTree!AH16),0),MAX((2-AmEur)*IF(CallPut=1,UndTree!AH16-Strike,Strike-UndTree!AH16),(UpProb*AI16+DownProb*AI17)*StepDiscount)))</f>
        <v>18.898153889551558</v>
      </c>
      <c r="AI16" s="17">
        <f>IF(AI$3="","",IF(AI$3=Steps,MAX(IF(CallPut=1,UndTree!AI16-Strike,Strike-UndTree!AI16),0),MAX((2-AmEur)*IF(CallPut=1,UndTree!AI16-Strike,Strike-UndTree!AI16),(UpProb*AJ16+DownProb*AJ17)*StepDiscount)))</f>
        <v>21.357168139723953</v>
      </c>
      <c r="AJ16" s="17">
        <f>IF(AJ$3="","",IF(AJ$3=Steps,MAX(IF(CallPut=1,UndTree!AJ16-Strike,Strike-UndTree!AJ16),0),MAX((2-AmEur)*IF(CallPut=1,UndTree!AJ16-Strike,Strike-UndTree!AJ16),(UpProb*AK16+DownProb*AK17)*StepDiscount)))</f>
        <v>24.015657531559</v>
      </c>
      <c r="AK16" s="17">
        <f>IF(AK$3="","",IF(AK$3=Steps,MAX(IF(CallPut=1,UndTree!AK16-Strike,Strike-UndTree!AK16),0),MAX((2-AmEur)*IF(CallPut=1,UndTree!AK16-Strike,Strike-UndTree!AK16),(UpProb*AL16+DownProb*AL17)*StepDiscount)))</f>
        <v>26.873730043698835</v>
      </c>
      <c r="AL16" s="17">
        <f>IF(AL$3="","",IF(AL$3=Steps,MAX(IF(CallPut=1,UndTree!AL16-Strike,Strike-UndTree!AL16),0),MAX((2-AmEur)*IF(CallPut=1,UndTree!AL16-Strike,Strike-UndTree!AL16),(UpProb*AM16+DownProb*AM17)*StepDiscount)))</f>
        <v>29.930021502686209</v>
      </c>
      <c r="AM16" s="17">
        <f>IF(AM$3="","",IF(AM$3=Steps,MAX(IF(CallPut=1,UndTree!AM16-Strike,Strike-UndTree!AM16),0),MAX((2-AmEur)*IF(CallPut=1,UndTree!AM16-Strike,Strike-UndTree!AM16),(UpProb*AN16+DownProb*AN17)*StepDiscount)))</f>
        <v>33.181896721290606</v>
      </c>
      <c r="AN16" s="17">
        <f>IF(AN$3="","",IF(AN$3=Steps,MAX(IF(CallPut=1,UndTree!AN16-Strike,Strike-UndTree!AN16),0),MAX((2-AmEur)*IF(CallPut=1,UndTree!AN16-Strike,Strike-UndTree!AN16),(UpProb*AO16+DownProb*AO17)*StepDiscount)))</f>
        <v>36.625709164553612</v>
      </c>
      <c r="AO16" s="17">
        <f>IF(AO$3="","",IF(AO$3=Steps,MAX(IF(CallPut=1,UndTree!AO16-Strike,Strike-UndTree!AO16),0),MAX((2-AmEur)*IF(CallPut=1,UndTree!AO16-Strike,Strike-UndTree!AO16),(UpProb*AP16+DownProb*AP17)*StepDiscount)))</f>
        <v>40.257103594571554</v>
      </c>
      <c r="AP16" s="17">
        <f>IF(AP$3="","",IF(AP$3=Steps,MAX(IF(CallPut=1,UndTree!AP16-Strike,Strike-UndTree!AP16),0),MAX((2-AmEur)*IF(CallPut=1,UndTree!AP16-Strike,Strike-UndTree!AP16),(UpProb*AQ16+DownProb*AQ17)*StepDiscount)))</f>
        <v>44.071342616778345</v>
      </c>
      <c r="AQ16" s="17">
        <f>IF(AQ$3="","",IF(AQ$3=Steps,MAX(IF(CallPut=1,UndTree!AQ16-Strike,Strike-UndTree!AQ16),0),MAX((2-AmEur)*IF(CallPut=1,UndTree!AQ16-Strike,Strike-UndTree!AQ16),(UpProb*AR16+DownProb*AR17)*StepDiscount)))</f>
        <v>48.063636171250913</v>
      </c>
      <c r="AR16" s="17">
        <f>IF(AR$3="","",IF(AR$3=Steps,MAX(IF(CallPut=1,UndTree!AR16-Strike,Strike-UndTree!AR16),0),MAX((2-AmEur)*IF(CallPut=1,UndTree!AR16-Strike,Strike-UndTree!AR16),(UpProb*AS16+DownProb*AS17)*StepDiscount)))</f>
        <v>52.229453071327676</v>
      </c>
      <c r="AS16" s="17">
        <f>IF(AS$3="","",IF(AS$3=Steps,MAX(IF(CallPut=1,UndTree!AS16-Strike,Strike-UndTree!AS16),0),MAX((2-AmEur)*IF(CallPut=1,UndTree!AS16-Strike,Strike-UndTree!AS16),(UpProb*AT16+DownProb*AT17)*StepDiscount)))</f>
        <v>56.564795751000545</v>
      </c>
      <c r="AT16" s="17">
        <f>IF(AT$3="","",IF(AT$3=Steps,MAX(IF(CallPut=1,UndTree!AT16-Strike,Strike-UndTree!AT16),0),MAX((2-AmEur)*IF(CallPut=1,UndTree!AT16-Strike,Strike-UndTree!AT16),(UpProb*AU16+DownProb*AU17)*StepDiscount)))</f>
        <v>61.066423249498406</v>
      </c>
      <c r="AU16" s="17">
        <f>IF(AU$3="","",IF(AU$3=Steps,MAX(IF(CallPut=1,UndTree!AU16-Strike,Strike-UndTree!AU16),0),MAX((2-AmEur)*IF(CallPut=1,UndTree!AU16-Strike,Strike-UndTree!AU16),(UpProb*AV16+DownProb*AV17)*StepDiscount)))</f>
        <v>65.732012699013652</v>
      </c>
      <c r="AV16" s="17">
        <f>IF(AV$3="","",IF(AV$3=Steps,MAX(IF(CallPut=1,UndTree!AV16-Strike,Strike-UndTree!AV16),0),MAX((2-AmEur)*IF(CallPut=1,UndTree!AV16-Strike,Strike-UndTree!AV16),(UpProb*AW16+DownProb*AW17)*StepDiscount)))</f>
        <v>70.560255559908441</v>
      </c>
      <c r="AW16" s="17">
        <f>IF(AW$3="","",IF(AW$3=Steps,MAX(IF(CallPut=1,UndTree!AW16-Strike,Strike-UndTree!AW16),0),MAX((2-AmEur)*IF(CallPut=1,UndTree!AW16-Strike,Strike-UndTree!AW16),(UpProb*AX16+DownProb*AX17)*StepDiscount)))</f>
        <v>75.550890833258137</v>
      </c>
      <c r="AX16" s="17">
        <f>IF(AX$3="","",IF(AX$3=Steps,MAX(IF(CallPut=1,UndTree!AX16-Strike,Strike-UndTree!AX16),0),MAX((2-AmEur)*IF(CallPut=1,UndTree!AX16-Strike,Strike-UndTree!AX16),(UpProb*AY16+DownProb*AY17)*StepDiscount)))</f>
        <v>80.704682747096513</v>
      </c>
      <c r="AY16" s="17">
        <f>IF(AY$3="","",IF(AY$3=Steps,MAX(IF(CallPut=1,UndTree!AY16-Strike,Strike-UndTree!AY16),0),MAX((2-AmEur)*IF(CallPut=1,UndTree!AY16-Strike,Strike-UndTree!AY16),(UpProb*AZ16+DownProb*AZ17)*StepDiscount)))</f>
        <v>86.02335435647224</v>
      </c>
      <c r="AZ16" s="17">
        <f>IF(AZ$3="","",IF(AZ$3=Steps,MAX(IF(CallPut=1,UndTree!AZ16-Strike,Strike-UndTree!AZ16),0),MAX((2-AmEur)*IF(CallPut=1,UndTree!AZ16-Strike,Strike-UndTree!AZ16),(UpProb*BA16+DownProb*BA17)*StepDiscount)))</f>
        <v>91.509490732828624</v>
      </c>
      <c r="BA16" s="17">
        <f>IF(BA$3="","",IF(BA$3=Steps,MAX(IF(CallPut=1,UndTree!BA16-Strike,Strike-UndTree!BA16),0),MAX((2-AmEur)*IF(CallPut=1,UndTree!BA16-Strike,Strike-UndTree!BA16),(UpProb*BB16+DownProb*BB17)*StepDiscount)))</f>
        <v>97.166425834587486</v>
      </c>
      <c r="BB16" s="17">
        <f>IF(BB$3="","",IF(BB$3=Steps,MAX(IF(CallPut=1,UndTree!BB16-Strike,Strike-UndTree!BB16),0),MAX((2-AmEur)*IF(CallPut=1,UndTree!BB16-Strike,Strike-UndTree!BB16),(UpProb*BC16+DownProb*BC17)*StepDiscount)))</f>
        <v>102.99812591748308</v>
      </c>
      <c r="BC16" s="17">
        <f>IF(BC$3="","",IF(BC$3=Steps,MAX(IF(CallPut=1,UndTree!BC16-Strike,Strike-UndTree!BC16),0),MAX((2-AmEur)*IF(CallPut=1,UndTree!BC16-Strike,Strike-UndTree!BC16),(UpProb*BD16+DownProb*BD17)*StepDiscount)))</f>
        <v>109.00907986159015</v>
      </c>
      <c r="BD16" s="17">
        <f>IF(BD$3="","",IF(BD$3=Steps,MAX(IF(CallPut=1,UndTree!BD16-Strike,Strike-UndTree!BD16),0),MAX((2-AmEur)*IF(CallPut=1,UndTree!BD16-Strike,Strike-UndTree!BD16),(UpProb*BE16+DownProb*BE17)*StepDiscount)))</f>
        <v>115.20420360546997</v>
      </c>
      <c r="BE16" s="17">
        <f>IF(BE$3="","",IF(BE$3=Steps,MAX(IF(CallPut=1,UndTree!BE16-Strike,Strike-UndTree!BE16),0),MAX((2-AmEur)*IF(CallPut=1,UndTree!BE16-Strike,Strike-UndTree!BE16),(UpProb*BF16+DownProb*BF17)*StepDiscount)))</f>
        <v>121.58876255996583</v>
      </c>
      <c r="BF16" s="17">
        <f>IF(BF$3="","",IF(BF$3=Steps,MAX(IF(CallPut=1,UndTree!BF16-Strike,Strike-UndTree!BF16),0),MAX((2-AmEur)*IF(CallPut=1,UndTree!BF16-Strike,Strike-UndTree!BF16),(UpProb*BG16+DownProb*BG17)*StepDiscount)))</f>
        <v>128.16831292114938</v>
      </c>
      <c r="BG16" s="17">
        <f>IF(BG$3="","",IF(BG$3=Steps,MAX(IF(CallPut=1,UndTree!BG16-Strike,Strike-UndTree!BG16),0),MAX((2-AmEur)*IF(CallPut=1,UndTree!BG16-Strike,Strike-UndTree!BG16),(UpProb*BH16+DownProb*BH17)*StepDiscount)))</f>
        <v>134.94866055318292</v>
      </c>
      <c r="BH16" s="17">
        <f>IF(BH$3="","",IF(BH$3=Steps,MAX(IF(CallPut=1,UndTree!BH16-Strike,Strike-UndTree!BH16),0),MAX((2-AmEur)*IF(CallPut=1,UndTree!BH16-Strike,Strike-UndTree!BH16),(UpProb*BI16+DownProb*BI17)*StepDiscount)))</f>
        <v>141.93583471416414</v>
      </c>
      <c r="BI16" s="17">
        <f>IF(BI$3="","",IF(BI$3=Steps,MAX(IF(CallPut=1,UndTree!BI16-Strike,Strike-UndTree!BI16),0),MAX((2-AmEur)*IF(CallPut=1,UndTree!BI16-Strike,Strike-UndTree!BI16),(UpProb*BJ16+DownProb*BJ17)*StepDiscount)))</f>
        <v>149.13607331635973</v>
      </c>
      <c r="BJ16" s="17">
        <f>IF(BJ$3="","",IF(BJ$3=Steps,MAX(IF(CallPut=1,UndTree!BJ16-Strike,Strike-UndTree!BJ16),0),MAX((2-AmEur)*IF(CallPut=1,UndTree!BJ16-Strike,Strike-UndTree!BJ16),(UpProb*BK16+DownProb*BK17)*StepDiscount)))</f>
        <v>156.55581647837045</v>
      </c>
      <c r="BK16" s="17">
        <f>IF(BK$3="","",IF(BK$3=Steps,MAX(IF(CallPut=1,UndTree!BK16-Strike,Strike-UndTree!BK16),0),MAX((2-AmEur)*IF(CallPut=1,UndTree!BK16-Strike,Strike-UndTree!BK16),(UpProb*BL16+DownProb*BL17)*StepDiscount)))</f>
        <v>164.20170560711495</v>
      </c>
      <c r="BL16" s="17">
        <f>IF(BL$3="","",IF(BL$3=Steps,MAX(IF(CallPut=1,UndTree!BL16-Strike,Strike-UndTree!BL16),0),MAX((2-AmEur)*IF(CallPut=1,UndTree!BL16-Strike,Strike-UndTree!BL16),(UpProb*BM16+DownProb*BM17)*StepDiscount)))</f>
        <v>172.08058590967229</v>
      </c>
      <c r="BM16" s="17">
        <f>IF(BM$3="","",IF(BM$3=Steps,MAX(IF(CallPut=1,UndTree!BM16-Strike,Strike-UndTree!BM16),0),MAX((2-AmEur)*IF(CallPut=1,UndTree!BM16-Strike,Strike-UndTree!BM16),(UpProb*BN16+DownProb*BN17)*StepDiscount)))</f>
        <v>180.19951089622879</v>
      </c>
      <c r="BN16" s="17">
        <f>IF(BN$3="","",IF(BN$3=Steps,MAX(IF(CallPut=1,UndTree!BN16-Strike,Strike-UndTree!BN16),0),MAX((2-AmEur)*IF(CallPut=1,UndTree!BN16-Strike,Strike-UndTree!BN16),(UpProb*BO16+DownProb*BO17)*StepDiscount)))</f>
        <v>188.56574798471411</v>
      </c>
      <c r="BO16" s="17">
        <f>IF(BO$3="","",IF(BO$3=Steps,MAX(IF(CallPut=1,UndTree!BO16-Strike,Strike-UndTree!BO16),0),MAX((2-AmEur)*IF(CallPut=1,UndTree!BO16-Strike,Strike-UndTree!BO16),(UpProb*BP16+DownProb*BP17)*StepDiscount)))</f>
        <v>197.18678471344319</v>
      </c>
      <c r="BP16" s="17">
        <f>IF(BP$3="","",IF(BP$3=Steps,MAX(IF(CallPut=1,UndTree!BP16-Strike,Strike-UndTree!BP16),0),MAX((2-AmEur)*IF(CallPut=1,UndTree!BP16-Strike,Strike-UndTree!BP16),(UpProb*BQ16+DownProb*BQ17)*StepDiscount)))</f>
        <v>206.07033531861501</v>
      </c>
      <c r="BQ16" s="17">
        <f>IF(BQ$3="","",IF(BQ$3=Steps,MAX(IF(CallPut=1,UndTree!BQ16-Strike,Strike-UndTree!BQ16),0),MAX((2-AmEur)*IF(CallPut=1,UndTree!BQ16-Strike,Strike-UndTree!BQ16),(UpProb*BR16+DownProb*BR17)*StepDiscount)))</f>
        <v>215.22434757305913</v>
      </c>
      <c r="BR16" s="17">
        <f>IF(BR$3="","",IF(BR$3=Steps,MAX(IF(CallPut=1,UndTree!BR16-Strike,Strike-UndTree!BR16),0),MAX((2-AmEur)*IF(CallPut=1,UndTree!BR16-Strike,Strike-UndTree!BR16),(UpProb*BS16+DownProb*BS17)*StepDiscount)))</f>
        <v>224.65700985053289</v>
      </c>
      <c r="BS16" s="17">
        <f>IF(BS$3="","",IF(BS$3=Steps,MAX(IF(CallPut=1,UndTree!BS16-Strike,Strike-UndTree!BS16),0),MAX((2-AmEur)*IF(CallPut=1,UndTree!BS16-Strike,Strike-UndTree!BS16),(UpProb*BT16+DownProb*BT17)*StepDiscount)))</f>
        <v>234.37675840837625</v>
      </c>
      <c r="BT16" s="17">
        <f>IF(BT$3="","",IF(BT$3=Steps,MAX(IF(CallPut=1,UndTree!BT16-Strike,Strike-UndTree!BT16),0),MAX((2-AmEur)*IF(CallPut=1,UndTree!BT16-Strike,Strike-UndTree!BT16),(UpProb*BU16+DownProb*BU17)*StepDiscount)))</f>
        <v>244.39228489146998</v>
      </c>
      <c r="BU16" s="17">
        <f>IF(BU$3="","",IF(BU$3=Steps,MAX(IF(CallPut=1,UndTree!BU16-Strike,Strike-UndTree!BU16),0),MAX((2-AmEur)*IF(CallPut=1,UndTree!BU16-Strike,Strike-UndTree!BU16),(UpProb*BV16+DownProb*BV17)*StepDiscount)))</f>
        <v>254.71254406346333</v>
      </c>
      <c r="BV16" s="17">
        <f>IF(BV$3="","",IF(BV$3=Steps,MAX(IF(CallPut=1,UndTree!BV16-Strike,Strike-UndTree!BV16),0),MAX((2-AmEur)*IF(CallPut=1,UndTree!BV16-Strike,Strike-UndTree!BV16),(UpProb*BW16+DownProb*BW17)*StepDiscount)))</f>
        <v>265.34676177205301</v>
      </c>
      <c r="BW16" s="17">
        <f>IF(BW$3="","",IF(BW$3=Steps,MAX(IF(CallPut=1,UndTree!BW16-Strike,Strike-UndTree!BW16),0),MAX((2-AmEur)*IF(CallPut=1,UndTree!BW16-Strike,Strike-UndTree!BW16),(UpProb*BX16+DownProb*BX17)*StepDiscount)))</f>
        <v>276.30444315539165</v>
      </c>
      <c r="BX16" s="17">
        <f>IF(BX$3="","",IF(BX$3=Steps,MAX(IF(CallPut=1,UndTree!BX16-Strike,Strike-UndTree!BX16),0),MAX((2-AmEur)*IF(CallPut=1,UndTree!BX16-Strike,Strike-UndTree!BX16),(UpProb*BY16+DownProb*BY17)*StepDiscount)))</f>
        <v>287.59538109692517</v>
      </c>
      <c r="BY16" s="17">
        <f>IF(BY$3="","",IF(BY$3=Steps,MAX(IF(CallPut=1,UndTree!BY16-Strike,Strike-UndTree!BY16),0),MAX((2-AmEur)*IF(CallPut=1,UndTree!BY16-Strike,Strike-UndTree!BY16),(UpProb*BZ16+DownProb*BZ17)*StepDiscount)))</f>
        <v>299.22966493617992</v>
      </c>
      <c r="BZ16" s="17">
        <f>IF(BZ$3="","",IF(BZ$3=Steps,MAX(IF(CallPut=1,UndTree!BZ16-Strike,Strike-UndTree!BZ16),0),MAX((2-AmEur)*IF(CallPut=1,UndTree!BZ16-Strike,Strike-UndTree!BZ16),(UpProb*CA16+DownProb*CA17)*StepDiscount)))</f>
        <v>311.21768944324748</v>
      </c>
      <c r="CA16" s="17">
        <f>IF(CA$3="","",IF(CA$3=Steps,MAX(IF(CallPut=1,UndTree!CA16-Strike,Strike-UndTree!CA16),0),MAX((2-AmEur)*IF(CallPut=1,UndTree!CA16-Strike,Strike-UndTree!CA16),(UpProb*CB16+DownProb*CB17)*StepDiscount)))</f>
        <v>323.57016406495086</v>
      </c>
      <c r="CB16" s="17">
        <f>IF(CB$3="","",IF(CB$3=Steps,MAX(IF(CallPut=1,UndTree!CB16-Strike,Strike-UndTree!CB16),0),MAX((2-AmEur)*IF(CallPut=1,UndTree!CB16-Strike,Strike-UndTree!CB16),(UpProb*CC16+DownProb*CC17)*StepDiscount)))</f>
        <v>336.29812245091472</v>
      </c>
      <c r="CC16" s="17">
        <f>IF(CC$3="","",IF(CC$3=Steps,MAX(IF(CallPut=1,UndTree!CC16-Strike,Strike-UndTree!CC16),0),MAX((2-AmEur)*IF(CallPut=1,UndTree!CC16-Strike,Strike-UndTree!CC16),(UpProb*CD16+DownProb*CD17)*StepDiscount)))</f>
        <v>349.41293226801508</v>
      </c>
      <c r="CD16" s="17">
        <f>IF(CD$3="","",IF(CD$3=Steps,MAX(IF(CallPut=1,UndTree!CD16-Strike,Strike-UndTree!CD16),0),MAX((2-AmEur)*IF(CallPut=1,UndTree!CD16-Strike,Strike-UndTree!CD16),(UpProb*CE16+DownProb*CE17)*StepDiscount)))</f>
        <v>362.9263053119364</v>
      </c>
      <c r="CE16" s="17">
        <f>IF(CE$3="","",IF(CE$3=Steps,MAX(IF(CallPut=1,UndTree!CE16-Strike,Strike-UndTree!CE16),0),MAX((2-AmEur)*IF(CallPut=1,UndTree!CE16-Strike,Strike-UndTree!CE16),(UpProb*CF16+DownProb*CF17)*StepDiscount)))</f>
        <v>376.85030792483172</v>
      </c>
      <c r="CF16" s="17">
        <f>IF(CF$3="","",IF(CF$3=Steps,MAX(IF(CallPut=1,UndTree!CF16-Strike,Strike-UndTree!CF16),0),MAX((2-AmEur)*IF(CallPut=1,UndTree!CF16-Strike,Strike-UndTree!CF16),(UpProb*CG16+DownProb*CG17)*StepDiscount)))</f>
        <v>391.1973717283521</v>
      </c>
      <c r="CG16" s="17">
        <f>IF(CG$3="","",IF(CG$3=Steps,MAX(IF(CallPut=1,UndTree!CG16-Strike,Strike-UndTree!CG16),0),MAX((2-AmEur)*IF(CallPut=1,UndTree!CG16-Strike,Strike-UndTree!CG16),(UpProb*CH16+DownProb*CH17)*StepDiscount)))</f>
        <v>405.98030468159226</v>
      </c>
      <c r="CH16" s="17">
        <f>IF(CH$3="","",IF(CH$3=Steps,MAX(IF(CallPut=1,UndTree!CH16-Strike,Strike-UndTree!CH16),0),MAX((2-AmEur)*IF(CallPut=1,UndTree!CH16-Strike,Strike-UndTree!CH16),(UpProb*CI16+DownProb*CI17)*StepDiscount)))</f>
        <v>421.21230247378918</v>
      </c>
      <c r="CI16" s="17">
        <f>IF(CI$3="","",IF(CI$3=Steps,MAX(IF(CallPut=1,UndTree!CI16-Strike,Strike-UndTree!CI16),0),MAX((2-AmEur)*IF(CallPut=1,UndTree!CI16-Strike,Strike-UndTree!CI16),(UpProb*CJ16+DownProb*CJ17)*StepDiscount)))</f>
        <v>436.90696026190705</v>
      </c>
      <c r="CJ16" s="17">
        <f>IF(CJ$3="","",IF(CJ$3=Steps,MAX(IF(CallPut=1,UndTree!CJ16-Strike,Strike-UndTree!CJ16),0),MAX((2-AmEur)*IF(CallPut=1,UndTree!CJ16-Strike,Strike-UndTree!CJ16),(UpProb*CK16+DownProb*CK17)*StepDiscount)))</f>
        <v>453.07828476354916</v>
      </c>
      <c r="CK16" s="17">
        <f>IF(CK$3="","",IF(CK$3=Steps,MAX(IF(CallPut=1,UndTree!CK16-Strike,Strike-UndTree!CK16),0),MAX((2-AmEur)*IF(CallPut=1,UndTree!CK16-Strike,Strike-UndTree!CK16),(UpProb*CL16+DownProb*CL17)*StepDiscount)))</f>
        <v>469.74070671595314</v>
      </c>
      <c r="CL16" s="17">
        <f>IF(CL$3="","",IF(CL$3=Steps,MAX(IF(CallPut=1,UndTree!CL16-Strike,Strike-UndTree!CL16),0),MAX((2-AmEur)*IF(CallPut=1,UndTree!CL16-Strike,Strike-UndTree!CL16),(UpProb*CM16+DownProb*CM17)*StepDiscount)))</f>
        <v>486.90909371215082</v>
      </c>
      <c r="CM16" s="17">
        <f>IF(CM$3="","",IF(CM$3=Steps,MAX(IF(CallPut=1,UndTree!CM16-Strike,Strike-UndTree!CM16),0),MAX((2-AmEur)*IF(CallPut=1,UndTree!CM16-Strike,Strike-UndTree!CM16),(UpProb*CN16+DownProb*CN17)*StepDiscount)))</f>
        <v>504.5987634257101</v>
      </c>
      <c r="CN16" s="17">
        <f>IF(CN$3="","",IF(CN$3=Steps,MAX(IF(CallPut=1,UndTree!CN16-Strike,Strike-UndTree!CN16),0),MAX((2-AmEur)*IF(CallPut=1,UndTree!CN16-Strike,Strike-UndTree!CN16),(UpProb*CO16+DownProb*CO17)*StepDiscount)))</f>
        <v>522.82549723582326</v>
      </c>
      <c r="CO16" s="17">
        <f>IF(CO$3="","",IF(CO$3=Steps,MAX(IF(CallPut=1,UndTree!CO16-Strike,Strike-UndTree!CO16),0),MAX((2-AmEur)*IF(CallPut=1,UndTree!CO16-Strike,Strike-UndTree!CO16),(UpProb*CP16+DownProb*CP17)*StepDiscount)))</f>
        <v>541.60555426486133</v>
      </c>
      <c r="CP16" s="17">
        <f>IF(CP$3="","",IF(CP$3=Steps,MAX(IF(CallPut=1,UndTree!CP16-Strike,Strike-UndTree!CP16),0),MAX((2-AmEur)*IF(CallPut=1,UndTree!CP16-Strike,Strike-UndTree!CP16),(UpProb*CQ16+DownProb*CQ17)*StepDiscount)))</f>
        <v>560.95568584088335</v>
      </c>
      <c r="CQ16" s="17">
        <f>IF(CQ$3="","",IF(CQ$3=Steps,MAX(IF(CallPut=1,UndTree!CQ16-Strike,Strike-UndTree!CQ16),0),MAX((2-AmEur)*IF(CallPut=1,UndTree!CQ16-Strike,Strike-UndTree!CQ16),(UpProb*CR16+DownProb*CR17)*StepDiscount)))</f>
        <v>580.89315039796691</v>
      </c>
      <c r="CR16" s="17">
        <f>IF(CR$3="","",IF(CR$3=Steps,MAX(IF(CallPut=1,UndTree!CR16-Strike,Strike-UndTree!CR16),0),MAX((2-AmEur)*IF(CallPut=1,UndTree!CR16-Strike,Strike-UndTree!CR16),(UpProb*CS16+DownProb*CS17)*StepDiscount)))</f>
        <v>601.43572882761111</v>
      </c>
      <c r="CS16" s="17">
        <f>IF(CS$3="","",IF(CS$3=Steps,MAX(IF(CallPut=1,UndTree!CS16-Strike,Strike-UndTree!CS16),0),MAX((2-AmEur)*IF(CallPut=1,UndTree!CS16-Strike,Strike-UndTree!CS16),(UpProb*CT16+DownProb*CT17)*StepDiscount)))</f>
        <v>622.601740294867</v>
      </c>
      <c r="CT16" s="17">
        <f>IF(CT$3="","",IF(CT$3=Steps,MAX(IF(CallPut=1,UndTree!CT16-Strike,Strike-UndTree!CT16),0),MAX((2-AmEur)*IF(CallPut=1,UndTree!CT16-Strike,Strike-UndTree!CT16),(UpProb*CU16+DownProb*CU17)*StepDiscount)))</f>
        <v>644.4100585332576</v>
      </c>
      <c r="CU16" s="17">
        <f>IF(CU$3="","",IF(CU$3=Steps,MAX(IF(CallPut=1,UndTree!CU16-Strike,Strike-UndTree!CU16),0),MAX((2-AmEur)*IF(CallPut=1,UndTree!CU16-Strike,Strike-UndTree!CU16),(UpProb*CV16+DownProb*CV17)*StepDiscount)))</f>
        <v>666.88012863298184</v>
      </c>
      <c r="CV16" s="17">
        <f>IF(CV$3="","",IF(CV$3=Steps,MAX(IF(CallPut=1,UndTree!CV16-Strike,Strike-UndTree!CV16),0),MAX((2-AmEur)*IF(CallPut=1,UndTree!CV16-Strike,Strike-UndTree!CV16),(UpProb*CW16+DownProb*CW17)*StepDiscount)))</f>
        <v>690.03198433733269</v>
      </c>
      <c r="CW16" s="17">
        <f>IF(CW$3="","",IF(CW$3=Steps,MAX(IF(CallPut=1,UndTree!CW16-Strike,Strike-UndTree!CW16),0),MAX((2-AmEur)*IF(CallPut=1,UndTree!CW16-Strike,Strike-UndTree!CW16),(UpProb*CX16+DownProb*CX17)*StepDiscount)))</f>
        <v>713.88626586271209</v>
      </c>
      <c r="CX16" s="17">
        <f>IF(CX$3="","",IF(CX$3=Steps,MAX(IF(CallPut=1,UndTree!CX16-Strike,Strike-UndTree!CX16),0),MAX((2-AmEur)*IF(CallPut=1,UndTree!CX16-Strike,Strike-UndTree!CX16),(UpProb*CY16+DownProb*CY17)*StepDiscount)))</f>
        <v>738.46423825808517</v>
      </c>
      <c r="CY16" s="17">
        <f>IF(CY$3="","",IF(CY$3=Steps,MAX(IF(CallPut=1,UndTree!CY16-Strike,Strike-UndTree!CY16),0),MAX((2-AmEur)*IF(CallPut=1,UndTree!CY16-Strike,Strike-UndTree!CY16),(UpProb*CZ16+DownProb*CZ17)*StepDiscount)))</f>
        <v>763.78781032022414</v>
      </c>
      <c r="CZ16" s="17">
        <f>IF(CZ$3="","",IF(CZ$3=Steps,MAX(IF(CallPut=1,UndTree!CZ16-Strike,Strike-UndTree!CZ16),0),MAX((2-AmEur)*IF(CallPut=1,UndTree!CZ16-Strike,Strike-UndTree!CZ16),(UpProb*DA16+DownProb*DA17)*StepDiscount)))</f>
        <v>789.87955408172581</v>
      </c>
      <c r="DA16" s="17">
        <f>IF(DA$3="","",IF(DA$3=Steps,MAX(IF(CallPut=1,UndTree!DA16-Strike,Strike-UndTree!DA16),0),MAX((2-AmEur)*IF(CallPut=1,UndTree!DA16-Strike,Strike-UndTree!DA16),(UpProb*DB16+DownProb*DB17)*StepDiscount)))</f>
        <v>816.76272488932887</v>
      </c>
      <c r="DB16" s="17">
        <f>IF(DB$3="","",IF(DB$3=Steps,MAX(IF(CallPut=1,UndTree!DB16-Strike,Strike-UndTree!DB16),0),MAX((2-AmEur)*IF(CallPut=1,UndTree!DB16-Strike,Strike-UndTree!DB16),(UpProb*DC16+DownProb*DC17)*StepDiscount)))</f>
        <v>844.46128208879998</v>
      </c>
    </row>
    <row r="17" spans="1:106" x14ac:dyDescent="0.2">
      <c r="A17">
        <f>ExDivTree!A17</f>
        <v>8160963550905900</v>
      </c>
      <c r="B17" s="71">
        <f>ExDivTree!B17</f>
        <v>3.2189325471216556E-15</v>
      </c>
      <c r="C17" s="71">
        <f>ExDivTree!C17</f>
        <v>3.9254515045323708E-15</v>
      </c>
      <c r="D17" s="177">
        <f>ExDivTree!D17</f>
        <v>13</v>
      </c>
      <c r="R17" s="17">
        <f>IF(R$3="","",IF(R$3=Steps,MAX(IF(CallPut=1,UndTree!R17-Strike,Strike-UndTree!R17),0),MAX((2-AmEur)*IF(CallPut=1,UndTree!R17-Strike,Strike-UndTree!R17),(UpProb*S17+DownProb*S18)*StepDiscount)))</f>
        <v>0.79250857985920253</v>
      </c>
      <c r="S17" s="17">
        <f>IF(S$3="","",IF(S$3=Steps,MAX(IF(CallPut=1,UndTree!S17-Strike,Strike-UndTree!S17),0),MAX((2-AmEur)*IF(CallPut=1,UndTree!S17-Strike,Strike-UndTree!S17),(UpProb*T17+DownProb*T18)*StepDiscount)))</f>
        <v>0.98949864030115608</v>
      </c>
      <c r="T17" s="17">
        <f>IF(T$3="","",IF(T$3=Steps,MAX(IF(CallPut=1,UndTree!T17-Strike,Strike-UndTree!T17),0),MAX((2-AmEur)*IF(CallPut=1,UndTree!T17-Strike,Strike-UndTree!T17),(UpProb*U17+DownProb*U18)*StepDiscount)))</f>
        <v>1.229003389476097</v>
      </c>
      <c r="U17" s="17">
        <f>IF(U$3="","",IF(U$3=Steps,MAX(IF(CallPut=1,UndTree!U17-Strike,Strike-UndTree!U17),0),MAX((2-AmEur)*IF(CallPut=1,UndTree!U17-Strike,Strike-UndTree!U17),(UpProb*V17+DownProb*V18)*StepDiscount)))</f>
        <v>1.5184144297759337</v>
      </c>
      <c r="V17" s="17">
        <f>IF(V$3="","",IF(V$3=Steps,MAX(IF(CallPut=1,UndTree!V17-Strike,Strike-UndTree!V17),0),MAX((2-AmEur)*IF(CallPut=1,UndTree!V17-Strike,Strike-UndTree!V17),(UpProb*W17+DownProb*W18)*StepDiscount)))</f>
        <v>1.8659551622909605</v>
      </c>
      <c r="W17" s="17">
        <f>IF(W$3="","",IF(W$3=Steps,MAX(IF(CallPut=1,UndTree!W17-Strike,Strike-UndTree!W17),0),MAX((2-AmEur)*IF(CallPut=1,UndTree!W17-Strike,Strike-UndTree!W17),(UpProb*X17+DownProb*X18)*StepDiscount)))</f>
        <v>2.2806668444285969</v>
      </c>
      <c r="X17" s="17">
        <f>IF(X$3="","",IF(X$3=Steps,MAX(IF(CallPut=1,UndTree!X17-Strike,Strike-UndTree!X17),0),MAX((2-AmEur)*IF(CallPut=1,UndTree!X17-Strike,Strike-UndTree!X17),(UpProb*Y17+DownProb*Y18)*StepDiscount)))</f>
        <v>2.7723658420655379</v>
      </c>
      <c r="Y17" s="17">
        <f>IF(Y$3="","",IF(Y$3=Steps,MAX(IF(CallPut=1,UndTree!Y17-Strike,Strike-UndTree!Y17),0),MAX((2-AmEur)*IF(CallPut=1,UndTree!Y17-Strike,Strike-UndTree!Y17),(UpProb*Z17+DownProb*Z18)*StepDiscount)))</f>
        <v>3.3515681207352879</v>
      </c>
      <c r="Z17" s="17">
        <f>IF(Z$3="","",IF(Z$3=Steps,MAX(IF(CallPut=1,UndTree!Z17-Strike,Strike-UndTree!Z17),0),MAX((2-AmEur)*IF(CallPut=1,UndTree!Z17-Strike,Strike-UndTree!Z17),(UpProb*AA17+DownProb*AA18)*StepDiscount)))</f>
        <v>4.0293780801518775</v>
      </c>
      <c r="AA17" s="17">
        <f>IF(AA$3="","",IF(AA$3=Steps,MAX(IF(CallPut=1,UndTree!AA17-Strike,Strike-UndTree!AA17),0),MAX((2-AmEur)*IF(CallPut=1,UndTree!AA17-Strike,Strike-UndTree!AA17),(UpProb*AB17+DownProb*AB18)*StepDiscount)))</f>
        <v>4.8173403674669677</v>
      </c>
      <c r="AB17" s="17">
        <f>IF(AB$3="","",IF(AB$3=Steps,MAX(IF(CallPut=1,UndTree!AB17-Strike,Strike-UndTree!AB17),0),MAX((2-AmEur)*IF(CallPut=1,UndTree!AB17-Strike,Strike-UndTree!AB17),(UpProb*AC17+DownProb*AC18)*StepDiscount)))</f>
        <v>5.7272552981347475</v>
      </c>
      <c r="AC17" s="17">
        <f>IF(AC$3="","",IF(AC$3=Steps,MAX(IF(CallPut=1,UndTree!AC17-Strike,Strike-UndTree!AC17),0),MAX((2-AmEur)*IF(CallPut=1,UndTree!AC17-Strike,Strike-UndTree!AC17),(UpProb*AD17+DownProb*AD18)*StepDiscount)))</f>
        <v>6.7709609113084026</v>
      </c>
      <c r="AD17" s="17">
        <f>IF(AD$3="","",IF(AD$3=Steps,MAX(IF(CallPut=1,UndTree!AD17-Strike,Strike-UndTree!AD17),0),MAX((2-AmEur)*IF(CallPut=1,UndTree!AD17-Strike,Strike-UndTree!AD17),(UpProb*AE17+DownProb*AE18)*StepDiscount)))</f>
        <v>7.9600873747442247</v>
      </c>
      <c r="AE17" s="17">
        <f>IF(AE$3="","",IF(AE$3=Steps,MAX(IF(CallPut=1,UndTree!AE17-Strike,Strike-UndTree!AE17),0),MAX((2-AmEur)*IF(CallPut=1,UndTree!AE17-Strike,Strike-UndTree!AE17),(UpProb*AF17+DownProb*AF18)*StepDiscount)))</f>
        <v>9.3057922579007766</v>
      </c>
      <c r="AF17" s="17">
        <f>IF(AF$3="","",IF(AF$3=Steps,MAX(IF(CallPut=1,UndTree!AF17-Strike,Strike-UndTree!AF17),0),MAX((2-AmEur)*IF(CallPut=1,UndTree!AF17-Strike,Strike-UndTree!AF17),(UpProb*AG17+DownProb*AG18)*StepDiscount)))</f>
        <v>10.818487881056351</v>
      </c>
      <c r="AG17" s="17">
        <f>IF(AG$3="","",IF(AG$3=Steps,MAX(IF(CallPut=1,UndTree!AG17-Strike,Strike-UndTree!AG17),0),MAX((2-AmEur)*IF(CallPut=1,UndTree!AG17-Strike,Strike-UndTree!AG17),(UpProb*AH17+DownProb*AH18)*StepDiscount)))</f>
        <v>12.507574249144241</v>
      </c>
      <c r="AH17" s="17">
        <f>IF(AH$3="","",IF(AH$3=Steps,MAX(IF(CallPut=1,UndTree!AH17-Strike,Strike-UndTree!AH17),0),MAX((2-AmEur)*IF(CallPut=1,UndTree!AH17-Strike,Strike-UndTree!AH17),(UpProb*AI17+DownProb*AI18)*StepDiscount)))</f>
        <v>14.38119269633239</v>
      </c>
      <c r="AI17" s="17">
        <f>IF(AI$3="","",IF(AI$3=Steps,MAX(IF(CallPut=1,UndTree!AI17-Strike,Strike-UndTree!AI17),0),MAX((2-AmEur)*IF(CallPut=1,UndTree!AI17-Strike,Strike-UndTree!AI17),(UpProb*AJ17+DownProb*AJ18)*StepDiscount)))</f>
        <v>16.446016015089054</v>
      </c>
      <c r="AJ17" s="17">
        <f>IF(AJ$3="","",IF(AJ$3=Steps,MAX(IF(CallPut=1,UndTree!AJ17-Strike,Strike-UndTree!AJ17),0),MAX((2-AmEur)*IF(CallPut=1,UndTree!AJ17-Strike,Strike-UndTree!AJ17),(UpProb*AK17+DownProb*AK18)*StepDiscount)))</f>
        <v>18.707090282526753</v>
      </c>
      <c r="AK17" s="17">
        <f>IF(AK$3="","",IF(AK$3=Steps,MAX(IF(CallPut=1,UndTree!AK17-Strike,Strike-UndTree!AK17),0),MAX((2-AmEur)*IF(CallPut=1,UndTree!AK17-Strike,Strike-UndTree!AK17),(UpProb*AL17+DownProb*AL18)*StepDiscount)))</f>
        <v>21.167741676047719</v>
      </c>
      <c r="AL17" s="17">
        <f>IF(AL$3="","",IF(AL$3=Steps,MAX(IF(CallPut=1,UndTree!AL17-Strike,Strike-UndTree!AL17),0),MAX((2-AmEur)*IF(CallPut=1,UndTree!AL17-Strike,Strike-UndTree!AL17),(UpProb*AM17+DownProb*AM18)*StepDiscount)))</f>
        <v>23.82955826491354</v>
      </c>
      <c r="AM17" s="17">
        <f>IF(AM$3="","",IF(AM$3=Steps,MAX(IF(CallPut=1,UndTree!AM17-Strike,Strike-UndTree!AM17),0),MAX((2-AmEur)*IF(CallPut=1,UndTree!AM17-Strike,Strike-UndTree!AM17),(UpProb*AN17+DownProb*AN18)*StepDiscount)))</f>
        <v>26.692452205111366</v>
      </c>
      <c r="AN17" s="17">
        <f>IF(AN$3="","",IF(AN$3=Steps,MAX(IF(CallPut=1,UndTree!AN17-Strike,Strike-UndTree!AN17),0),MAX((2-AmEur)*IF(CallPut=1,UndTree!AN17-Strike,Strike-UndTree!AN17),(UpProb*AO17+DownProb*AO18)*StepDiscount)))</f>
        <v>29.754802251175736</v>
      </c>
      <c r="AO17" s="17">
        <f>IF(AO$3="","",IF(AO$3=Steps,MAX(IF(CallPut=1,UndTree!AO17-Strike,Strike-UndTree!AO17),0),MAX((2-AmEur)*IF(CallPut=1,UndTree!AO17-Strike,Strike-UndTree!AO17),(UpProb*AP17+DownProb*AP18)*StepDiscount)))</f>
        <v>33.013670489128572</v>
      </c>
      <c r="AP17" s="17">
        <f>IF(AP$3="","",IF(AP$3=Steps,MAX(IF(CallPut=1,UndTree!AP17-Strike,Strike-UndTree!AP17),0),MAX((2-AmEur)*IF(CallPut=1,UndTree!AP17-Strike,Strike-UndTree!AP17),(UpProb*AQ17+DownProb*AQ18)*StepDiscount)))</f>
        <v>36.465081272151892</v>
      </c>
      <c r="AQ17" s="17">
        <f>IF(AQ$3="","",IF(AQ$3=Steps,MAX(IF(CallPut=1,UndTree!AQ17-Strike,Strike-UndTree!AQ17),0),MAX((2-AmEur)*IF(CallPut=1,UndTree!AQ17-Strike,Strike-UndTree!AQ17),(UpProb*AR17+DownProb*AR18)*StepDiscount)))</f>
        <v>40.104345150849952</v>
      </c>
      <c r="AR17" s="17">
        <f>IF(AR$3="","",IF(AR$3=Steps,MAX(IF(CallPut=1,UndTree!AR17-Strike,Strike-UndTree!AR17),0),MAX((2-AmEur)*IF(CallPut=1,UndTree!AR17-Strike,Strike-UndTree!AR17),(UpProb*AS17+DownProb*AS18)*StepDiscount)))</f>
        <v>43.926406760424179</v>
      </c>
      <c r="AS17" s="17">
        <f>IF(AS$3="","",IF(AS$3=Steps,MAX(IF(CallPut=1,UndTree!AS17-Strike,Strike-UndTree!AS17),0),MAX((2-AmEur)*IF(CallPut=1,UndTree!AS17-Strike,Strike-UndTree!AS17),(UpProb*AT17+DownProb*AT18)*StepDiscount)))</f>
        <v>47.926193674879912</v>
      </c>
      <c r="AT17" s="17">
        <f>IF(AT$3="","",IF(AT$3=Steps,MAX(IF(CallPut=1,UndTree!AT17-Strike,Strike-UndTree!AT17),0),MAX((2-AmEur)*IF(CallPut=1,UndTree!AT17-Strike,Strike-UndTree!AT17),(UpProb*AU17+DownProb*AU18)*StepDiscount)))</f>
        <v>52.098943482331968</v>
      </c>
      <c r="AU17" s="17">
        <f>IF(AU$3="","",IF(AU$3=Steps,MAX(IF(CallPut=1,UndTree!AU17-Strike,Strike-UndTree!AU17),0),MAX((2-AmEur)*IF(CallPut=1,UndTree!AU17-Strike,Strike-UndTree!AU17),(UpProb*AV17+DownProb*AV18)*StepDiscount)))</f>
        <v>56.440488828653798</v>
      </c>
      <c r="AV17" s="17">
        <f>IF(AV$3="","",IF(AV$3=Steps,MAX(IF(CallPut=1,UndTree!AV17-Strike,Strike-UndTree!AV17),0),MAX((2-AmEur)*IF(CallPut=1,UndTree!AV17-Strike,Strike-UndTree!AV17),(UpProb*AW17+DownProb*AW18)*StepDiscount)))</f>
        <v>60.947484674987251</v>
      </c>
      <c r="AW17" s="17">
        <f>IF(AW$3="","",IF(AW$3=Steps,MAX(IF(CallPut=1,UndTree!AW17-Strike,Strike-UndTree!AW17),0),MAX((2-AmEur)*IF(CallPut=1,UndTree!AW17-Strike,Strike-UndTree!AW17),(UpProb*AX17+DownProb*AX18)*StepDiscount)))</f>
        <v>65.617567992151749</v>
      </c>
      <c r="AX17" s="17">
        <f>IF(AX$3="","",IF(AX$3=Steps,MAX(IF(CallPut=1,UndTree!AX17-Strike,Strike-UndTree!AX17),0),MAX((2-AmEur)*IF(CallPut=1,UndTree!AX17-Strike,Strike-UndTree!AX17),(UpProb*AY17+DownProb*AY18)*StepDiscount)))</f>
        <v>70.449446829665106</v>
      </c>
      <c r="AY17" s="17">
        <f>IF(AY$3="","",IF(AY$3=Steps,MAX(IF(CallPut=1,UndTree!AY17-Strike,Strike-UndTree!AY17),0),MAX((2-AmEur)*IF(CallPut=1,UndTree!AY17-Strike,Strike-UndTree!AY17),(UpProb*AZ17+DownProb*AZ18)*StepDiscount)))</f>
        <v>75.442922298946286</v>
      </c>
      <c r="AZ17" s="17">
        <f>IF(AZ$3="","",IF(AZ$3=Steps,MAX(IF(CallPut=1,UndTree!AZ17-Strike,Strike-UndTree!AZ17),0),MAX((2-AmEur)*IF(CallPut=1,UndTree!AZ17-Strike,Strike-UndTree!AZ17),(UpProb*BA17+DownProb*BA18)*StepDiscount)))</f>
        <v>80.598852675600611</v>
      </c>
      <c r="BA17" s="17">
        <f>IF(BA$3="","",IF(BA$3=Steps,MAX(IF(CallPut=1,UndTree!BA17-Strike,Strike-UndTree!BA17),0),MAX((2-AmEur)*IF(CallPut=1,UndTree!BA17-Strike,Strike-UndTree!BA17),(UpProb*BB17+DownProb*BB18)*StepDiscount)))</f>
        <v>85.919072892151206</v>
      </c>
      <c r="BB17" s="17">
        <f>IF(BB$3="","",IF(BB$3=Steps,MAX(IF(CallPut=1,UndTree!BB17-Strike,Strike-UndTree!BB17),0),MAX((2-AmEur)*IF(CallPut=1,UndTree!BB17-Strike,Strike-UndTree!BB17),(UpProb*BC17+DownProb*BC18)*StepDiscount)))</f>
        <v>91.406284767861422</v>
      </c>
      <c r="BC17" s="17">
        <f>IF(BC$3="","",IF(BC$3=Steps,MAX(IF(CallPut=1,UndTree!BC17-Strike,Strike-UndTree!BC17),0),MAX((2-AmEur)*IF(CallPut=1,UndTree!BC17-Strike,Strike-UndTree!BC17),(UpProb*BD17+DownProb*BD18)*StepDiscount)))</f>
        <v>97.063933342556709</v>
      </c>
      <c r="BD17" s="17">
        <f>IF(BD$3="","",IF(BD$3=Steps,MAX(IF(CallPut=1,UndTree!BD17-Strike,Strike-UndTree!BD17),0),MAX((2-AmEur)*IF(CallPut=1,UndTree!BD17-Strike,Strike-UndTree!BD17),(UpProb*BE17+DownProb*BE18)*StepDiscount)))</f>
        <v>102.89608290580009</v>
      </c>
      <c r="BE17" s="17">
        <f>IF(BE$3="","",IF(BE$3=Steps,MAX(IF(CallPut=1,UndTree!BE17-Strike,Strike-UndTree!BE17),0),MAX((2-AmEur)*IF(CallPut=1,UndTree!BE17-Strike,Strike-UndTree!BE17),(UpProb*BF17+DownProb*BF18)*StepDiscount)))</f>
        <v>108.9073032549606</v>
      </c>
      <c r="BF17" s="17">
        <f>IF(BF$3="","",IF(BF$3=Steps,MAX(IF(CallPut=1,UndTree!BF17-Strike,Strike-UndTree!BF17),0),MAX((2-AmEur)*IF(CallPut=1,UndTree!BF17-Strike,Strike-UndTree!BF17),(UpProb*BG17+DownProb*BG18)*StepDiscount)))</f>
        <v>115.10257302751938</v>
      </c>
      <c r="BG17" s="17">
        <f>IF(BG$3="","",IF(BG$3=Steps,MAX(IF(CallPut=1,UndTree!BG17-Strike,Strike-UndTree!BG17),0),MAX((2-AmEur)*IF(CallPut=1,UndTree!BG17-Strike,Strike-UndTree!BG17),(UpProb*BH17+DownProb*BH18)*StepDiscount)))</f>
        <v>121.48720328877377</v>
      </c>
      <c r="BH17" s="17">
        <f>IF(BH$3="","",IF(BH$3=Steps,MAX(IF(CallPut=1,UndTree!BH17-Strike,Strike-UndTree!BH17),0),MAX((2-AmEur)*IF(CallPut=1,UndTree!BH17-Strike,Strike-UndTree!BH17),(UpProb*BI17+DownProb*BI18)*StepDiscount)))</f>
        <v>128.0667814494285</v>
      </c>
      <c r="BI17" s="17">
        <f>IF(BI$3="","",IF(BI$3=Steps,MAX(IF(CallPut=1,UndTree!BI17-Strike,Strike-UndTree!BI17),0),MAX((2-AmEur)*IF(CallPut=1,UndTree!BI17-Strike,Strike-UndTree!BI17),(UpProb*BJ17+DownProb*BJ18)*StepDiscount)))</f>
        <v>134.84713336801499</v>
      </c>
      <c r="BJ17" s="17">
        <f>IF(BJ$3="","",IF(BJ$3=Steps,MAX(IF(CallPut=1,UndTree!BJ17-Strike,Strike-UndTree!BJ17),0),MAX((2-AmEur)*IF(CallPut=1,UndTree!BJ17-Strike,Strike-UndTree!BJ17),(UpProb*BK17+DownProb*BK18)*StepDiscount)))</f>
        <v>141.83430025956395</v>
      </c>
      <c r="BK17" s="17">
        <f>IF(BK$3="","",IF(BK$3=Steps,MAX(IF(CallPut=1,UndTree!BK17-Strike,Strike-UndTree!BK17),0),MAX((2-AmEur)*IF(CallPut=1,UndTree!BK17-Strike,Strike-UndTree!BK17),(UpProb*BL17+DownProb*BL18)*StepDiscount)))</f>
        <v>149.03452668175527</v>
      </c>
      <c r="BL17" s="17">
        <f>IF(BL$3="","",IF(BL$3=Steps,MAX(IF(CallPut=1,UndTree!BL17-Strike,Strike-UndTree!BL17),0),MAX((2-AmEur)*IF(CallPut=1,UndTree!BL17-Strike,Strike-UndTree!BL17),(UpProb*BM17+DownProb*BM18)*StepDiscount)))</f>
        <v>156.45425616784445</v>
      </c>
      <c r="BM17" s="17">
        <f>IF(BM$3="","",IF(BM$3=Steps,MAX(IF(CallPut=1,UndTree!BM17-Strike,Strike-UndTree!BM17),0),MAX((2-AmEur)*IF(CallPut=1,UndTree!BM17-Strike,Strike-UndTree!BM17),(UpProb*BN17+DownProb*BN18)*StepDiscount)))</f>
        <v>164.10013173946908</v>
      </c>
      <c r="BN17" s="17">
        <f>IF(BN$3="","",IF(BN$3=Steps,MAX(IF(CallPut=1,UndTree!BN17-Strike,Strike-UndTree!BN17),0),MAX((2-AmEur)*IF(CallPut=1,UndTree!BN17-Strike,Strike-UndTree!BN17),(UpProb*BO17+DownProb*BO18)*StepDiscount)))</f>
        <v>171.97899930680336</v>
      </c>
      <c r="BO17" s="17">
        <f>IF(BO$3="","",IF(BO$3=Steps,MAX(IF(CallPut=1,UndTree!BO17-Strike,Strike-UndTree!BO17),0),MAX((2-AmEur)*IF(CallPut=1,UndTree!BO17-Strike,Strike-UndTree!BO17),(UpProb*BP17+DownProb*BP18)*StepDiscount)))</f>
        <v>180.09791266787244</v>
      </c>
      <c r="BP17" s="17">
        <f>IF(BP$3="","",IF(BP$3=Steps,MAX(IF(CallPut=1,UndTree!BP17-Strike,Strike-UndTree!BP17),0),MAX((2-AmEur)*IF(CallPut=1,UndTree!BP17-Strike,Strike-UndTree!BP17),(UpProb*BQ17+DownProb*BQ18)*StepDiscount)))</f>
        <v>188.46413936095539</v>
      </c>
      <c r="BQ17" s="17">
        <f>IF(BQ$3="","",IF(BQ$3=Steps,MAX(IF(CallPut=1,UndTree!BQ17-Strike,Strike-UndTree!BQ17),0),MAX((2-AmEur)*IF(CallPut=1,UndTree!BQ17-Strike,Strike-UndTree!BQ17),(UpProb*BR17+DownProb*BR18)*StepDiscount)))</f>
        <v>197.08516698638982</v>
      </c>
      <c r="BR17" s="17">
        <f>IF(BR$3="","",IF(BR$3=Steps,MAX(IF(CallPut=1,UndTree!BR17-Strike,Strike-UndTree!BR17),0),MAX((2-AmEur)*IF(CallPut=1,UndTree!BR17-Strike,Strike-UndTree!BR17),(UpProb*BS17+DownProb*BS18)*StepDiscount)))</f>
        <v>205.96870982578724</v>
      </c>
      <c r="BS17" s="17">
        <f>IF(BS$3="","",IF(BS$3=Steps,MAX(IF(CallPut=1,UndTree!BS17-Strike,Strike-UndTree!BS17),0),MAX((2-AmEur)*IF(CallPut=1,UndTree!BS17-Strike,Strike-UndTree!BS17),(UpProb*BT17+DownProb*BT18)*StepDiscount)))</f>
        <v>215.12271569426733</v>
      </c>
      <c r="BT17" s="17">
        <f>IF(BT$3="","",IF(BT$3=Steps,MAX(IF(CallPut=1,UndTree!BT17-Strike,Strike-UndTree!BT17),0),MAX((2-AmEur)*IF(CallPut=1,UndTree!BT17-Strike,Strike-UndTree!BT17),(UpProb*BU17+DownProb*BU18)*StepDiscount)))</f>
        <v>224.55537300832091</v>
      </c>
      <c r="BU17" s="17">
        <f>IF(BU$3="","",IF(BU$3=Steps,MAX(IF(CallPut=1,UndTree!BU17-Strike,Strike-UndTree!BU17),0),MAX((2-AmEur)*IF(CallPut=1,UndTree!BU17-Strike,Strike-UndTree!BU17),(UpProb*BV17+DownProb*BV18)*StepDiscount)))</f>
        <v>234.27511806920958</v>
      </c>
      <c r="BV17" s="17">
        <f>IF(BV$3="","",IF(BV$3=Steps,MAX(IF(CallPut=1,UndTree!BV17-Strike,Strike-UndTree!BV17),0),MAX((2-AmEur)*IF(CallPut=1,UndTree!BV17-Strike,Strike-UndTree!BV17),(UpProb*BW17+DownProb*BW18)*StepDiscount)))</f>
        <v>244.29064256705868</v>
      </c>
      <c r="BW17" s="17">
        <f>IF(BW$3="","",IF(BW$3=Steps,MAX(IF(CallPut=1,UndTree!BW17-Strike,Strike-UndTree!BW17),0),MAX((2-AmEur)*IF(CallPut=1,UndTree!BW17-Strike,Strike-UndTree!BW17),(UpProb*BX17+DownProb*BX18)*StepDiscount)))</f>
        <v>254.61090131213223</v>
      </c>
      <c r="BX17" s="17">
        <f>IF(BX$3="","",IF(BX$3=Steps,MAX(IF(CallPut=1,UndTree!BX17-Strike,Strike-UndTree!BX17),0),MAX((2-AmEur)*IF(CallPut=1,UndTree!BX17-Strike,Strike-UndTree!BX17),(UpProb*BY17+DownProb*BY18)*StepDiscount)))</f>
        <v>265.24512020015322</v>
      </c>
      <c r="BY17" s="17">
        <f>IF(BY$3="","",IF(BY$3=Steps,MAX(IF(CallPut=1,UndTree!BY17-Strike,Strike-UndTree!BY17),0),MAX((2-AmEur)*IF(CallPut=1,UndTree!BY17-Strike,Strike-UndTree!BY17),(UpProb*BZ17+DownProb*BZ18)*StepDiscount)))</f>
        <v>276.20280441875474</v>
      </c>
      <c r="BZ17" s="17">
        <f>IF(BZ$3="","",IF(BZ$3=Steps,MAX(IF(CallPut=1,UndTree!BZ17-Strike,Strike-UndTree!BZ17),0),MAX((2-AmEur)*IF(CallPut=1,UndTree!BZ17-Strike,Strike-UndTree!BZ17),(UpProb*CA17+DownProb*CA18)*StepDiscount)))</f>
        <v>287.49374690236147</v>
      </c>
      <c r="CA17" s="17">
        <f>IF(CA$3="","",IF(CA$3=Steps,MAX(IF(CallPut=1,UndTree!CA17-Strike,Strike-UndTree!CA17),0),MAX((2-AmEur)*IF(CallPut=1,UndTree!CA17-Strike,Strike-UndTree!CA17),(UpProb*CB17+DownProb*CB18)*StepDiscount)))</f>
        <v>299.12803704302206</v>
      </c>
      <c r="CB17" s="17">
        <f>IF(CB$3="","",IF(CB$3=Steps,MAX(IF(CallPut=1,UndTree!CB17-Strike,Strike-UndTree!CB17),0),MAX((2-AmEur)*IF(CallPut=1,UndTree!CB17-Strike,Strike-UndTree!CB17),(UpProb*CC17+DownProb*CC18)*StepDiscount)))</f>
        <v>311.11606966494116</v>
      </c>
      <c r="CC17" s="17">
        <f>IF(CC$3="","",IF(CC$3=Steps,MAX(IF(CallPut=1,UndTree!CC17-Strike,Strike-UndTree!CC17),0),MAX((2-AmEur)*IF(CallPut=1,UndTree!CC17-Strike,Strike-UndTree!CC17),(UpProb*CD17+DownProb*CD18)*StepDiscount)))</f>
        <v>323.46855427069329</v>
      </c>
      <c r="CD17" s="17">
        <f>IF(CD$3="","",IF(CD$3=Steps,MAX(IF(CallPut=1,UndTree!CD17-Strike,Strike-UndTree!CD17),0),MAX((2-AmEur)*IF(CallPut=1,UndTree!CD17-Strike,Strike-UndTree!CD17),(UpProb*CE17+DownProb*CE18)*StepDiscount)))</f>
        <v>336.1965245673432</v>
      </c>
      <c r="CE17" s="17">
        <f>IF(CE$3="","",IF(CE$3=Steps,MAX(IF(CallPut=1,UndTree!CE17-Strike,Strike-UndTree!CE17),0),MAX((2-AmEur)*IF(CallPut=1,UndTree!CE17-Strike,Strike-UndTree!CE17),(UpProb*CF17+DownProb*CF18)*StepDiscount)))</f>
        <v>349.31134828094639</v>
      </c>
      <c r="CF17" s="17">
        <f>IF(CF$3="","",IF(CF$3=Steps,MAX(IF(CallPut=1,UndTree!CF17-Strike,Strike-UndTree!CF17),0),MAX((2-AmEur)*IF(CallPut=1,UndTree!CF17-Strike,Strike-UndTree!CF17),(UpProb*CG17+DownProb*CG18)*StepDiscount)))</f>
        <v>362.82473726815863</v>
      </c>
      <c r="CG17" s="17">
        <f>IF(CG$3="","",IF(CG$3=Steps,MAX(IF(CallPut=1,UndTree!CG17-Strike,Strike-UndTree!CG17),0),MAX((2-AmEur)*IF(CallPut=1,UndTree!CG17-Strike,Strike-UndTree!CG17),(UpProb*CH17+DownProb*CH18)*StepDiscount)))</f>
        <v>376.74875793395051</v>
      </c>
      <c r="CH17" s="17">
        <f>IF(CH$3="","",IF(CH$3=Steps,MAX(IF(CallPut=1,UndTree!CH17-Strike,Strike-UndTree!CH17),0),MAX((2-AmEur)*IF(CallPut=1,UndTree!CH17-Strike,Strike-UndTree!CH17),(UpProb*CI17+DownProb*CI18)*StepDiscount)))</f>
        <v>391.09584196469228</v>
      </c>
      <c r="CI17" s="17">
        <f>IF(CI$3="","",IF(CI$3=Steps,MAX(IF(CallPut=1,UndTree!CI17-Strike,Strike-UndTree!CI17),0),MAX((2-AmEur)*IF(CallPut=1,UndTree!CI17-Strike,Strike-UndTree!CI17),(UpProb*CJ17+DownProb*CJ18)*StepDiscount)))</f>
        <v>405.87879738615709</v>
      </c>
      <c r="CJ17" s="17">
        <f>IF(CJ$3="","",IF(CJ$3=Steps,MAX(IF(CallPut=1,UndTree!CJ17-Strike,Strike-UndTree!CJ17),0),MAX((2-AmEur)*IF(CallPut=1,UndTree!CJ17-Strike,Strike-UndTree!CJ17),(UpProb*CK17+DownProb*CK18)*StepDiscount)))</f>
        <v>421.11081995627922</v>
      </c>
      <c r="CK17" s="17">
        <f>IF(CK$3="","",IF(CK$3=Steps,MAX(IF(CallPut=1,UndTree!CK17-Strike,Strike-UndTree!CK17),0),MAX((2-AmEur)*IF(CallPut=1,UndTree!CK17-Strike,Strike-UndTree!CK17),(UpProb*CL17+DownProb*CL18)*StepDiscount)))</f>
        <v>436.80550490280029</v>
      </c>
      <c r="CL17" s="17">
        <f>IF(CL$3="","",IF(CL$3=Steps,MAX(IF(CallPut=1,UndTree!CL17-Strike,Strike-UndTree!CL17),0),MAX((2-AmEur)*IF(CallPut=1,UndTree!CL17-Strike,Strike-UndTree!CL17),(UpProb*CM17+DownProb*CM18)*StepDiscount)))</f>
        <v>452.97685901624527</v>
      </c>
      <c r="CM17" s="17">
        <f>IF(CM$3="","",IF(CM$3=Steps,MAX(IF(CallPut=1,UndTree!CM17-Strike,Strike-UndTree!CM17),0),MAX((2-AmEur)*IF(CallPut=1,UndTree!CM17-Strike,Strike-UndTree!CM17),(UpProb*CN17+DownProb*CN18)*StepDiscount)))</f>
        <v>469.63931310898266</v>
      </c>
      <c r="CN17" s="17">
        <f>IF(CN$3="","",IF(CN$3=Steps,MAX(IF(CallPut=1,UndTree!CN17-Strike,Strike-UndTree!CN17),0),MAX((2-AmEur)*IF(CallPut=1,UndTree!CN17-Strike,Strike-UndTree!CN17),(UpProb*CO17+DownProb*CO18)*StepDiscount)))</f>
        <v>486.80773485145085</v>
      </c>
      <c r="CO17" s="17">
        <f>IF(CO$3="","",IF(CO$3=Steps,MAX(IF(CallPut=1,UndTree!CO17-Strike,Strike-UndTree!CO17),0),MAX((2-AmEur)*IF(CallPut=1,UndTree!CO17-Strike,Strike-UndTree!CO17),(UpProb*CP17+DownProb*CP18)*StepDiscount)))</f>
        <v>504.49744199696761</v>
      </c>
      <c r="CP17" s="17">
        <f>IF(CP$3="","",IF(CP$3=Steps,MAX(IF(CallPut=1,UndTree!CP17-Strike,Strike-UndTree!CP17),0),MAX((2-AmEur)*IF(CallPut=1,UndTree!CP17-Strike,Strike-UndTree!CP17),(UpProb*CQ17+DownProb*CQ18)*StepDiscount)))</f>
        <v>522.72421600688767</v>
      </c>
      <c r="CQ17" s="17">
        <f>IF(CQ$3="","",IF(CQ$3=Steps,MAX(IF(CallPut=1,UndTree!CQ17-Strike,Strike-UndTree!CQ17),0),MAX((2-AmEur)*IF(CallPut=1,UndTree!CQ17-Strike,Strike-UndTree!CQ17),(UpProb*CR17+DownProb*CR18)*StepDiscount)))</f>
        <v>541.50431608822896</v>
      </c>
      <c r="CR17" s="17">
        <f>IF(CR$3="","",IF(CR$3=Steps,MAX(IF(CallPut=1,UndTree!CR17-Strike,Strike-UndTree!CR17),0),MAX((2-AmEur)*IF(CallPut=1,UndTree!CR17-Strike,Strike-UndTree!CR17),(UpProb*CS17+DownProb*CS18)*StepDiscount)))</f>
        <v>560.85449365625823</v>
      </c>
      <c r="CS17" s="17">
        <f>IF(CS$3="","",IF(CS$3=Steps,MAX(IF(CallPut=1,UndTree!CS17-Strike,Strike-UndTree!CS17),0),MAX((2-AmEur)*IF(CallPut=1,UndTree!CS17-Strike,Strike-UndTree!CS17),(UpProb*CT17+DownProb*CT18)*StepDiscount)))</f>
        <v>580.79200723490044</v>
      </c>
      <c r="CT17" s="17">
        <f>IF(CT$3="","",IF(CT$3=Steps,MAX(IF(CallPut=1,UndTree!CT17-Strike,Strike-UndTree!CT17),0),MAX((2-AmEur)*IF(CallPut=1,UndTree!CT17-Strike,Strike-UndTree!CT17),(UpProb*CU17+DownProb*CU18)*StepDiscount)))</f>
        <v>601.33463780822706</v>
      </c>
      <c r="CU17" s="17">
        <f>IF(CU$3="","",IF(CU$3=Steps,MAX(IF(CallPut=1,UndTree!CU17-Strike,Strike-UndTree!CU17),0),MAX((2-AmEur)*IF(CallPut=1,UndTree!CU17-Strike,Strike-UndTree!CU17),(UpProb*CV17+DownProb*CV18)*StepDiscount)))</f>
        <v>622.50070463666998</v>
      </c>
      <c r="CV17" s="17">
        <f>IF(CV$3="","",IF(CV$3=Steps,MAX(IF(CallPut=1,UndTree!CV17-Strike,Strike-UndTree!CV17),0),MAX((2-AmEur)*IF(CallPut=1,UndTree!CV17-Strike,Strike-UndTree!CV17),(UpProb*CW17+DownProb*CW18)*StepDiscount)))</f>
        <v>644.3090815520286</v>
      </c>
      <c r="CW17" s="17">
        <f>IF(CW$3="","",IF(CW$3=Steps,MAX(IF(CallPut=1,UndTree!CW17-Strike,Strike-UndTree!CW17),0),MAX((2-AmEur)*IF(CallPut=1,UndTree!CW17-Strike,Strike-UndTree!CW17),(UpProb*CX17+DownProb*CX18)*StepDiscount)))</f>
        <v>666.77921374576374</v>
      </c>
      <c r="CX17" s="17">
        <f>IF(CX$3="","",IF(CX$3=Steps,MAX(IF(CallPut=1,UndTree!CX17-Strike,Strike-UndTree!CX17),0),MAX((2-AmEur)*IF(CallPut=1,UndTree!CX17-Strike,Strike-UndTree!CX17),(UpProb*CY17+DownProb*CY18)*StepDiscount)))</f>
        <v>689.93113506551481</v>
      </c>
      <c r="CY17" s="17">
        <f>IF(CY$3="","",IF(CY$3=Steps,MAX(IF(CallPut=1,UndTree!CY17-Strike,Strike-UndTree!CY17),0),MAX((2-AmEur)*IF(CallPut=1,UndTree!CY17-Strike,Strike-UndTree!CY17),(UpProb*CZ17+DownProb*CZ18)*StepDiscount)))</f>
        <v>713.78548583518739</v>
      </c>
      <c r="CZ17" s="17">
        <f>IF(CZ$3="","",IF(CZ$3=Steps,MAX(IF(CallPut=1,UndTree!CZ17-Strike,Strike-UndTree!CZ17),0),MAX((2-AmEur)*IF(CallPut=1,UndTree!CZ17-Strike,Strike-UndTree!CZ17),(UpProb*DA17+DownProb*DA18)*StepDiscount)))</f>
        <v>738.36353121434342</v>
      </c>
      <c r="DA17" s="17">
        <f>IF(DA$3="","",IF(DA$3=Steps,MAX(IF(CallPut=1,UndTree!DA17-Strike,Strike-UndTree!DA17),0),MAX((2-AmEur)*IF(CallPut=1,UndTree!DA17-Strike,Strike-UndTree!DA17),(UpProb*DB17+DownProb*DB18)*StepDiscount)))</f>
        <v>763.68718011335102</v>
      </c>
      <c r="DB17" s="17">
        <f>IF(DB$3="","",IF(DB$3=Steps,MAX(IF(CallPut=1,UndTree!DB17-Strike,Strike-UndTree!DB17),0),MAX((2-AmEur)*IF(CallPut=1,UndTree!DB17-Strike,Strike-UndTree!DB17),(UpProb*DC17+DownProb*DC18)*StepDiscount)))</f>
        <v>789.77900468309997</v>
      </c>
    </row>
    <row r="18" spans="1:106" x14ac:dyDescent="0.2">
      <c r="A18">
        <f>ExDivTree!A18</f>
        <v>5.1297485177122792E+16</v>
      </c>
      <c r="B18" s="71">
        <f>ExDivTree!B18</f>
        <v>2.023329029619326E-14</v>
      </c>
      <c r="C18" s="71">
        <f>ExDivTree!C18</f>
        <v>2.4543815137260971E-14</v>
      </c>
      <c r="D18" s="177">
        <f>ExDivTree!D18</f>
        <v>14</v>
      </c>
      <c r="S18" s="17">
        <f>IF(S$3="","",IF(S$3=Steps,MAX(IF(CallPut=1,UndTree!S18-Strike,Strike-UndTree!S18),0),MAX((2-AmEur)*IF(CallPut=1,UndTree!S18-Strike,Strike-UndTree!S18),(UpProb*T18+DownProb*T19)*StepDiscount)))</f>
        <v>0.59530796543440234</v>
      </c>
      <c r="T18" s="17">
        <f>IF(T$3="","",IF(T$3=Steps,MAX(IF(CallPut=1,UndTree!T18-Strike,Strike-UndTree!T18),0),MAX((2-AmEur)*IF(CallPut=1,UndTree!T18-Strike,Strike-UndTree!T18),(UpProb*U18+DownProb*U19)*StepDiscount)))</f>
        <v>0.74976528377635032</v>
      </c>
      <c r="U18" s="17">
        <f>IF(U$3="","",IF(U$3=Steps,MAX(IF(CallPut=1,UndTree!U18-Strike,Strike-UndTree!U18),0),MAX((2-AmEur)*IF(CallPut=1,UndTree!U18-Strike,Strike-UndTree!U18),(UpProb*V18+DownProb*V19)*StepDiscount)))</f>
        <v>0.93935127409350672</v>
      </c>
      <c r="V18" s="17">
        <f>IF(V$3="","",IF(V$3=Steps,MAX(IF(CallPut=1,UndTree!V18-Strike,Strike-UndTree!V18),0),MAX((2-AmEur)*IF(CallPut=1,UndTree!V18-Strike,Strike-UndTree!V18),(UpProb*W18+DownProb*W19)*StepDiscount)))</f>
        <v>1.1706291205339532</v>
      </c>
      <c r="W18" s="17">
        <f>IF(W$3="","",IF(W$3=Steps,MAX(IF(CallPut=1,UndTree!W18-Strike,Strike-UndTree!W18),0),MAX((2-AmEur)*IF(CallPut=1,UndTree!W18-Strike,Strike-UndTree!W18),(UpProb*X18+DownProb*X19)*StepDiscount)))</f>
        <v>1.4510087003556276</v>
      </c>
      <c r="X18" s="17">
        <f>IF(X$3="","",IF(X$3=Steps,MAX(IF(CallPut=1,UndTree!X18-Strike,Strike-UndTree!X18),0),MAX((2-AmEur)*IF(CallPut=1,UndTree!X18-Strike,Strike-UndTree!X18),(UpProb*Y18+DownProb*Y19)*StepDiscount)))</f>
        <v>1.7887615853984338</v>
      </c>
      <c r="Y18" s="17">
        <f>IF(Y$3="","",IF(Y$3=Steps,MAX(IF(CallPut=1,UndTree!Y18-Strike,Strike-UndTree!Y18),0),MAX((2-AmEur)*IF(CallPut=1,UndTree!Y18-Strike,Strike-UndTree!Y18),(UpProb*Z18+DownProb*Z19)*StepDiscount)))</f>
        <v>2.1930111842085607</v>
      </c>
      <c r="Z18" s="17">
        <f>IF(Z$3="","",IF(Z$3=Steps,MAX(IF(CallPut=1,UndTree!Z18-Strike,Strike-UndTree!Z18),0),MAX((2-AmEur)*IF(CallPut=1,UndTree!Z18-Strike,Strike-UndTree!Z18),(UpProb*AA18+DownProb*AA19)*StepDiscount)))</f>
        <v>2.6736929997104522</v>
      </c>
      <c r="AA18" s="17">
        <f>IF(AA$3="","",IF(AA$3=Steps,MAX(IF(CallPut=1,UndTree!AA18-Strike,Strike-UndTree!AA18),0),MAX((2-AmEur)*IF(CallPut=1,UndTree!AA18-Strike,Strike-UndTree!AA18),(UpProb*AB18+DownProb*AB19)*StepDiscount)))</f>
        <v>3.2414805644366838</v>
      </c>
      <c r="AB18" s="17">
        <f>IF(AB$3="","",IF(AB$3=Steps,MAX(IF(CallPut=1,UndTree!AB18-Strike,Strike-UndTree!AB18),0),MAX((2-AmEur)*IF(CallPut=1,UndTree!AB18-Strike,Strike-UndTree!AB18),(UpProb*AC18+DownProb*AC19)*StepDiscount)))</f>
        <v>3.9076736832000472</v>
      </c>
      <c r="AC18" s="17">
        <f>IF(AC$3="","",IF(AC$3=Steps,MAX(IF(CallPut=1,UndTree!AC18-Strike,Strike-UndTree!AC18),0),MAX((2-AmEur)*IF(CallPut=1,UndTree!AC18-Strike,Strike-UndTree!AC18),(UpProb*AD18+DownProb*AD19)*StepDiscount)))</f>
        <v>4.6840472019509054</v>
      </c>
      <c r="AD18" s="17">
        <f>IF(AD$3="","",IF(AD$3=Steps,MAX(IF(CallPut=1,UndTree!AD18-Strike,Strike-UndTree!AD18),0),MAX((2-AmEur)*IF(CallPut=1,UndTree!AD18-Strike,Strike-UndTree!AD18),(UpProb*AE18+DownProb*AE19)*StepDiscount)))</f>
        <v>5.5826606305989648</v>
      </c>
      <c r="AE18" s="17">
        <f>IF(AE$3="","",IF(AE$3=Steps,MAX(IF(CallPut=1,UndTree!AE18-Strike,Strike-UndTree!AE18),0),MAX((2-AmEur)*IF(CallPut=1,UndTree!AE18-Strike,Strike-UndTree!AE18),(UpProb*AF18+DownProb*AF19)*StepDiscount)))</f>
        <v>6.6156315221942101</v>
      </c>
      <c r="AF18" s="17">
        <f>IF(AF$3="","",IF(AF$3=Steps,MAX(IF(CallPut=1,UndTree!AF18-Strike,Strike-UndTree!AF18),0),MAX((2-AmEur)*IF(CallPut=1,UndTree!AF18-Strike,Strike-UndTree!AF18),(UpProb*AG18+DownProb*AG19)*StepDiscount)))</f>
        <v>7.7948784327168408</v>
      </c>
      <c r="AG18" s="17">
        <f>IF(AG$3="","",IF(AG$3=Steps,MAX(IF(CallPut=1,UndTree!AG18-Strike,Strike-UndTree!AG18),0),MAX((2-AmEur)*IF(CallPut=1,UndTree!AG18-Strike,Strike-UndTree!AG18),(UpProb*AH18+DownProb*AH19)*StepDiscount)))</f>
        <v>9.1318423680232517</v>
      </c>
      <c r="AH18" s="17">
        <f>IF(AH$3="","",IF(AH$3=Steps,MAX(IF(CallPut=1,UndTree!AH18-Strike,Strike-UndTree!AH18),0),MAX((2-AmEur)*IF(CallPut=1,UndTree!AH18-Strike,Strike-UndTree!AH18),(UpProb*AI18+DownProb*AI19)*StepDiscount)))</f>
        <v>10.637198614982161</v>
      </c>
      <c r="AI18" s="17">
        <f>IF(AI$3="","",IF(AI$3=Steps,MAX(IF(CallPut=1,UndTree!AI18-Strike,Strike-UndTree!AI18),0),MAX((2-AmEur)*IF(CallPut=1,UndTree!AI18-Strike,Strike-UndTree!AI18),(UpProb*AJ18+DownProb*AJ19)*StepDiscount)))</f>
        <v>12.320573447634596</v>
      </c>
      <c r="AJ18" s="17">
        <f>IF(AJ$3="","",IF(AJ$3=Steps,MAX(IF(CallPut=1,UndTree!AJ18-Strike,Strike-UndTree!AJ18),0),MAX((2-AmEur)*IF(CallPut=1,UndTree!AJ18-Strike,Strike-UndTree!AJ18),(UpProb*AK18+DownProb*AK19)*StepDiscount)))</f>
        <v>14.190282062698712</v>
      </c>
      <c r="AK18" s="17">
        <f>IF(AK$3="","",IF(AK$3=Steps,MAX(IF(CallPut=1,UndTree!AK18-Strike,Strike-UndTree!AK18),0),MAX((2-AmEur)*IF(CallPut=1,UndTree!AK18-Strike,Strike-UndTree!AK18),(UpProb*AL18+DownProb*AL19)*StepDiscount)))</f>
        <v>16.253104904246065</v>
      </c>
      <c r="AL18" s="17">
        <f>IF(AL$3="","",IF(AL$3=Steps,MAX(IF(CallPut=1,UndTree!AL18-Strike,Strike-UndTree!AL18),0),MAX((2-AmEur)*IF(CallPut=1,UndTree!AL18-Strike,Strike-UndTree!AL18),(UpProb*AM18+DownProb*AM19)*StepDiscount)))</f>
        <v>18.514119006570716</v>
      </c>
      <c r="AM18" s="17">
        <f>IF(AM$3="","",IF(AM$3=Steps,MAX(IF(CallPut=1,UndTree!AM18-Strike,Strike-UndTree!AM18),0),MAX((2-AmEur)*IF(CallPut=1,UndTree!AM18-Strike,Strike-UndTree!AM18),(UpProb*AN18+DownProb*AN19)*StepDiscount)))</f>
        <v>20.976598935896973</v>
      </c>
      <c r="AN18" s="17">
        <f>IF(AN$3="","",IF(AN$3=Steps,MAX(IF(CallPut=1,UndTree!AN18-Strike,Strike-UndTree!AN18),0),MAX((2-AmEur)*IF(CallPut=1,UndTree!AN18-Strike,Strike-UndTree!AN18),(UpProb*AO18+DownProb*AO19)*StepDiscount)))</f>
        <v>23.641998307045764</v>
      </c>
      <c r="AO18" s="17">
        <f>IF(AO$3="","",IF(AO$3=Steps,MAX(IF(CallPut=1,UndTree!AO18-Strike,Strike-UndTree!AO18),0),MAX((2-AmEur)*IF(CallPut=1,UndTree!AO18-Strike,Strike-UndTree!AO18),(UpProb*AP18+DownProb*AP19)*StepDiscount)))</f>
        <v>26.510017830064463</v>
      </c>
      <c r="AP18" s="17">
        <f>IF(AP$3="","",IF(AP$3=Steps,MAX(IF(CallPut=1,UndTree!AP18-Strike,Strike-UndTree!AP18),0),MAX((2-AmEur)*IF(CallPut=1,UndTree!AP18-Strike,Strike-UndTree!AP18),(UpProb*AQ18+DownProb*AQ19)*StepDiscount)))</f>
        <v>29.578759738575709</v>
      </c>
      <c r="AQ18" s="17">
        <f>IF(AQ$3="","",IF(AQ$3=Steps,MAX(IF(CallPut=1,UndTree!AQ18-Strike,Strike-UndTree!AQ18),0),MAX((2-AmEur)*IF(CallPut=1,UndTree!AQ18-Strike,Strike-UndTree!AQ18),(UpProb*AR18+DownProb*AR19)*StepDiscount)))</f>
        <v>32.844961786116514</v>
      </c>
      <c r="AR18" s="17">
        <f>IF(AR$3="","",IF(AR$3=Steps,MAX(IF(CallPut=1,UndTree!AR18-Strike,Strike-UndTree!AR18),0),MAX((2-AmEur)*IF(CallPut=1,UndTree!AR18-Strike,Strike-UndTree!AR18),(UpProb*AS18+DownProb*AS19)*StepDiscount)))</f>
        <v>36.304297434049097</v>
      </c>
      <c r="AS18" s="17">
        <f>IF(AS$3="","",IF(AS$3=Steps,MAX(IF(CallPut=1,UndTree!AS18-Strike,Strike-UndTree!AS18),0),MAX((2-AmEur)*IF(CallPut=1,UndTree!AS18-Strike,Strike-UndTree!AS18),(UpProb*AT18+DownProb*AT19)*StepDiscount)))</f>
        <v>39.951723133743513</v>
      </c>
      <c r="AT18" s="17">
        <f>IF(AT$3="","",IF(AT$3=Steps,MAX(IF(CallPut=1,UndTree!AT18-Strike,Strike-UndTree!AT18),0),MAX((2-AmEur)*IF(CallPut=1,UndTree!AT18-Strike,Strike-UndTree!AT18),(UpProb*AU18+DownProb*AU19)*StepDiscount)))</f>
        <v>43.7818494436411</v>
      </c>
      <c r="AU18" s="17">
        <f>IF(AU$3="","",IF(AU$3=Steps,MAX(IF(CallPut=1,UndTree!AU18-Strike,Strike-UndTree!AU18),0),MAX((2-AmEur)*IF(CallPut=1,UndTree!AU18-Strike,Strike-UndTree!AU18),(UpProb*AV18+DownProb*AV19)*StepDiscount)))</f>
        <v>47.789310704829802</v>
      </c>
      <c r="AV18" s="17">
        <f>IF(AV$3="","",IF(AV$3=Steps,MAX(IF(CallPut=1,UndTree!AV18-Strike,Strike-UndTree!AV18),0),MAX((2-AmEur)*IF(CallPut=1,UndTree!AV18-Strike,Strike-UndTree!AV18),(UpProb*AW18+DownProb*AW19)*StepDiscount)))</f>
        <v>51.969108478819187</v>
      </c>
      <c r="AW18" s="17">
        <f>IF(AW$3="","",IF(AW$3=Steps,MAX(IF(CallPut=1,UndTree!AW18-Strike,Strike-UndTree!AW18),0),MAX((2-AmEur)*IF(CallPut=1,UndTree!AW18-Strike,Strike-UndTree!AW18),(UpProb*AX18+DownProb*AX19)*StepDiscount)))</f>
        <v>56.31690696711172</v>
      </c>
      <c r="AX18" s="17">
        <f>IF(AX$3="","",IF(AX$3=Steps,MAX(IF(CallPut=1,UndTree!AX18-Strike,Strike-UndTree!AX18),0),MAX((2-AmEur)*IF(CallPut=1,UndTree!AX18-Strike,Strike-UndTree!AX18),(UpProb*AY18+DownProb*AY19)*StepDiscount)))</f>
        <v>60.829263874927562</v>
      </c>
      <c r="AY18" s="17">
        <f>IF(AY$3="","",IF(AY$3=Steps,MAX(IF(CallPut=1,UndTree!AY18-Strike,Strike-UndTree!AY18),0),MAX((2-AmEur)*IF(CallPut=1,UndTree!AY18-Strike,Strike-UndTree!AY18),(UpProb*AZ18+DownProb*AZ19)*StepDiscount)))</f>
        <v>65.503787016615831</v>
      </c>
      <c r="AZ18" s="17">
        <f>IF(AZ$3="","",IF(AZ$3=Steps,MAX(IF(CallPut=1,UndTree!AZ18-Strike,Strike-UndTree!AZ18),0),MAX((2-AmEur)*IF(CallPut=1,UndTree!AZ18-Strike,Strike-UndTree!AZ18),(UpProb*BA18+DownProb*BA19)*StepDiscount)))</f>
        <v>70.339214510616856</v>
      </c>
      <c r="BA18" s="17">
        <f>IF(BA$3="","",IF(BA$3=Steps,MAX(IF(CallPut=1,UndTree!BA18-Strike,Strike-UndTree!BA18),0),MAX((2-AmEur)*IF(CallPut=1,UndTree!BA18-Strike,Strike-UndTree!BA18),(UpProb*BB18+DownProb*BB19)*StepDiscount)))</f>
        <v>75.335423690514475</v>
      </c>
      <c r="BB18" s="17">
        <f>IF(BB$3="","",IF(BB$3=Steps,MAX(IF(CallPut=1,UndTree!BB18-Strike,Strike-UndTree!BB18),0),MAX((2-AmEur)*IF(CallPut=1,UndTree!BB18-Strike,Strike-UndTree!BB18),(UpProb*BC18+DownProb*BC19)*StepDiscount)))</f>
        <v>80.493379931238422</v>
      </c>
      <c r="BC18" s="17">
        <f>IF(BC$3="","",IF(BC$3=Steps,MAX(IF(CallPut=1,UndTree!BC18-Strike,Strike-UndTree!BC18),0),MAX((2-AmEur)*IF(CallPut=1,UndTree!BC18-Strike,Strike-UndTree!BC18),(UpProb*BD18+DownProb*BD19)*StepDiscount)))</f>
        <v>85.815040732887525</v>
      </c>
      <c r="BD18" s="17">
        <f>IF(BD$3="","",IF(BD$3=Steps,MAX(IF(CallPut=1,UndTree!BD18-Strike,Strike-UndTree!BD18),0),MAX((2-AmEur)*IF(CallPut=1,UndTree!BD18-Strike,Strike-UndTree!BD18),(UpProb*BE18+DownProb*BE19)*StepDiscount)))</f>
        <v>91.303232230293403</v>
      </c>
      <c r="BE18" s="17">
        <f>IF(BE$3="","",IF(BE$3=Steps,MAX(IF(CallPut=1,UndTree!BE18-Strike,Strike-UndTree!BE18),0),MAX((2-AmEur)*IF(CallPut=1,UndTree!BE18-Strike,Strike-UndTree!BE18),(UpProb*BF18+DownProb*BF19)*StepDiscount)))</f>
        <v>96.9615148080903</v>
      </c>
      <c r="BF18" s="17">
        <f>IF(BF$3="","",IF(BF$3=Steps,MAX(IF(CallPut=1,UndTree!BF18-Strike,Strike-UndTree!BF18),0),MAX((2-AmEur)*IF(CallPut=1,UndTree!BF18-Strike,Strike-UndTree!BF18),(UpProb*BG18+DownProb*BG19)*StepDiscount)))</f>
        <v>102.79405207374577</v>
      </c>
      <c r="BG18" s="17">
        <f>IF(BG$3="","",IF(BG$3=Steps,MAX(IF(CallPut=1,UndTree!BG18-Strike,Strike-UndTree!BG18),0),MAX((2-AmEur)*IF(CallPut=1,UndTree!BG18-Strike,Strike-UndTree!BG18),(UpProb*BH18+DownProb*BH19)*StepDiscount)))</f>
        <v>108.80549372478265</v>
      </c>
      <c r="BH18" s="17">
        <f>IF(BH$3="","",IF(BH$3=Steps,MAX(IF(CallPut=1,UndTree!BH18-Strike,Strike-UndTree!BH18),0),MAX((2-AmEur)*IF(CallPut=1,UndTree!BH18-Strike,Strike-UndTree!BH18),(UpProb*BI18+DownProb*BI19)*StepDiscount)))</f>
        <v>115.00087861789153</v>
      </c>
      <c r="BI18" s="17">
        <f>IF(BI$3="","",IF(BI$3=Steps,MAX(IF(CallPut=1,UndTree!BI18-Strike,Strike-UndTree!BI18),0),MAX((2-AmEur)*IF(CallPut=1,UndTree!BI18-Strike,Strike-UndTree!BI18),(UpProb*BJ18+DownProb*BJ19)*StepDiscount)))</f>
        <v>121.38556034584865</v>
      </c>
      <c r="BJ18" s="17">
        <f>IF(BJ$3="","",IF(BJ$3=Steps,MAX(IF(CallPut=1,UndTree!BJ18-Strike,Strike-UndTree!BJ18),0),MAX((2-AmEur)*IF(CallPut=1,UndTree!BJ18-Strike,Strike-UndTree!BJ18),(UpProb*BK18+DownProb*BK19)*StepDiscount)))</f>
        <v>127.96515441498637</v>
      </c>
      <c r="BK18" s="17">
        <f>IF(BK$3="","",IF(BK$3=Steps,MAX(IF(CallPut=1,UndTree!BK18-Strike,Strike-UndTree!BK18),0),MAX((2-AmEur)*IF(CallPut=1,UndTree!BK18-Strike,Strike-UndTree!BK18),(UpProb*BL18+DownProb*BL19)*StepDiscount)))</f>
        <v>134.74550399313992</v>
      </c>
      <c r="BL18" s="17">
        <f>IF(BL$3="","",IF(BL$3=Steps,MAX(IF(CallPut=1,UndTree!BL18-Strike,Strike-UndTree!BL18),0),MAX((2-AmEur)*IF(CallPut=1,UndTree!BL18-Strike,Strike-UndTree!BL18),(UpProb*BM18+DownProb*BM19)*StepDiscount)))</f>
        <v>141.73266019569729</v>
      </c>
      <c r="BM18" s="17">
        <f>IF(BM$3="","",IF(BM$3=Steps,MAX(IF(CallPut=1,UndTree!BM18-Strike,Strike-UndTree!BM18),0),MAX((2-AmEur)*IF(CallPut=1,UndTree!BM18-Strike,Strike-UndTree!BM18),(UpProb*BN18+DownProb*BN19)*StepDiscount)))</f>
        <v>148.93287280809963</v>
      </c>
      <c r="BN18" s="17">
        <f>IF(BN$3="","",IF(BN$3=Steps,MAX(IF(CallPut=1,UndTree!BN18-Strike,Strike-UndTree!BN18),0),MAX((2-AmEur)*IF(CallPut=1,UndTree!BN18-Strike,Strike-UndTree!BN18),(UpProb*BO18+DownProb*BO19)*StepDiscount)))</f>
        <v>156.35258789649481</v>
      </c>
      <c r="BO18" s="17">
        <f>IF(BO$3="","",IF(BO$3=Steps,MAX(IF(CallPut=1,UndTree!BO18-Strike,Strike-UndTree!BO18),0),MAX((2-AmEur)*IF(CallPut=1,UndTree!BO18-Strike,Strike-UndTree!BO18),(UpProb*BP18+DownProb*BP19)*StepDiscount)))</f>
        <v>163.998449603821</v>
      </c>
      <c r="BP18" s="17">
        <f>IF(BP$3="","",IF(BP$3=Steps,MAX(IF(CallPut=1,UndTree!BP18-Strike,Strike-UndTree!BP18),0),MAX((2-AmEur)*IF(CallPut=1,UndTree!BP18-Strike,Strike-UndTree!BP18),(UpProb*BQ18+DownProb*BQ19)*StepDiscount)))</f>
        <v>171.87730429677472</v>
      </c>
      <c r="BQ18" s="17">
        <f>IF(BQ$3="","",IF(BQ$3=Steps,MAX(IF(CallPut=1,UndTree!BQ18-Strike,Strike-UndTree!BQ18),0),MAX((2-AmEur)*IF(CallPut=1,UndTree!BQ18-Strike,Strike-UndTree!BQ18),(UpProb*BR18+DownProb*BR19)*StepDiscount)))</f>
        <v>179.99620595249414</v>
      </c>
      <c r="BR18" s="17">
        <f>IF(BR$3="","",IF(BR$3=Steps,MAX(IF(CallPut=1,UndTree!BR18-Strike,Strike-UndTree!BR18),0),MAX((2-AmEur)*IF(CallPut=1,UndTree!BR18-Strike,Strike-UndTree!BR18),(UpProb*BS18+DownProb*BS19)*StepDiscount)))</f>
        <v>188.36242218804514</v>
      </c>
      <c r="BS18" s="17">
        <f>IF(BS$3="","",IF(BS$3=Steps,MAX(IF(CallPut=1,UndTree!BS18-Strike,Strike-UndTree!BS18),0),MAX((2-AmEur)*IF(CallPut=1,UndTree!BS18-Strike,Strike-UndTree!BS18),(UpProb*BT18+DownProb*BT19)*StepDiscount)))</f>
        <v>196.98344065236466</v>
      </c>
      <c r="BT18" s="17">
        <f>IF(BT$3="","",IF(BT$3=Steps,MAX(IF(CallPut=1,UndTree!BT18-Strike,Strike-UndTree!BT18),0),MAX((2-AmEur)*IF(CallPut=1,UndTree!BT18-Strike,Strike-UndTree!BT18),(UpProb*BU18+DownProb*BU19)*StepDiscount)))</f>
        <v>205.86697566895313</v>
      </c>
      <c r="BU18" s="17">
        <f>IF(BU$3="","",IF(BU$3=Steps,MAX(IF(CallPut=1,UndTree!BU18-Strike,Strike-UndTree!BU18),0),MAX((2-AmEur)*IF(CallPut=1,UndTree!BU18-Strike,Strike-UndTree!BU18),(UpProb*BV18+DownProb*BV19)*StepDiscount)))</f>
        <v>215.02097509451468</v>
      </c>
      <c r="BV18" s="17">
        <f>IF(BV$3="","",IF(BV$3=Steps,MAX(IF(CallPut=1,UndTree!BV18-Strike,Strike-UndTree!BV18),0),MAX((2-AmEur)*IF(CallPut=1,UndTree!BV18-Strike,Strike-UndTree!BV18),(UpProb*BW18+DownProb*BW19)*StepDiscount)))</f>
        <v>224.45362738817778</v>
      </c>
      <c r="BW18" s="17">
        <f>IF(BW$3="","",IF(BW$3=Steps,MAX(IF(CallPut=1,UndTree!BW18-Strike,Strike-UndTree!BW18),0),MAX((2-AmEur)*IF(CallPut=1,UndTree!BW18-Strike,Strike-UndTree!BW18),(UpProb*BX18+DownProb*BX19)*StepDiscount)))</f>
        <v>234.17336889511904</v>
      </c>
      <c r="BX18" s="17">
        <f>IF(BX$3="","",IF(BX$3=Steps,MAX(IF(CallPut=1,UndTree!BX18-Strike,Strike-UndTree!BX18),0),MAX((2-AmEur)*IF(CallPut=1,UndTree!BX18-Strike,Strike-UndTree!BX18),(UpProb*BY18+DownProb*BY19)*StepDiscount)))</f>
        <v>244.18889135070881</v>
      </c>
      <c r="BY18" s="17">
        <f>IF(BY$3="","",IF(BY$3=Steps,MAX(IF(CallPut=1,UndTree!BY18-Strike,Strike-UndTree!BY18),0),MAX((2-AmEur)*IF(CallPut=1,UndTree!BY18-Strike,Strike-UndTree!BY18),(UpProb*BZ18+DownProb*BZ19)*StepDiscount)))</f>
        <v>254.50914961182613</v>
      </c>
      <c r="BZ18" s="17">
        <f>IF(BZ$3="","",IF(BZ$3=Steps,MAX(IF(CallPut=1,UndTree!BZ18-Strike,Strike-UndTree!BZ18),0),MAX((2-AmEur)*IF(CallPut=1,UndTree!BZ18-Strike,Strike-UndTree!BZ18),(UpProb*CA18+DownProb*CA19)*StepDiscount)))</f>
        <v>265.1433696222204</v>
      </c>
      <c r="CA18" s="17">
        <f>IF(CA$3="","",IF(CA$3=Steps,MAX(IF(CallPut=1,UndTree!CA18-Strike,Strike-UndTree!CA18),0),MAX((2-AmEur)*IF(CallPut=1,UndTree!CA18-Strike,Strike-UndTree!CA18),(UpProb*CB18+DownProb*CB19)*StepDiscount)))</f>
        <v>276.10105661900542</v>
      </c>
      <c r="CB18" s="17">
        <f>IF(CB$3="","",IF(CB$3=Steps,MAX(IF(CallPut=1,UndTree!CB18-Strike,Strike-UndTree!CB18),0),MAX((2-AmEur)*IF(CallPut=1,UndTree!CB18-Strike,Strike-UndTree!CB18),(UpProb*CC18+DownProb*CC19)*StepDiscount)))</f>
        <v>287.39200358758478</v>
      </c>
      <c r="CC18" s="17">
        <f>IF(CC$3="","",IF(CC$3=Steps,MAX(IF(CallPut=1,UndTree!CC18-Strike,Strike-UndTree!CC18),0),MAX((2-AmEur)*IF(CallPut=1,UndTree!CC18-Strike,Strike-UndTree!CC18),(UpProb*CD18+DownProb*CD19)*StepDiscount)))</f>
        <v>299.02629997252961</v>
      </c>
      <c r="CD18" s="17">
        <f>IF(CD$3="","",IF(CD$3=Steps,MAX(IF(CallPut=1,UndTree!CD18-Strike,Strike-UndTree!CD18),0),MAX((2-AmEur)*IF(CallPut=1,UndTree!CD18-Strike,Strike-UndTree!CD18),(UpProb*CE18+DownProb*CE19)*StepDiscount)))</f>
        <v>311.01434065215778</v>
      </c>
      <c r="CE18" s="17">
        <f>IF(CE$3="","",IF(CE$3=Steps,MAX(IF(CallPut=1,UndTree!CE18-Strike,Strike-UndTree!CE18),0),MAX((2-AmEur)*IF(CallPut=1,UndTree!CE18-Strike,Strike-UndTree!CE18),(UpProb*CF18+DownProb*CF19)*StepDiscount)))</f>
        <v>323.36683518479572</v>
      </c>
      <c r="CF18" s="17">
        <f>IF(CF$3="","",IF(CF$3=Steps,MAX(IF(CallPut=1,UndTree!CF18-Strike,Strike-UndTree!CF18),0),MAX((2-AmEur)*IF(CallPut=1,UndTree!CF18-Strike,Strike-UndTree!CF18),(UpProb*CG18+DownProb*CG19)*StepDiscount)))</f>
        <v>336.09481733494863</v>
      </c>
      <c r="CG18" s="17">
        <f>IF(CG$3="","",IF(CG$3=Steps,MAX(IF(CallPut=1,UndTree!CG18-Strike,Strike-UndTree!CG18),0),MAX((2-AmEur)*IF(CallPut=1,UndTree!CG18-Strike,Strike-UndTree!CG18),(UpProb*CH18+DownProb*CH19)*StepDiscount)))</f>
        <v>349.2096548878518</v>
      </c>
      <c r="CH18" s="17">
        <f>IF(CH$3="","",IF(CH$3=Steps,MAX(IF(CallPut=1,UndTree!CH18-Strike,Strike-UndTree!CH18),0),MAX((2-AmEur)*IF(CallPut=1,UndTree!CH18-Strike,Strike-UndTree!CH18),(UpProb*CI18+DownProb*CI19)*StepDiscount)))</f>
        <v>362.72305976113313</v>
      </c>
      <c r="CI18" s="17">
        <f>IF(CI$3="","",IF(CI$3=Steps,MAX(IF(CallPut=1,UndTree!CI18-Strike,Strike-UndTree!CI18),0),MAX((2-AmEur)*IF(CallPut=1,UndTree!CI18-Strike,Strike-UndTree!CI18),(UpProb*CJ18+DownProb*CJ19)*StepDiscount)))</f>
        <v>376.64709842258105</v>
      </c>
      <c r="CJ18" s="17">
        <f>IF(CJ$3="","",IF(CJ$3=Steps,MAX(IF(CallPut=1,UndTree!CJ18-Strike,Strike-UndTree!CJ18),0),MAX((2-AmEur)*IF(CallPut=1,UndTree!CJ18-Strike,Strike-UndTree!CJ18),(UpProb*CK18+DownProb*CK19)*StepDiscount)))</f>
        <v>390.99420262328505</v>
      </c>
      <c r="CK18" s="17">
        <f>IF(CK$3="","",IF(CK$3=Steps,MAX(IF(CallPut=1,UndTree!CK18-Strike,Strike-UndTree!CK18),0),MAX((2-AmEur)*IF(CallPut=1,UndTree!CK18-Strike,Strike-UndTree!CK18),(UpProb*CL18+DownProb*CL19)*StepDiscount)))</f>
        <v>405.77718045569668</v>
      </c>
      <c r="CL18" s="17">
        <f>IF(CL$3="","",IF(CL$3=Steps,MAX(IF(CallPut=1,UndTree!CL18-Strike,Strike-UndTree!CL18),0),MAX((2-AmEur)*IF(CallPut=1,UndTree!CL18-Strike,Strike-UndTree!CL18),(UpProb*CM18+DownProb*CM19)*StepDiscount)))</f>
        <v>421.00922774644681</v>
      </c>
      <c r="CM18" s="17">
        <f>IF(CM$3="","",IF(CM$3=Steps,MAX(IF(CallPut=1,UndTree!CM18-Strike,Strike-UndTree!CM18),0),MAX((2-AmEur)*IF(CallPut=1,UndTree!CM18-Strike,Strike-UndTree!CM18),(UpProb*CN18+DownProb*CN19)*StepDiscount)))</f>
        <v>436.70393979405492</v>
      </c>
      <c r="CN18" s="17">
        <f>IF(CN$3="","",IF(CN$3=Steps,MAX(IF(CallPut=1,UndTree!CN18-Strike,Strike-UndTree!CN18),0),MAX((2-AmEur)*IF(CallPut=1,UndTree!CN18-Strike,Strike-UndTree!CN18),(UpProb*CO18+DownProb*CO19)*StepDiscount)))</f>
        <v>452.87532346196821</v>
      </c>
      <c r="CO18" s="17">
        <f>IF(CO$3="","",IF(CO$3=Steps,MAX(IF(CallPut=1,UndTree!CO18-Strike,Strike-UndTree!CO18),0),MAX((2-AmEur)*IF(CallPut=1,UndTree!CO18-Strike,Strike-UndTree!CO18),(UpProb*CP18+DownProb*CP19)*StepDiscount)))</f>
        <v>469.53780963768764</v>
      </c>
      <c r="CP18" s="17">
        <f>IF(CP$3="","",IF(CP$3=Steps,MAX(IF(CallPut=1,UndTree!CP18-Strike,Strike-UndTree!CP18),0),MAX((2-AmEur)*IF(CallPut=1,UndTree!CP18-Strike,Strike-UndTree!CP18),(UpProb*CQ18+DownProb*CQ19)*StepDiscount)))</f>
        <v>486.70626606906023</v>
      </c>
      <c r="CQ18" s="17">
        <f>IF(CQ$3="","",IF(CQ$3=Steps,MAX(IF(CallPut=1,UndTree!CQ18-Strike,Strike-UndTree!CQ18),0),MAX((2-AmEur)*IF(CallPut=1,UndTree!CQ18-Strike,Strike-UndTree!CQ18),(UpProb*CR18+DownProb*CR19)*StepDiscount)))</f>
        <v>504.39601058915531</v>
      </c>
      <c r="CR18" s="17">
        <f>IF(CR$3="","",IF(CR$3=Steps,MAX(IF(CallPut=1,UndTree!CR18-Strike,Strike-UndTree!CR18),0),MAX((2-AmEur)*IF(CallPut=1,UndTree!CR18-Strike,Strike-UndTree!CR18),(UpProb*CS18+DownProb*CS19)*StepDiscount)))</f>
        <v>522.62282474149015</v>
      </c>
      <c r="CS18" s="17">
        <f>IF(CS$3="","",IF(CS$3=Steps,MAX(IF(CallPut=1,UndTree!CS18-Strike,Strike-UndTree!CS18),0),MAX((2-AmEur)*IF(CallPut=1,UndTree!CS18-Strike,Strike-UndTree!CS18),(UpProb*CT18+DownProb*CT19)*StepDiscount)))</f>
        <v>541.40296781772747</v>
      </c>
      <c r="CT18" s="17">
        <f>IF(CT$3="","",IF(CT$3=Steps,MAX(IF(CallPut=1,UndTree!CT18-Strike,Strike-UndTree!CT18),0),MAX((2-AmEur)*IF(CallPut=1,UndTree!CT18-Strike,Strike-UndTree!CT18),(UpProb*CU18+DownProb*CU19)*StepDiscount)))</f>
        <v>560.75319132033758</v>
      </c>
      <c r="CU18" s="17">
        <f>IF(CU$3="","",IF(CU$3=Steps,MAX(IF(CallPut=1,UndTree!CU18-Strike,Strike-UndTree!CU18),0),MAX((2-AmEur)*IF(CallPut=1,UndTree!CU18-Strike,Strike-UndTree!CU18),(UpProb*CV18+DownProb*CV19)*StepDiscount)))</f>
        <v>580.69075386309146</v>
      </c>
      <c r="CV18" s="17">
        <f>IF(CV$3="","",IF(CV$3=Steps,MAX(IF(CallPut=1,UndTree!CV18-Strike,Strike-UndTree!CV18),0),MAX((2-AmEur)*IF(CallPut=1,UndTree!CV18-Strike,Strike-UndTree!CV18),(UpProb*CW18+DownProb*CW19)*StepDiscount)))</f>
        <v>601.23343652263179</v>
      </c>
      <c r="CW18" s="17">
        <f>IF(CW$3="","",IF(CW$3=Steps,MAX(IF(CallPut=1,UndTree!CW18-Strike,Strike-UndTree!CW18),0),MAX((2-AmEur)*IF(CallPut=1,UndTree!CW18-Strike,Strike-UndTree!CW18),(UpProb*CX18+DownProb*CX19)*StepDiscount)))</f>
        <v>622.39955865476918</v>
      </c>
      <c r="CX18" s="17">
        <f>IF(CX$3="","",IF(CX$3=Steps,MAX(IF(CallPut=1,UndTree!CX18-Strike,Strike-UndTree!CX18),0),MAX((2-AmEur)*IF(CallPut=1,UndTree!CX18-Strike,Strike-UndTree!CX18),(UpProb*CY18+DownProb*CY19)*StepDiscount)))</f>
        <v>644.2079941895704</v>
      </c>
      <c r="CY18" s="17">
        <f>IF(CY$3="","",IF(CY$3=Steps,MAX(IF(CallPut=1,UndTree!CY18-Strike,Strike-UndTree!CY18),0),MAX((2-AmEur)*IF(CallPut=1,UndTree!CY18-Strike,Strike-UndTree!CY18),(UpProb*CZ18+DownProb*CZ19)*StepDiscount)))</f>
        <v>666.67818841977919</v>
      </c>
      <c r="CZ18" s="17">
        <f>IF(CZ$3="","",IF(CZ$3=Steps,MAX(IF(CallPut=1,UndTree!CZ18-Strike,Strike-UndTree!CZ18),0),MAX((2-AmEur)*IF(CallPut=1,UndTree!CZ18-Strike,Strike-UndTree!CZ18),(UpProb*DA18+DownProb*DA19)*StepDiscount)))</f>
        <v>689.83017529754238</v>
      </c>
      <c r="DA18" s="17">
        <f>IF(DA$3="","",IF(DA$3=Steps,MAX(IF(CallPut=1,UndTree!DA18-Strike,Strike-UndTree!DA18),0),MAX((2-AmEur)*IF(CallPut=1,UndTree!DA18-Strike,Strike-UndTree!DA18),(UpProb*DB18+DownProb*DB19)*StepDiscount)))</f>
        <v>713.68459525446394</v>
      </c>
      <c r="DB18" s="17">
        <f>IF(DB$3="","",IF(DB$3=Steps,MAX(IF(CallPut=1,UndTree!DB18-Strike,Strike-UndTree!DB18),0),MAX((2-AmEur)*IF(CallPut=1,UndTree!DB18-Strike,Strike-UndTree!DB18),(UpProb*DC18+DownProb*DC19)*StepDiscount)))</f>
        <v>738.26271355910001</v>
      </c>
    </row>
    <row r="19" spans="1:106" x14ac:dyDescent="0.2">
      <c r="A19">
        <f>ExDivTree!A19</f>
        <v>2.9752541402731226E+17</v>
      </c>
      <c r="B19" s="71">
        <f>ExDivTree!B19</f>
        <v>1.1735308371792093E-13</v>
      </c>
      <c r="C19" s="71">
        <f>ExDivTree!C19</f>
        <v>1.4160150951216053E-13</v>
      </c>
      <c r="D19" s="177">
        <f>ExDivTree!D19</f>
        <v>15</v>
      </c>
      <c r="T19" s="17">
        <f>IF(T$3="","",IF(T$3=Steps,MAX(IF(CallPut=1,UndTree!T19-Strike,Strike-UndTree!T19),0),MAX((2-AmEur)*IF(CallPut=1,UndTree!T19-Strike,Strike-UndTree!T19),(UpProb*U19+DownProb*U20)*StepDiscount)))</f>
        <v>0.44065802020088041</v>
      </c>
      <c r="U19" s="17">
        <f>IF(U$3="","",IF(U$3=Steps,MAX(IF(CallPut=1,UndTree!U19-Strike,Strike-UndTree!U19),0),MAX((2-AmEur)*IF(CallPut=1,UndTree!U19-Strike,Strike-UndTree!U19),(UpProb*V19+DownProb*V20)*StepDiscount)))</f>
        <v>0.55996297882406953</v>
      </c>
      <c r="V19" s="17">
        <f>IF(V$3="","",IF(V$3=Steps,MAX(IF(CallPut=1,UndTree!V19-Strike,Strike-UndTree!V19),0),MAX((2-AmEur)*IF(CallPut=1,UndTree!V19-Strike,Strike-UndTree!V19),(UpProb*W19+DownProb*W20)*StepDiscount)))</f>
        <v>0.70783561838207421</v>
      </c>
      <c r="W19" s="17">
        <f>IF(W$3="","",IF(W$3=Steps,MAX(IF(CallPut=1,UndTree!W19-Strike,Strike-UndTree!W19),0),MAX((2-AmEur)*IF(CallPut=1,UndTree!W19-Strike,Strike-UndTree!W19),(UpProb*X19+DownProb*X20)*StepDiscount)))</f>
        <v>0.88999485684530144</v>
      </c>
      <c r="X19" s="17">
        <f>IF(X$3="","",IF(X$3=Steps,MAX(IF(CallPut=1,UndTree!X19-Strike,Strike-UndTree!X19),0),MAX((2-AmEur)*IF(CallPut=1,UndTree!X19-Strike,Strike-UndTree!X19),(UpProb*Y19+DownProb*Y20)*StepDiscount)))</f>
        <v>1.112992117734632</v>
      </c>
      <c r="Y19" s="17">
        <f>IF(Y$3="","",IF(Y$3=Steps,MAX(IF(CallPut=1,UndTree!Y19-Strike,Strike-UndTree!Y19),0),MAX((2-AmEur)*IF(CallPut=1,UndTree!Y19-Strike,Strike-UndTree!Y19),(UpProb*Z19+DownProb*Z20)*StepDiscount)))</f>
        <v>1.3842513389032276</v>
      </c>
      <c r="Z19" s="17">
        <f>IF(Z$3="","",IF(Z$3=Steps,MAX(IF(CallPut=1,UndTree!Z19-Strike,Strike-UndTree!Z19),0),MAX((2-AmEur)*IF(CallPut=1,UndTree!Z19-Strike,Strike-UndTree!Z19),(UpProb*AA19+DownProb*AA20)*StepDiscount)))</f>
        <v>1.7120891475458437</v>
      </c>
      <c r="AA19" s="17">
        <f>IF(AA$3="","",IF(AA$3=Steps,MAX(IF(CallPut=1,UndTree!AA19-Strike,Strike-UndTree!AA19),0),MAX((2-AmEur)*IF(CallPut=1,UndTree!AA19-Strike,Strike-UndTree!AA19),(UpProb*AB19+DownProb*AB20)*StepDiscount)))</f>
        <v>2.1057095807919626</v>
      </c>
      <c r="AB19" s="17">
        <f>IF(AB$3="","",IF(AB$3=Steps,MAX(IF(CallPut=1,UndTree!AB19-Strike,Strike-UndTree!AB19),0),MAX((2-AmEur)*IF(CallPut=1,UndTree!AB19-Strike,Strike-UndTree!AB19),(UpProb*AC19+DownProb*AC20)*StepDiscount)))</f>
        <v>2.5751678356590646</v>
      </c>
      <c r="AC19" s="17">
        <f>IF(AC$3="","",IF(AC$3=Steps,MAX(IF(CallPut=1,UndTree!AC19-Strike,Strike-UndTree!AC19),0),MAX((2-AmEur)*IF(CallPut=1,UndTree!AC19-Strike,Strike-UndTree!AC19),(UpProb*AD19+DownProb*AD20)*StepDiscount)))</f>
        <v>3.1312980773897179</v>
      </c>
      <c r="AD19" s="17">
        <f>IF(AD$3="","",IF(AD$3=Steps,MAX(IF(CallPut=1,UndTree!AD19-Strike,Strike-UndTree!AD19),0),MAX((2-AmEur)*IF(CallPut=1,UndTree!AD19-Strike,Strike-UndTree!AD19),(UpProb*AE19+DownProb*AE20)*StepDiscount)))</f>
        <v>3.7856014027898075</v>
      </c>
      <c r="AE19" s="17">
        <f>IF(AE$3="","",IF(AE$3=Steps,MAX(IF(CallPut=1,UndTree!AE19-Strike,Strike-UndTree!AE19),0),MAX((2-AmEur)*IF(CallPut=1,UndTree!AE19-Strike,Strike-UndTree!AE19),(UpProb*AF19+DownProb*AF20)*StepDiscount)))</f>
        <v>4.5500916983932083</v>
      </c>
      <c r="AF19" s="17">
        <f>IF(AF$3="","",IF(AF$3=Steps,MAX(IF(CallPut=1,UndTree!AF19-Strike,Strike-UndTree!AF19),0),MAX((2-AmEur)*IF(CallPut=1,UndTree!AF19-Strike,Strike-UndTree!AF19),(UpProb*AG19+DownProb*AG20)*StepDiscount)))</f>
        <v>5.4370993615261254</v>
      </c>
      <c r="AG19" s="17">
        <f>IF(AG$3="","",IF(AG$3=Steps,MAX(IF(CallPut=1,UndTree!AG19-Strike,Strike-UndTree!AG19),0),MAX((2-AmEur)*IF(CallPut=1,UndTree!AG19-Strike,Strike-UndTree!AG19),(UpProb*AH19+DownProb*AH20)*StepDiscount)))</f>
        <v>6.4590356159884061</v>
      </c>
      <c r="AH19" s="17">
        <f>IF(AH$3="","",IF(AH$3=Steps,MAX(IF(CallPut=1,UndTree!AH19-Strike,Strike-UndTree!AH19),0),MAX((2-AmEur)*IF(CallPut=1,UndTree!AH19-Strike,Strike-UndTree!AH19),(UpProb*AI19+DownProb*AI20)*StepDiscount)))</f>
        <v>7.6281233319176991</v>
      </c>
      <c r="AI19" s="17">
        <f>IF(AI$3="","",IF(AI$3=Steps,MAX(IF(CallPut=1,UndTree!AI19-Strike,Strike-UndTree!AI19),0),MAX((2-AmEur)*IF(CallPut=1,UndTree!AI19-Strike,Strike-UndTree!AI19),(UpProb*AJ19+DownProb*AJ20)*StepDiscount)))</f>
        <v>8.9561036518415822</v>
      </c>
      <c r="AJ19" s="17">
        <f>IF(AJ$3="","",IF(AJ$3=Steps,MAX(IF(CallPut=1,UndTree!AJ19-Strike,Strike-UndTree!AJ19),0),MAX((2-AmEur)*IF(CallPut=1,UndTree!AJ19-Strike,Strike-UndTree!AJ19),(UpProb*AK19+DownProb*AK20)*StepDiscount)))</f>
        <v>10.453931055653976</v>
      </c>
      <c r="AK19" s="17">
        <f>IF(AK$3="","",IF(AK$3=Steps,MAX(IF(CallPut=1,UndTree!AK19-Strike,Strike-UndTree!AK19),0),MAX((2-AmEur)*IF(CallPut=1,UndTree!AK19-Strike,Strike-UndTree!AK19),(UpProb*AL19+DownProb*AL20)*StepDiscount)))</f>
        <v>12.131472426311213</v>
      </c>
      <c r="AL19" s="17">
        <f>IF(AL$3="","",IF(AL$3=Steps,MAX(IF(CallPut=1,UndTree!AL19-Strike,Strike-UndTree!AL19),0),MAX((2-AmEur)*IF(CallPut=1,UndTree!AL19-Strike,Strike-UndTree!AL19),(UpProb*AM19+DownProb*AM20)*StepDiscount)))</f>
        <v>13.997227827812107</v>
      </c>
      <c r="AM19" s="17">
        <f>IF(AM$3="","",IF(AM$3=Steps,MAX(IF(CallPut=1,UndTree!AM19-Strike,Strike-UndTree!AM19),0),MAX((2-AmEur)*IF(CallPut=1,UndTree!AM19-Strike,Strike-UndTree!AM19),(UpProb*AN19+DownProb*AN20)*StepDiscount)))</f>
        <v>16.058091701297652</v>
      </c>
      <c r="AN19" s="17">
        <f>IF(AN$3="","",IF(AN$3=Steps,MAX(IF(CallPut=1,UndTree!AN19-Strike,Strike-UndTree!AN19),0),MAX((2-AmEur)*IF(CallPut=1,UndTree!AN19-Strike,Strike-UndTree!AN19),(UpProb*AO19+DownProb*AO20)*StepDiscount)))</f>
        <v>18.319172698989004</v>
      </c>
      <c r="AO19" s="17">
        <f>IF(AO$3="","",IF(AO$3=Steps,MAX(IF(CallPut=1,UndTree!AO19-Strike,Strike-UndTree!AO19),0),MAX((2-AmEur)*IF(CallPut=1,UndTree!AO19-Strike,Strike-UndTree!AO19),(UpProb*AP19+DownProb*AP20)*StepDiscount)))</f>
        <v>20.783688191471629</v>
      </c>
      <c r="AP19" s="17">
        <f>IF(AP$3="","",IF(AP$3=Steps,MAX(IF(CallPut=1,UndTree!AP19-Strike,Strike-UndTree!AP19),0),MAX((2-AmEur)*IF(CallPut=1,UndTree!AP19-Strike,Strike-UndTree!AP19),(UpProb*AQ19+DownProb*AQ20)*StepDiscount)))</f>
        <v>23.452945545303518</v>
      </c>
      <c r="AQ19" s="17">
        <f>IF(AQ$3="","",IF(AQ$3=Steps,MAX(IF(CallPut=1,UndTree!AQ19-Strike,Strike-UndTree!AQ19),0),MAX((2-AmEur)*IF(CallPut=1,UndTree!AQ19-Strike,Strike-UndTree!AQ19),(UpProb*AR19+DownProb*AR20)*StepDiscount)))</f>
        <v>26.326416723458493</v>
      </c>
      <c r="AR19" s="17">
        <f>IF(AR$3="","",IF(AR$3=Steps,MAX(IF(CallPut=1,UndTree!AR19-Strike,Strike-UndTree!AR19),0),MAX((2-AmEur)*IF(CallPut=1,UndTree!AR19-Strike,Strike-UndTree!AR19),(UpProb*AS19+DownProb*AS20)*StepDiscount)))</f>
        <v>29.401905985255002</v>
      </c>
      <c r="AS19" s="17">
        <f>IF(AS$3="","",IF(AS$3=Steps,MAX(IF(CallPut=1,UndTree!AS19-Strike,Strike-UndTree!AS19),0),MAX((2-AmEur)*IF(CallPut=1,UndTree!AS19-Strike,Strike-UndTree!AS19),(UpProb*AT19+DownProb*AT20)*StepDiscount)))</f>
        <v>32.675803046521722</v>
      </c>
      <c r="AT19" s="17">
        <f>IF(AT$3="","",IF(AT$3=Steps,MAX(IF(CallPut=1,UndTree!AT19-Strike,Strike-UndTree!AT19),0),MAX((2-AmEur)*IF(CallPut=1,UndTree!AT19-Strike,Strike-UndTree!AT19),(UpProb*AU19+DownProb*AU20)*StepDiscount)))</f>
        <v>36.143406766756598</v>
      </c>
      <c r="AU19" s="17">
        <f>IF(AU$3="","",IF(AU$3=Steps,MAX(IF(CallPut=1,UndTree!AU19-Strike,Strike-UndTree!AU19),0),MAX((2-AmEur)*IF(CallPut=1,UndTree!AU19-Strike,Strike-UndTree!AU19),(UpProb*AV19+DownProb*AV20)*StepDiscount)))</f>
        <v>39.799298107037124</v>
      </c>
      <c r="AV19" s="17">
        <f>IF(AV$3="","",IF(AV$3=Steps,MAX(IF(CallPut=1,UndTree!AV19-Strike,Strike-UndTree!AV19),0),MAX((2-AmEur)*IF(CallPut=1,UndTree!AV19-Strike,Strike-UndTree!AV19),(UpProb*AW19+DownProb*AW20)*StepDiscount)))</f>
        <v>43.637736573027041</v>
      </c>
      <c r="AW19" s="17">
        <f>IF(AW$3="","",IF(AW$3=Steps,MAX(IF(CallPut=1,UndTree!AW19-Strike,Strike-UndTree!AW19),0),MAX((2-AmEur)*IF(CallPut=1,UndTree!AW19-Strike,Strike-UndTree!AW19),(UpProb*AX19+DownProb*AX20)*StepDiscount)))</f>
        <v>47.653052288656752</v>
      </c>
      <c r="AX19" s="17">
        <f>IF(AX$3="","",IF(AX$3=Steps,MAX(IF(CallPut=1,UndTree!AX19-Strike,Strike-UndTree!AX19),0),MAX((2-AmEur)*IF(CallPut=1,UndTree!AX19-Strike,Strike-UndTree!AX19),(UpProb*AY19+DownProb*AY20)*StepDiscount)))</f>
        <v>51.840006626460429</v>
      </c>
      <c r="AY19" s="17">
        <f>IF(AY$3="","",IF(AY$3=Steps,MAX(IF(CallPut=1,UndTree!AY19-Strike,Strike-UndTree!AY19),0),MAX((2-AmEur)*IF(CallPut=1,UndTree!AY19-Strike,Strike-UndTree!AY19),(UpProb*AZ19+DownProb*AZ20)*StepDiscount)))</f>
        <v>56.194097967966613</v>
      </c>
      <c r="AZ19" s="17">
        <f>IF(AZ$3="","",IF(AZ$3=Steps,MAX(IF(CallPut=1,UndTree!AZ19-Strike,Strike-UndTree!AZ19),0),MAX((2-AmEur)*IF(CallPut=1,UndTree!AZ19-Strike,Strike-UndTree!AZ19),(UpProb*BA19+DownProb*BA20)*StepDiscount)))</f>
        <v>60.711795290973456</v>
      </c>
      <c r="BA19" s="17">
        <f>IF(BA$3="","",IF(BA$3=Steps,MAX(IF(CallPut=1,UndTree!BA19-Strike,Strike-UndTree!BA19),0),MAX((2-AmEur)*IF(CallPut=1,UndTree!BA19-Strike,Strike-UndTree!BA19),(UpProb*BB19+DownProb*BB20)*StepDiscount)))</f>
        <v>65.390690111940103</v>
      </c>
      <c r="BB19" s="17">
        <f>IF(BB$3="","",IF(BB$3=Steps,MAX(IF(CallPut=1,UndTree!BB19-Strike,Strike-UndTree!BB19),0),MAX((2-AmEur)*IF(CallPut=1,UndTree!BB19-Strike,Strike-UndTree!BB19),(UpProb*BC19+DownProb*BC20)*StepDiscount)))</f>
        <v>70.229565810647799</v>
      </c>
      <c r="BC19" s="17">
        <f>IF(BC$3="","",IF(BC$3=Steps,MAX(IF(CallPut=1,UndTree!BC19-Strike,Strike-UndTree!BC19),0),MAX((2-AmEur)*IF(CallPut=1,UndTree!BC19-Strike,Strike-UndTree!BC19),(UpProb*BD19+DownProb*BD20)*StepDiscount)))</f>
        <v>75.228391382577485</v>
      </c>
      <c r="BD19" s="17">
        <f>IF(BD$3="","",IF(BD$3=Steps,MAX(IF(CallPut=1,UndTree!BD19-Strike,Strike-UndTree!BD19),0),MAX((2-AmEur)*IF(CallPut=1,UndTree!BD19-Strike,Strike-UndTree!BD19),(UpProb*BE19+DownProb*BE20)*StepDiscount)))</f>
        <v>80.388253142315946</v>
      </c>
      <c r="BE19" s="17">
        <f>IF(BE$3="","",IF(BE$3=Steps,MAX(IF(CallPut=1,UndTree!BE19-Strike,Strike-UndTree!BE19),0),MAX((2-AmEur)*IF(CallPut=1,UndTree!BE19-Strike,Strike-UndTree!BE19),(UpProb*BF19+DownProb*BF20)*StepDiscount)))</f>
        <v>85.711242055179184</v>
      </c>
      <c r="BF19" s="17">
        <f>IF(BF$3="","",IF(BF$3=Steps,MAX(IF(CallPut=1,UndTree!BF19-Strike,Strike-UndTree!BF19),0),MAX((2-AmEur)*IF(CallPut=1,UndTree!BF19-Strike,Strike-UndTree!BF19),(UpProb*BG19+DownProb*BG20)*StepDiscount)))</f>
        <v>91.200315834636825</v>
      </c>
      <c r="BG19" s="17">
        <f>IF(BG$3="","",IF(BG$3=Steps,MAX(IF(CallPut=1,UndTree!BG19-Strike,Strike-UndTree!BG19),0),MAX((2-AmEur)*IF(CallPut=1,UndTree!BG19-Strike,Strike-UndTree!BG19),(UpProb*BH19+DownProb*BH20)*StepDiscount)))</f>
        <v>96.859153809010024</v>
      </c>
      <c r="BH19" s="17">
        <f>IF(BH$3="","",IF(BH$3=Steps,MAX(IF(CallPut=1,UndTree!BH19-Strike,Strike-UndTree!BH19),0),MAX((2-AmEur)*IF(CallPut=1,UndTree!BH19-Strike,Strike-UndTree!BH19),(UpProb*BI19+DownProb*BI20)*StepDiscount)))</f>
        <v>102.69201935580072</v>
      </c>
      <c r="BI19" s="17">
        <f>IF(BI$3="","",IF(BI$3=Steps,MAX(IF(CallPut=1,UndTree!BI19-Strike,Strike-UndTree!BI19),0),MAX((2-AmEur)*IF(CallPut=1,UndTree!BI19-Strike,Strike-UndTree!BI19),(UpProb*BJ19+DownProb*BJ20)*StepDiscount)))</f>
        <v>108.70364024106259</v>
      </c>
      <c r="BJ19" s="17">
        <f>IF(BJ$3="","",IF(BJ$3=Steps,MAX(IF(CallPut=1,UndTree!BJ19-Strike,Strike-UndTree!BJ19),0),MAX((2-AmEur)*IF(CallPut=1,UndTree!BJ19-Strike,Strike-UndTree!BJ19),(UpProb*BK19+DownProb*BK20)*StepDiscount)))</f>
        <v>114.89911240240822</v>
      </c>
      <c r="BK19" s="17">
        <f>IF(BK$3="","",IF(BK$3=Steps,MAX(IF(CallPut=1,UndTree!BK19-Strike,Strike-UndTree!BK19),0),MAX((2-AmEur)*IF(CallPut=1,UndTree!BK19-Strike,Strike-UndTree!BK19),(UpProb*BL19+DownProb*BL20)*StepDiscount)))</f>
        <v>121.2838284015487</v>
      </c>
      <c r="BL19" s="17">
        <f>IF(BL$3="","",IF(BL$3=Steps,MAX(IF(CallPut=1,UndTree!BL19-Strike,Strike-UndTree!BL19),0),MAX((2-AmEur)*IF(CallPut=1,UndTree!BL19-Strike,Strike-UndTree!BL19),(UpProb*BM19+DownProb*BM20)*StepDiscount)))</f>
        <v>127.8634285207149</v>
      </c>
      <c r="BM19" s="17">
        <f>IF(BM$3="","",IF(BM$3=Steps,MAX(IF(CallPut=1,UndTree!BM19-Strike,Strike-UndTree!BM19),0),MAX((2-AmEur)*IF(CallPut=1,UndTree!BM19-Strike,Strike-UndTree!BM19),(UpProb*BN19+DownProb*BN20)*StepDiscount)))</f>
        <v>134.64377053597971</v>
      </c>
      <c r="BN19" s="17">
        <f>IF(BN$3="","",IF(BN$3=Steps,MAX(IF(CallPut=1,UndTree!BN19-Strike,Strike-UndTree!BN19),0),MAX((2-AmEur)*IF(CallPut=1,UndTree!BN19-Strike,Strike-UndTree!BN19),(UpProb*BO19+DownProb*BO20)*StepDiscount)))</f>
        <v>141.63091350520222</v>
      </c>
      <c r="BO19" s="17">
        <f>IF(BO$3="","",IF(BO$3=Steps,MAX(IF(CallPut=1,UndTree!BO19-Strike,Strike-UndTree!BO19),0),MAX((2-AmEur)*IF(CallPut=1,UndTree!BO19-Strike,Strike-UndTree!BO19),(UpProb*BP19+DownProb*BP20)*StepDiscount)))</f>
        <v>148.83111116848389</v>
      </c>
      <c r="BP19" s="17">
        <f>IF(BP$3="","",IF(BP$3=Steps,MAX(IF(CallPut=1,UndTree!BP19-Strike,Strike-UndTree!BP19),0),MAX((2-AmEur)*IF(CallPut=1,UndTree!BP19-Strike,Strike-UndTree!BP19),(UpProb*BQ19+DownProb*BQ20)*StepDiscount)))</f>
        <v>156.25081138276815</v>
      </c>
      <c r="BQ19" s="17">
        <f>IF(BQ$3="","",IF(BQ$3=Steps,MAX(IF(CallPut=1,UndTree!BQ19-Strike,Strike-UndTree!BQ19),0),MAX((2-AmEur)*IF(CallPut=1,UndTree!BQ19-Strike,Strike-UndTree!BQ19),(UpProb*BR19+DownProb*BR20)*StepDiscount)))</f>
        <v>163.89665902688108</v>
      </c>
      <c r="BR19" s="17">
        <f>IF(BR$3="","",IF(BR$3=Steps,MAX(IF(CallPut=1,UndTree!BR19-Strike,Strike-UndTree!BR19),0),MAX((2-AmEur)*IF(CallPut=1,UndTree!BR19-Strike,Strike-UndTree!BR19),(UpProb*BS19+DownProb*BS20)*StepDiscount)))</f>
        <v>171.77550074768072</v>
      </c>
      <c r="BS19" s="17">
        <f>IF(BS$3="","",IF(BS$3=Steps,MAX(IF(CallPut=1,UndTree!BS19-Strike,Strike-UndTree!BS19),0),MAX((2-AmEur)*IF(CallPut=1,UndTree!BS19-Strike,Strike-UndTree!BS19),(UpProb*BT19+DownProb*BT20)*StepDiscount)))</f>
        <v>179.89439063152327</v>
      </c>
      <c r="BT19" s="17">
        <f>IF(BT$3="","",IF(BT$3=Steps,MAX(IF(CallPut=1,UndTree!BT19-Strike,Strike-UndTree!BT19),0),MAX((2-AmEur)*IF(CallPut=1,UndTree!BT19-Strike,Strike-UndTree!BT19),(UpProb*BU19+DownProb*BU20)*StepDiscount)))</f>
        <v>188.26059635087103</v>
      </c>
      <c r="BU19" s="17">
        <f>IF(BU$3="","",IF(BU$3=Steps,MAX(IF(CallPut=1,UndTree!BU19-Strike,Strike-UndTree!BU19),0),MAX((2-AmEur)*IF(CallPut=1,UndTree!BU19-Strike,Strike-UndTree!BU19),(UpProb*BV19+DownProb*BV20)*StepDiscount)))</f>
        <v>196.88160559690041</v>
      </c>
      <c r="BV19" s="17">
        <f>IF(BV$3="","",IF(BV$3=Steps,MAX(IF(CallPut=1,UndTree!BV19-Strike,Strike-UndTree!BV19),0),MAX((2-AmEur)*IF(CallPut=1,UndTree!BV19-Strike,Strike-UndTree!BV19),(UpProb*BW19+DownProb*BW20)*StepDiscount)))</f>
        <v>205.7651327336813</v>
      </c>
      <c r="BW19" s="17">
        <f>IF(BW$3="","",IF(BW$3=Steps,MAX(IF(CallPut=1,UndTree!BW19-Strike,Strike-UndTree!BW19),0),MAX((2-AmEur)*IF(CallPut=1,UndTree!BW19-Strike,Strike-UndTree!BW19),(UpProb*BX19+DownProb*BX20)*StepDiscount)))</f>
        <v>214.91912565931622</v>
      </c>
      <c r="BX19" s="17">
        <f>IF(BX$3="","",IF(BX$3=Steps,MAX(IF(CallPut=1,UndTree!BX19-Strike,Strike-UndTree!BX19),0),MAX((2-AmEur)*IF(CallPut=1,UndTree!BX19-Strike,Strike-UndTree!BX19),(UpProb*BY19+DownProb*BY20)*StepDiscount)))</f>
        <v>224.35177287555814</v>
      </c>
      <c r="BY19" s="17">
        <f>IF(BY$3="","",IF(BY$3=Steps,MAX(IF(CallPut=1,UndTree!BY19-Strike,Strike-UndTree!BY19),0),MAX((2-AmEur)*IF(CallPut=1,UndTree!BY19-Strike,Strike-UndTree!BY19),(UpProb*BZ19+DownProb*BZ20)*StepDiscount)))</f>
        <v>234.07151077149905</v>
      </c>
      <c r="BZ19" s="17">
        <f>IF(BZ$3="","",IF(BZ$3=Steps,MAX(IF(CallPut=1,UndTree!BZ19-Strike,Strike-UndTree!BZ19),0),MAX((2-AmEur)*IF(CallPut=1,UndTree!BZ19-Strike,Strike-UndTree!BZ19),(UpProb*CA19+DownProb*CA20)*StepDiscount)))</f>
        <v>244.08703112775453</v>
      </c>
      <c r="CA19" s="17">
        <f>IF(CA$3="","",IF(CA$3=Steps,MAX(IF(CallPut=1,UndTree!CA19-Strike,Strike-UndTree!CA19),0),MAX((2-AmEur)*IF(CallPut=1,UndTree!CA19-Strike,Strike-UndTree!CA19),(UpProb*CB19+DownProb*CB20)*StepDiscount)))</f>
        <v>254.40728884781879</v>
      </c>
      <c r="CB19" s="17">
        <f>IF(CB$3="","",IF(CB$3=Steps,MAX(IF(CallPut=1,UndTree!CB19-Strike,Strike-UndTree!CB19),0),MAX((2-AmEur)*IF(CallPut=1,UndTree!CB19-Strike,Strike-UndTree!CB19),(UpProb*CC19+DownProb*CC20)*StepDiscount)))</f>
        <v>265.04150992346803</v>
      </c>
      <c r="CC19" s="17">
        <f>IF(CC$3="","",IF(CC$3=Steps,MAX(IF(CallPut=1,UndTree!CC19-Strike,Strike-UndTree!CC19),0),MAX((2-AmEur)*IF(CallPut=1,UndTree!CC19-Strike,Strike-UndTree!CC19),(UpProb*CD19+DownProb*CD20)*StepDiscount)))</f>
        <v>275.99919964129685</v>
      </c>
      <c r="CD19" s="17">
        <f>IF(CD$3="","",IF(CD$3=Steps,MAX(IF(CallPut=1,UndTree!CD19-Strike,Strike-UndTree!CD19),0),MAX((2-AmEur)*IF(CallPut=1,UndTree!CD19-Strike,Strike-UndTree!CD19),(UpProb*CE19+DownProb*CE20)*StepDiscount)))</f>
        <v>287.29015103768779</v>
      </c>
      <c r="CE19" s="17">
        <f>IF(CE$3="","",IF(CE$3=Steps,MAX(IF(CallPut=1,UndTree!CE19-Strike,Strike-UndTree!CE19),0),MAX((2-AmEur)*IF(CallPut=1,UndTree!CE19-Strike,Strike-UndTree!CE19),(UpProb*CF19+DownProb*CF20)*StepDiscount)))</f>
        <v>298.92445360973483</v>
      </c>
      <c r="CF19" s="17">
        <f>IF(CF$3="","",IF(CF$3=Steps,MAX(IF(CallPut=1,UndTree!CF19-Strike,Strike-UndTree!CF19),0),MAX((2-AmEur)*IF(CallPut=1,UndTree!CF19-Strike,Strike-UndTree!CF19),(UpProb*CG19+DownProb*CG20)*StepDiscount)))</f>
        <v>310.91250228986905</v>
      </c>
      <c r="CG19" s="17">
        <f>IF(CG$3="","",IF(CG$3=Steps,MAX(IF(CallPut=1,UndTree!CG19-Strike,Strike-UndTree!CG19),0),MAX((2-AmEur)*IF(CallPut=1,UndTree!CG19-Strike,Strike-UndTree!CG19),(UpProb*CH19+DownProb*CH20)*StepDiscount)))</f>
        <v>323.26500669216904</v>
      </c>
      <c r="CH19" s="17">
        <f>IF(CH$3="","",IF(CH$3=Steps,MAX(IF(CallPut=1,UndTree!CH19-Strike,Strike-UndTree!CH19),0),MAX((2-AmEur)*IF(CallPut=1,UndTree!CH19-Strike,Strike-UndTree!CH19),(UpProb*CI19+DownProb*CI20)*StepDiscount)))</f>
        <v>335.99300063858101</v>
      </c>
      <c r="CI19" s="17">
        <f>IF(CI$3="","",IF(CI$3=Steps,MAX(IF(CallPut=1,UndTree!CI19-Strike,Strike-UndTree!CI19),0),MAX((2-AmEur)*IF(CallPut=1,UndTree!CI19-Strike,Strike-UndTree!CI19),(UpProb*CJ19+DownProb*CJ20)*StepDiscount)))</f>
        <v>349.10785197352084</v>
      </c>
      <c r="CJ19" s="17">
        <f>IF(CJ$3="","",IF(CJ$3=Steps,MAX(IF(CallPut=1,UndTree!CJ19-Strike,Strike-UndTree!CJ19),0),MAX((2-AmEur)*IF(CallPut=1,UndTree!CJ19-Strike,Strike-UndTree!CJ19),(UpProb*CK19+DownProb*CK20)*StepDiscount)))</f>
        <v>362.62127267558901</v>
      </c>
      <c r="CK19" s="17">
        <f>IF(CK$3="","",IF(CK$3=Steps,MAX(IF(CallPut=1,UndTree!CK19-Strike,Strike-UndTree!CK19),0),MAX((2-AmEur)*IF(CallPut=1,UndTree!CK19-Strike,Strike-UndTree!CK19),(UpProb*CL19+DownProb*CL20)*StepDiscount)))</f>
        <v>376.54532927539231</v>
      </c>
      <c r="CL19" s="17">
        <f>IF(CL$3="","",IF(CL$3=Steps,MAX(IF(CallPut=1,UndTree!CL19-Strike,Strike-UndTree!CL19),0),MAX((2-AmEur)*IF(CallPut=1,UndTree!CL19-Strike,Strike-UndTree!CL19),(UpProb*CM19+DownProb*CM20)*StepDiscount)))</f>
        <v>390.89245358873933</v>
      </c>
      <c r="CM19" s="17">
        <f>IF(CM$3="","",IF(CM$3=Steps,MAX(IF(CallPut=1,UndTree!CM19-Strike,Strike-UndTree!CM19),0),MAX((2-AmEur)*IF(CallPut=1,UndTree!CM19-Strike,Strike-UndTree!CM19),(UpProb*CN19+DownProb*CN20)*StepDiscount)))</f>
        <v>405.67545377475921</v>
      </c>
      <c r="CN19" s="17">
        <f>IF(CN$3="","",IF(CN$3=Steps,MAX(IF(CallPut=1,UndTree!CN19-Strike,Strike-UndTree!CN19),0),MAX((2-AmEur)*IF(CallPut=1,UndTree!CN19-Strike,Strike-UndTree!CN19),(UpProb*CO19+DownProb*CO20)*StepDiscount)))</f>
        <v>420.90752572877932</v>
      </c>
      <c r="CO19" s="17">
        <f>IF(CO$3="","",IF(CO$3=Steps,MAX(IF(CallPut=1,UndTree!CO19-Strike,Strike-UndTree!CO19),0),MAX((2-AmEur)*IF(CallPut=1,UndTree!CO19-Strike,Strike-UndTree!CO19),(UpProb*CP19+DownProb*CP20)*StepDiscount)))</f>
        <v>436.60226482009631</v>
      </c>
      <c r="CP19" s="17">
        <f>IF(CP$3="","",IF(CP$3=Steps,MAX(IF(CallPut=1,UndTree!CP19-Strike,Strike-UndTree!CP19),0),MAX((2-AmEur)*IF(CallPut=1,UndTree!CP19-Strike,Strike-UndTree!CP19),(UpProb*CQ19+DownProb*CQ20)*StepDiscount)))</f>
        <v>452.77367798508089</v>
      </c>
      <c r="CQ19" s="17">
        <f>IF(CQ$3="","",IF(CQ$3=Steps,MAX(IF(CallPut=1,UndTree!CQ19-Strike,Strike-UndTree!CQ19),0),MAX((2-AmEur)*IF(CallPut=1,UndTree!CQ19-Strike,Strike-UndTree!CQ19),(UpProb*CR19+DownProb*CR20)*StepDiscount)))</f>
        <v>469.43619618636893</v>
      </c>
      <c r="CR19" s="17">
        <f>IF(CR$3="","",IF(CR$3=Steps,MAX(IF(CallPut=1,UndTree!CR19-Strike,Strike-UndTree!CR19),0),MAX((2-AmEur)*IF(CallPut=1,UndTree!CR19-Strike,Strike-UndTree!CR19),(UpProb*CS19+DownProb*CS20)*StepDiscount)))</f>
        <v>486.60468724921935</v>
      </c>
      <c r="CS19" s="17">
        <f>IF(CS$3="","",IF(CS$3=Steps,MAX(IF(CallPut=1,UndTree!CS19-Strike,Strike-UndTree!CS19),0),MAX((2-AmEur)*IF(CallPut=1,UndTree!CS19-Strike,Strike-UndTree!CS19),(UpProb*CT19+DownProb*CT20)*StepDiscount)))</f>
        <v>504.29446908645554</v>
      </c>
      <c r="CT19" s="17">
        <f>IF(CT$3="","",IF(CT$3=Steps,MAX(IF(CallPut=1,UndTree!CT19-Strike,Strike-UndTree!CT19),0),MAX((2-AmEur)*IF(CallPut=1,UndTree!CT19-Strike,Strike-UndTree!CT19),(UpProb*CU19+DownProb*CU20)*StepDiscount)))</f>
        <v>522.52132332375595</v>
      </c>
      <c r="CU19" s="17">
        <f>IF(CU$3="","",IF(CU$3=Steps,MAX(IF(CallPut=1,UndTree!CU19-Strike,Strike-UndTree!CU19),0),MAX((2-AmEur)*IF(CallPut=1,UndTree!CU19-Strike,Strike-UndTree!CU19),(UpProb*CV19+DownProb*CV20)*StepDiscount)))</f>
        <v>541.30150933742323</v>
      </c>
      <c r="CV19" s="17">
        <f>IF(CV$3="","",IF(CV$3=Steps,MAX(IF(CallPut=1,UndTree!CV19-Strike,Strike-UndTree!CV19),0),MAX((2-AmEur)*IF(CallPut=1,UndTree!CV19-Strike,Strike-UndTree!CV19),(UpProb*CW19+DownProb*CW20)*StepDiscount)))</f>
        <v>560.65177871712797</v>
      </c>
      <c r="CW19" s="17">
        <f>IF(CW$3="","",IF(CW$3=Steps,MAX(IF(CallPut=1,UndTree!CW19-Strike,Strike-UndTree!CW19),0),MAX((2-AmEur)*IF(CallPut=1,UndTree!CW19-Strike,Strike-UndTree!CW19),(UpProb*CX19+DownProb*CX20)*StepDiscount)))</f>
        <v>580.58939016648856</v>
      </c>
      <c r="CX19" s="17">
        <f>IF(CX$3="","",IF(CX$3=Steps,MAX(IF(CallPut=1,UndTree!CX19-Strike,Strike-UndTree!CX19),0),MAX((2-AmEur)*IF(CallPut=1,UndTree!CX19-Strike,Strike-UndTree!CX19),(UpProb*CY19+DownProb*CY20)*StepDiscount)))</f>
        <v>601.13212485472252</v>
      </c>
      <c r="CY19" s="17">
        <f>IF(CY$3="","",IF(CY$3=Steps,MAX(IF(CallPut=1,UndTree!CY19-Strike,Strike-UndTree!CY19),0),MAX((2-AmEur)*IF(CallPut=1,UndTree!CY19-Strike,Strike-UndTree!CY19),(UpProb*CZ19+DownProb*CZ20)*StepDiscount)))</f>
        <v>622.29830223297984</v>
      </c>
      <c r="CZ19" s="17">
        <f>IF(CZ$3="","",IF(CZ$3=Steps,MAX(IF(CallPut=1,UndTree!CZ19-Strike,Strike-UndTree!CZ19),0),MAX((2-AmEur)*IF(CallPut=1,UndTree!CZ19-Strike,Strike-UndTree!CZ19),(UpProb*DA19+DownProb*DA20)*StepDiscount)))</f>
        <v>644.10679632947574</v>
      </c>
      <c r="DA19" s="17">
        <f>IF(DA$3="","",IF(DA$3=Steps,MAX(IF(CallPut=1,UndTree!DA19-Strike,Strike-UndTree!DA19),0),MAX((2-AmEur)*IF(CallPut=1,UndTree!DA19-Strike,Strike-UndTree!DA19),(UpProb*DB19+DownProb*DB20)*StepDiscount)))</f>
        <v>666.57705253836377</v>
      </c>
      <c r="DB19" s="17">
        <f>IF(DB$3="","",IF(DB$3=Steps,MAX(IF(CallPut=1,UndTree!DB19-Strike,Strike-UndTree!DB19),0),MAX((2-AmEur)*IF(CallPut=1,UndTree!DB19-Strike,Strike-UndTree!DB19),(UpProb*DC19+DownProb*DC20)*StepDiscount)))</f>
        <v>689.72910491829998</v>
      </c>
    </row>
    <row r="20" spans="1:106" x14ac:dyDescent="0.2">
      <c r="A20">
        <f>ExDivTree!A20</f>
        <v>1.5991991003968033E+18</v>
      </c>
      <c r="B20" s="71">
        <f>ExDivTree!B20</f>
        <v>6.3077282498382501E-13</v>
      </c>
      <c r="C20" s="71">
        <f>ExDivTree!C20</f>
        <v>7.5708417774872999E-13</v>
      </c>
      <c r="D20" s="177">
        <f>ExDivTree!D20</f>
        <v>16</v>
      </c>
      <c r="U20" s="17">
        <f>IF(U$3="","",IF(U$3=Steps,MAX(IF(CallPut=1,UndTree!U20-Strike,Strike-UndTree!U20),0),MAX((2-AmEur)*IF(CallPut=1,UndTree!U20-Strike,Strike-UndTree!U20),(UpProb*V20+DownProb*V21)*StepDiscount)))</f>
        <v>0.32118404502211545</v>
      </c>
      <c r="V20" s="17">
        <f>IF(V$3="","",IF(V$3=Steps,MAX(IF(CallPut=1,UndTree!V20-Strike,Strike-UndTree!V20),0),MAX((2-AmEur)*IF(CallPut=1,UndTree!V20-Strike,Strike-UndTree!V20),(UpProb*W20+DownProb*W21)*StepDiscount)))</f>
        <v>0.41189540520144607</v>
      </c>
      <c r="W20" s="17">
        <f>IF(W$3="","",IF(W$3=Steps,MAX(IF(CallPut=1,UndTree!W20-Strike,Strike-UndTree!W20),0),MAX((2-AmEur)*IF(CallPut=1,UndTree!W20-Strike,Strike-UndTree!W20),(UpProb*X20+DownProb*X21)*StepDiscount)))</f>
        <v>0.5254552839361657</v>
      </c>
      <c r="X20" s="17">
        <f>IF(X$3="","",IF(X$3=Steps,MAX(IF(CallPut=1,UndTree!X20-Strike,Strike-UndTree!X20),0),MAX((2-AmEur)*IF(CallPut=1,UndTree!X20-Strike,Strike-UndTree!X20),(UpProb*Y20+DownProb*Y21)*StepDiscount)))</f>
        <v>0.66675170490119695</v>
      </c>
      <c r="Y20" s="17">
        <f>IF(Y$3="","",IF(Y$3=Steps,MAX(IF(CallPut=1,UndTree!Y20-Strike,Strike-UndTree!Y20),0),MAX((2-AmEur)*IF(CallPut=1,UndTree!Y20-Strike,Strike-UndTree!Y20),(UpProb*Z20+DownProb*Z21)*StepDiscount)))</f>
        <v>0.84146585456357437</v>
      </c>
      <c r="Z20" s="17">
        <f>IF(Z$3="","",IF(Z$3=Steps,MAX(IF(CallPut=1,UndTree!Z20-Strike,Strike-UndTree!Z20),0),MAX((2-AmEur)*IF(CallPut=1,UndTree!Z20-Strike,Strike-UndTree!Z20),(UpProb*AA20+DownProb*AA21)*StepDiscount)))</f>
        <v>1.0561320723815772</v>
      </c>
      <c r="AA20" s="17">
        <f>IF(AA$3="","",IF(AA$3=Steps,MAX(IF(CallPut=1,UndTree!AA20-Strike,Strike-UndTree!AA20),0),MAX((2-AmEur)*IF(CallPut=1,UndTree!AA20-Strike,Strike-UndTree!AA20),(UpProb*AB20+DownProb*AB21)*StepDiscount)))</f>
        <v>1.318183636815381</v>
      </c>
      <c r="AB20" s="17">
        <f>IF(AB$3="","",IF(AB$3=Steps,MAX(IF(CallPut=1,UndTree!AB20-Strike,Strike-UndTree!AB20),0),MAX((2-AmEur)*IF(CallPut=1,UndTree!AB20-Strike,Strike-UndTree!AB20),(UpProb*AC20+DownProb*AC21)*StepDiscount)))</f>
        <v>1.6359786155981964</v>
      </c>
      <c r="AC20" s="17">
        <f>IF(AC$3="","",IF(AC$3=Steps,MAX(IF(CallPut=1,UndTree!AC20-Strike,Strike-UndTree!AC20),0),MAX((2-AmEur)*IF(CallPut=1,UndTree!AC20-Strike,Strike-UndTree!AC20),(UpProb*AD20+DownProb*AD21)*StepDiscount)))</f>
        <v>2.0187997100767183</v>
      </c>
      <c r="AD20" s="17">
        <f>IF(AD$3="","",IF(AD$3=Steps,MAX(IF(CallPut=1,UndTree!AD20-Strike,Strike-UndTree!AD20),0),MAX((2-AmEur)*IF(CallPut=1,UndTree!AD20-Strike,Strike-UndTree!AD20),(UpProb*AE20+DownProb*AE21)*StepDiscount)))</f>
        <v>2.4768220441299804</v>
      </c>
      <c r="AE20" s="17">
        <f>IF(AE$3="","",IF(AE$3=Steps,MAX(IF(CallPut=1,UndTree!AE20-Strike,Strike-UndTree!AE20),0),MAX((2-AmEur)*IF(CallPut=1,UndTree!AE20-Strike,Strike-UndTree!AE20),(UpProb*AF20+DownProb*AF21)*StepDiscount)))</f>
        <v>3.021043338222376</v>
      </c>
      <c r="AF20" s="17">
        <f>IF(AF$3="","",IF(AF$3=Steps,MAX(IF(CallPut=1,UndTree!AF20-Strike,Strike-UndTree!AF20),0),MAX((2-AmEur)*IF(CallPut=1,UndTree!AF20-Strike,Strike-UndTree!AF20),(UpProb*AG20+DownProb*AG21)*StepDiscount)))</f>
        <v>3.6631719659394935</v>
      </c>
      <c r="AG20" s="17">
        <f>IF(AG$3="","",IF(AG$3=Steps,MAX(IF(CallPut=1,UndTree!AG20-Strike,Strike-UndTree!AG20),0),MAX((2-AmEur)*IF(CallPut=1,UndTree!AG20-Strike,Strike-UndTree!AG20),(UpProb*AH20+DownProb*AH21)*StepDiscount)))</f>
        <v>4.4154700827133135</v>
      </c>
      <c r="AH20" s="17">
        <f>IF(AH$3="","",IF(AH$3=Steps,MAX(IF(CallPut=1,UndTree!AH20-Strike,Strike-UndTree!AH20),0),MAX((2-AmEur)*IF(CallPut=1,UndTree!AH20-Strike,Strike-UndTree!AH20),(UpProb*AI20+DownProb*AI21)*StepDiscount)))</f>
        <v>5.2905513665983088</v>
      </c>
      <c r="AI20" s="17">
        <f>IF(AI$3="","",IF(AI$3=Steps,MAX(IF(CallPut=1,UndTree!AI20-Strike,Strike-UndTree!AI20),0),MAX((2-AmEur)*IF(CallPut=1,UndTree!AI20-Strike,Strike-UndTree!AI20),(UpProb*AJ20+DownProb*AJ21)*StepDiscount)))</f>
        <v>6.3011358764313679</v>
      </c>
      <c r="AJ20" s="17">
        <f>IF(AJ$3="","",IF(AJ$3=Steps,MAX(IF(CallPut=1,UndTree!AJ20-Strike,Strike-UndTree!AJ20),0),MAX((2-AmEur)*IF(CallPut=1,UndTree!AJ20-Strike,Strike-UndTree!AJ20),(UpProb*AK20+DownProb*AK21)*StepDiscount)))</f>
        <v>7.4597679907643686</v>
      </c>
      <c r="AK20" s="17">
        <f>IF(AK$3="","",IF(AK$3=Steps,MAX(IF(CallPut=1,UndTree!AK20-Strike,Strike-UndTree!AK20),0),MAX((2-AmEur)*IF(CallPut=1,UndTree!AK20-Strike,Strike-UndTree!AK20),(UpProb*AL20+DownProb*AL21)*StepDiscount)))</f>
        <v>8.7785071290118175</v>
      </c>
      <c r="AL20" s="17">
        <f>IF(AL$3="","",IF(AL$3=Steps,MAX(IF(CallPut=1,UndTree!AL20-Strike,Strike-UndTree!AL20),0),MAX((2-AmEur)*IF(CallPut=1,UndTree!AL20-Strike,Strike-UndTree!AL20),(UpProb*AM20+DownProb*AM21)*StepDiscount)))</f>
        <v>10.268604671838661</v>
      </c>
      <c r="AM20" s="17">
        <f>IF(AM$3="","",IF(AM$3=Steps,MAX(IF(CallPut=1,UndTree!AM20-Strike,Strike-UndTree!AM20),0),MAX((2-AmEur)*IF(CallPut=1,UndTree!AM20-Strike,Strike-UndTree!AM20),(UpProb*AN20+DownProb*AN21)*StepDiscount)))</f>
        <v>11.940183811490442</v>
      </c>
      <c r="AN20" s="17">
        <f>IF(AN$3="","",IF(AN$3=Steps,MAX(IF(CallPut=1,UndTree!AN20-Strike,Strike-UndTree!AN20),0),MAX((2-AmEur)*IF(CallPut=1,UndTree!AN20-Strike,Strike-UndTree!AN20),(UpProb*AO20+DownProb*AO21)*StepDiscount)))</f>
        <v>13.801941546345297</v>
      </c>
      <c r="AO20" s="17">
        <f>IF(AO$3="","",IF(AO$3=Steps,MAX(IF(CallPut=1,UndTree!AO20-Strike,Strike-UndTree!AO20),0),MAX((2-AmEur)*IF(CallPut=1,UndTree!AO20-Strike,Strike-UndTree!AO20),(UpProb*AP20+DownProb*AP21)*StepDiscount)))</f>
        <v>15.860893254456549</v>
      </c>
      <c r="AP20" s="17">
        <f>IF(AP$3="","",IF(AP$3=Steps,MAX(IF(CallPut=1,UndTree!AP20-Strike,Strike-UndTree!AP20),0),MAX((2-AmEur)*IF(CallPut=1,UndTree!AP20-Strike,Strike-UndTree!AP20),(UpProb*AQ20+DownProb*AQ21)*StepDiscount)))</f>
        <v>18.122179857981866</v>
      </c>
      <c r="AQ20" s="17">
        <f>IF(AQ$3="","",IF(AQ$3=Steps,MAX(IF(CallPut=1,UndTree!AQ20-Strike,Strike-UndTree!AQ20),0),MAX((2-AmEur)*IF(CallPut=1,UndTree!AQ20-Strike,Strike-UndTree!AQ20),(UpProb*AR20+DownProb*AR21)*StepDiscount)))</f>
        <v>20.588955262180775</v>
      </c>
      <c r="AR20" s="17">
        <f>IF(AR$3="","",IF(AR$3=Steps,MAX(IF(CallPut=1,UndTree!AR20-Strike,Strike-UndTree!AR20),0),MAX((2-AmEur)*IF(CallPut=1,UndTree!AR20-Strike,Strike-UndTree!AR20),(UpProb*AS20+DownProb*AS21)*StepDiscount)))</f>
        <v>23.262367440281992</v>
      </c>
      <c r="AS20" s="17">
        <f>IF(AS$3="","",IF(AS$3=Steps,MAX(IF(CallPut=1,UndTree!AS20-Strike,Strike-UndTree!AS20),0),MAX((2-AmEur)*IF(CallPut=1,UndTree!AS20-Strike,Strike-UndTree!AS20),(UpProb*AT20+DownProb*AT21)*StepDiscount)))</f>
        <v>26.14164039595012</v>
      </c>
      <c r="AT20" s="17">
        <f>IF(AT$3="","",IF(AT$3=Steps,MAX(IF(CallPut=1,UndTree!AT20-Strike,Strike-UndTree!AT20),0),MAX((2-AmEur)*IF(CallPut=1,UndTree!AT20-Strike,Strike-UndTree!AT20),(UpProb*AU20+DownProb*AU21)*StepDiscount)))</f>
        <v>29.224256688802818</v>
      </c>
      <c r="AU20" s="17">
        <f>IF(AU$3="","",IF(AU$3=Steps,MAX(IF(CallPut=1,UndTree!AU20-Strike,Strike-UndTree!AU20),0),MAX((2-AmEur)*IF(CallPut=1,UndTree!AU20-Strike,Strike-UndTree!AU20),(UpProb*AV20+DownProb*AV21)*StepDiscount)))</f>
        <v>32.50623193057956</v>
      </c>
      <c r="AV20" s="17">
        <f>IF(AV$3="","",IF(AV$3=Steps,MAX(IF(CallPut=1,UndTree!AV20-Strike,Strike-UndTree!AV20),0),MAX((2-AmEur)*IF(CallPut=1,UndTree!AV20-Strike,Strike-UndTree!AV20),(UpProb*AW20+DownProb*AW21)*StepDiscount)))</f>
        <v>35.982464526771246</v>
      </c>
      <c r="AW20" s="17">
        <f>IF(AW$3="","",IF(AW$3=Steps,MAX(IF(CallPut=1,UndTree!AW20-Strike,Strike-UndTree!AW20),0),MAX((2-AmEur)*IF(CallPut=1,UndTree!AW20-Strike,Strike-UndTree!AW20),(UpProb*AX20+DownProb*AX21)*StepDiscount)))</f>
        <v>39.647136930604113</v>
      </c>
      <c r="AX20" s="17">
        <f>IF(AX$3="","",IF(AX$3=Steps,MAX(IF(CallPut=1,UndTree!AX20-Strike,Strike-UndTree!AX20),0),MAX((2-AmEur)*IF(CallPut=1,UndTree!AX20-Strike,Strike-UndTree!AX20),(UpProb*AY20+DownProb*AY21)*StepDiscount)))</f>
        <v>43.494139741002051</v>
      </c>
      <c r="AY20" s="17">
        <f>IF(AY$3="","",IF(AY$3=Steps,MAX(IF(CallPut=1,UndTree!AY20-Strike,Strike-UndTree!AY20),0),MAX((2-AmEur)*IF(CallPut=1,UndTree!AY20-Strike,Strike-UndTree!AY20),(UpProb*AZ20+DownProb*AZ21)*StepDiscount)))</f>
        <v>47.517487875135586</v>
      </c>
      <c r="AZ20" s="17">
        <f>IF(AZ$3="","",IF(AZ$3=Steps,MAX(IF(CallPut=1,UndTree!AZ20-Strike,Strike-UndTree!AZ20),0),MAX((2-AmEur)*IF(CallPut=1,UndTree!AZ20-Strike,Strike-UndTree!AZ20),(UpProb*BA20+DownProb*BA21)*StepDiscount)))</f>
        <v>51.711699208247197</v>
      </c>
      <c r="BA20" s="17">
        <f>IF(BA$3="","",IF(BA$3=Steps,MAX(IF(CallPut=1,UndTree!BA20-Strike,Strike-UndTree!BA20),0),MAX((2-AmEur)*IF(CallPut=1,UndTree!BA20-Strike,Strike-UndTree!BA20),(UpProb*BB20+DownProb*BB21)*StepDiscount)))</f>
        <v>56.072110486297483</v>
      </c>
      <c r="BB20" s="17">
        <f>IF(BB$3="","",IF(BB$3=Steps,MAX(IF(CallPut=1,UndTree!BB20-Strike,Strike-UndTree!BB20),0),MAX((2-AmEur)*IF(CallPut=1,UndTree!BB20-Strike,Strike-UndTree!BB20),(UpProb*BC20+DownProb*BC21)*StepDiscount)))</f>
        <v>60.595112485571974</v>
      </c>
      <c r="BC20" s="17">
        <f>IF(BC$3="","",IF(BC$3=Steps,MAX(IF(CallPut=1,UndTree!BC20-Strike,Strike-UndTree!BC20),0),MAX((2-AmEur)*IF(CallPut=1,UndTree!BC20-Strike,Strike-UndTree!BC20),(UpProb*BD20+DownProb*BD21)*StepDiscount)))</f>
        <v>65.278295384464883</v>
      </c>
      <c r="BD20" s="17">
        <f>IF(BD$3="","",IF(BD$3=Steps,MAX(IF(CallPut=1,UndTree!BD20-Strike,Strike-UndTree!BD20),0),MAX((2-AmEur)*IF(CallPut=1,UndTree!BD20-Strike,Strike-UndTree!BD20),(UpProb*BE20+DownProb*BE21)*StepDiscount)))</f>
        <v>70.120504888026957</v>
      </c>
      <c r="BE20" s="17">
        <f>IF(BE$3="","",IF(BE$3=Steps,MAX(IF(CallPut=1,UndTree!BE20-Strike,Strike-UndTree!BE20),0),MAX((2-AmEur)*IF(CallPut=1,UndTree!BE20-Strike,Strike-UndTree!BE20),(UpProb*BF20+DownProb*BF21)*StepDiscount)))</f>
        <v>75.121818466908522</v>
      </c>
      <c r="BF20" s="17">
        <f>IF(BF$3="","",IF(BF$3=Steps,MAX(IF(CallPut=1,UndTree!BF20-Strike,Strike-UndTree!BF20),0),MAX((2-AmEur)*IF(CallPut=1,UndTree!BF20-Strike,Strike-UndTree!BF20),(UpProb*BG20+DownProb*BG21)*StepDiscount)))</f>
        <v>80.283457938386405</v>
      </c>
      <c r="BG20" s="17">
        <f>IF(BG$3="","",IF(BG$3=Steps,MAX(IF(CallPut=1,UndTree!BG20-Strike,Strike-UndTree!BG20),0),MAX((2-AmEur)*IF(CallPut=1,UndTree!BG20-Strike,Strike-UndTree!BG20),(UpProb*BH20+DownProb*BH21)*StepDiscount)))</f>
        <v>85.607658687396338</v>
      </c>
      <c r="BH20" s="17">
        <f>IF(BH$3="","",IF(BH$3=Steps,MAX(IF(CallPut=1,UndTree!BH20-Strike,Strike-UndTree!BH20),0),MAX((2-AmEur)*IF(CallPut=1,UndTree!BH20-Strike,Strike-UndTree!BH20),(UpProb*BI20+DownProb*BI21)*StepDiscount)))</f>
        <v>91.097516772195917</v>
      </c>
      <c r="BI20" s="17">
        <f>IF(BI$3="","",IF(BI$3=Steps,MAX(IF(CallPut=1,UndTree!BI20-Strike,Strike-UndTree!BI20),0),MAX((2-AmEur)*IF(CallPut=1,UndTree!BI20-Strike,Strike-UndTree!BI20),(UpProb*BJ20+DownProb*BJ21)*StepDiscount)))</f>
        <v>96.75683321329133</v>
      </c>
      <c r="BJ20" s="17">
        <f>IF(BJ$3="","",IF(BJ$3=Steps,MAX(IF(CallPut=1,UndTree!BJ20-Strike,Strike-UndTree!BJ20),0),MAX((2-AmEur)*IF(CallPut=1,UndTree!BJ20-Strike,Strike-UndTree!BJ20),(UpProb*BK20+DownProb*BK21)*StepDiscount)))</f>
        <v>102.58997063827218</v>
      </c>
      <c r="BK20" s="17">
        <f>IF(BK$3="","",IF(BK$3=Steps,MAX(IF(CallPut=1,UndTree!BK20-Strike,Strike-UndTree!BK20),0),MAX((2-AmEur)*IF(CallPut=1,UndTree!BK20-Strike,Strike-UndTree!BK20),(UpProb*BL20+DownProb*BL21)*StepDiscount)))</f>
        <v>108.60173216261352</v>
      </c>
      <c r="BL20" s="17">
        <f>IF(BL$3="","",IF(BL$3=Steps,MAX(IF(CallPut=1,UndTree!BL20-Strike,Strike-UndTree!BL20),0),MAX((2-AmEur)*IF(CallPut=1,UndTree!BL20-Strike,Strike-UndTree!BL20),(UpProb*BM20+DownProb*BM21)*StepDiscount)))</f>
        <v>114.79726700246577</v>
      </c>
      <c r="BM20" s="17">
        <f>IF(BM$3="","",IF(BM$3=Steps,MAX(IF(CallPut=1,UndTree!BM20-Strike,Strike-UndTree!BM20),0),MAX((2-AmEur)*IF(CallPut=1,UndTree!BM20-Strike,Strike-UndTree!BM20),(UpProb*BN20+DownProb*BN21)*StepDiscount)))</f>
        <v>121.18200274329077</v>
      </c>
      <c r="BN20" s="17">
        <f>IF(BN$3="","",IF(BN$3=Steps,MAX(IF(CallPut=1,UndTree!BN20-Strike,Strike-UndTree!BN20),0),MAX((2-AmEur)*IF(CallPut=1,UndTree!BN20-Strike,Strike-UndTree!BN20),(UpProb*BO20+DownProb*BO21)*StepDiscount)))</f>
        <v>127.76160099217068</v>
      </c>
      <c r="BO20" s="17">
        <f>IF(BO$3="","",IF(BO$3=Steps,MAX(IF(CallPut=1,UndTree!BO20-Strike,Strike-UndTree!BO20),0),MAX((2-AmEur)*IF(CallPut=1,UndTree!BO20-Strike,Strike-UndTree!BO20),(UpProb*BP20+DownProb*BP21)*StepDiscount)))</f>
        <v>134.54193148503873</v>
      </c>
      <c r="BP20" s="17">
        <f>IF(BP$3="","",IF(BP$3=Steps,MAX(IF(CallPut=1,UndTree!BP20-Strike,Strike-UndTree!BP20),0),MAX((2-AmEur)*IF(CallPut=1,UndTree!BP20-Strike,Strike-UndTree!BP20),(UpProb*BQ20+DownProb*BQ21)*StepDiscount)))</f>
        <v>141.529059413954</v>
      </c>
      <c r="BQ20" s="17">
        <f>IF(BQ$3="","",IF(BQ$3=Steps,MAX(IF(CallPut=1,UndTree!BQ20-Strike,Strike-UndTree!BQ20),0),MAX((2-AmEur)*IF(CallPut=1,UndTree!BQ20-Strike,Strike-UndTree!BQ20),(UpProb*BR20+DownProb*BR21)*StepDiscount)))</f>
        <v>148.7292413722183</v>
      </c>
      <c r="BR20" s="17">
        <f>IF(BR$3="","",IF(BR$3=Steps,MAX(IF(CallPut=1,UndTree!BR20-Strike,Strike-UndTree!BR20),0),MAX((2-AmEur)*IF(CallPut=1,UndTree!BR20-Strike,Strike-UndTree!BR20),(UpProb*BS20+DownProb*BS21)*StepDiscount)))</f>
        <v>156.14892641158792</v>
      </c>
      <c r="BS20" s="17">
        <f>IF(BS$3="","",IF(BS$3=Steps,MAX(IF(CallPut=1,UndTree!BS20-Strike,Strike-UndTree!BS20),0),MAX((2-AmEur)*IF(CallPut=1,UndTree!BS20-Strike,Strike-UndTree!BS20),(UpProb*BT20+DownProb*BT21)*StepDiscount)))</f>
        <v>163.79475986319855</v>
      </c>
      <c r="BT20" s="17">
        <f>IF(BT$3="","",IF(BT$3=Steps,MAX(IF(CallPut=1,UndTree!BT20-Strike,Strike-UndTree!BT20),0),MAX((2-AmEur)*IF(CallPut=1,UndTree!BT20-Strike,Strike-UndTree!BT20),(UpProb*BU20+DownProb*BU21)*StepDiscount)))</f>
        <v>171.67358853734902</v>
      </c>
      <c r="BU20" s="17">
        <f>IF(BU$3="","",IF(BU$3=Steps,MAX(IF(CallPut=1,UndTree!BU20-Strike,Strike-UndTree!BU20),0),MAX((2-AmEur)*IF(CallPut=1,UndTree!BU20-Strike,Strike-UndTree!BU20),(UpProb*BV20+DownProb*BV21)*StepDiscount)))</f>
        <v>179.79246658907738</v>
      </c>
      <c r="BV20" s="17">
        <f>IF(BV$3="","",IF(BV$3=Steps,MAX(IF(CallPut=1,UndTree!BV20-Strike,Strike-UndTree!BV20),0),MAX((2-AmEur)*IF(CallPut=1,UndTree!BV20-Strike,Strike-UndTree!BV20),(UpProb*BW20+DownProb*BW21)*StepDiscount)))</f>
        <v>188.1586617348089</v>
      </c>
      <c r="BW20" s="17">
        <f>IF(BW$3="","",IF(BW$3=Steps,MAX(IF(CallPut=1,UndTree!BW20-Strike,Strike-UndTree!BW20),0),MAX((2-AmEur)*IF(CallPut=1,UndTree!BW20-Strike,Strike-UndTree!BW20),(UpProb*BX20+DownProb*BX21)*StepDiscount)))</f>
        <v>196.77966170549882</v>
      </c>
      <c r="BX20" s="17">
        <f>IF(BX$3="","",IF(BX$3=Steps,MAX(IF(CallPut=1,UndTree!BX20-Strike,Strike-UndTree!BX20),0),MAX((2-AmEur)*IF(CallPut=1,UndTree!BX20-Strike,Strike-UndTree!BX20),(UpProb*BY20+DownProb*BY21)*StepDiscount)))</f>
        <v>205.6631809054266</v>
      </c>
      <c r="BY20" s="17">
        <f>IF(BY$3="","",IF(BY$3=Steps,MAX(IF(CallPut=1,UndTree!BY20-Strike,Strike-UndTree!BY20),0),MAX((2-AmEur)*IF(CallPut=1,UndTree!BY20-Strike,Strike-UndTree!BY20),(UpProb*BZ20+DownProb*BZ21)*StepDiscount)))</f>
        <v>214.81716727406643</v>
      </c>
      <c r="BZ20" s="17">
        <f>IF(BZ$3="","",IF(BZ$3=Steps,MAX(IF(CallPut=1,UndTree!BZ20-Strike,Strike-UndTree!BZ20),0),MAX((2-AmEur)*IF(CallPut=1,UndTree!BZ20-Strike,Strike-UndTree!BZ20),(UpProb*CA20+DownProb*CA21)*StepDiscount)))</f>
        <v>224.24980935579612</v>
      </c>
      <c r="CA20" s="17">
        <f>IF(CA$3="","",IF(CA$3=Steps,MAX(IF(CallPut=1,UndTree!CA20-Strike,Strike-UndTree!CA20),0),MAX((2-AmEur)*IF(CallPut=1,UndTree!CA20-Strike,Strike-UndTree!CA20),(UpProb*CB20+DownProb*CB21)*StepDiscount)))</f>
        <v>233.96954358362336</v>
      </c>
      <c r="CB20" s="17">
        <f>IF(CB$3="","",IF(CB$3=Steps,MAX(IF(CallPut=1,UndTree!CB20-Strike,Strike-UndTree!CB20),0),MAX((2-AmEur)*IF(CallPut=1,UndTree!CB20-Strike,Strike-UndTree!CB20),(UpProb*CC20+DownProb*CC21)*StepDiscount)))</f>
        <v>243.98506178340918</v>
      </c>
      <c r="CC20" s="17">
        <f>IF(CC$3="","",IF(CC$3=Steps,MAX(IF(CallPut=1,UndTree!CC20-Strike,Strike-UndTree!CC20),0),MAX((2-AmEur)*IF(CallPut=1,UndTree!CC20-Strike,Strike-UndTree!CC20),(UpProb*CD20+DownProb*CD21)*StepDiscount)))</f>
        <v>254.30531890526331</v>
      </c>
      <c r="CD20" s="17">
        <f>IF(CD$3="","",IF(CD$3=Steps,MAX(IF(CallPut=1,UndTree!CD20-Strike,Strike-UndTree!CD20),0),MAX((2-AmEur)*IF(CallPut=1,UndTree!CD20-Strike,Strike-UndTree!CD20),(UpProb*CE20+DownProb*CE21)*StepDiscount)))</f>
        <v>264.93954098898894</v>
      </c>
      <c r="CE20" s="17">
        <f>IF(CE$3="","",IF(CE$3=Steps,MAX(IF(CallPut=1,UndTree!CE20-Strike,Strike-UndTree!CE20),0),MAX((2-AmEur)*IF(CallPut=1,UndTree!CE20-Strike,Strike-UndTree!CE20),(UpProb*CF20+DownProb*CF21)*StepDiscount)))</f>
        <v>275.89723337066152</v>
      </c>
      <c r="CF20" s="17">
        <f>IF(CF$3="","",IF(CF$3=Steps,MAX(IF(CallPut=1,UndTree!CF20-Strike,Strike-UndTree!CF20),0),MAX((2-AmEur)*IF(CallPut=1,UndTree!CF20-Strike,Strike-UndTree!CF20),(UpProb*CG20+DownProb*CG21)*StepDiscount)))</f>
        <v>287.18818913764272</v>
      </c>
      <c r="CG20" s="17">
        <f>IF(CG$3="","",IF(CG$3=Steps,MAX(IF(CallPut=1,UndTree!CG20-Strike,Strike-UndTree!CG20),0),MAX((2-AmEur)*IF(CallPut=1,UndTree!CG20-Strike,Strike-UndTree!CG20),(UpProb*CH20+DownProb*CH21)*StepDiscount)))</f>
        <v>298.82249783954921</v>
      </c>
      <c r="CH20" s="17">
        <f>IF(CH$3="","",IF(CH$3=Steps,MAX(IF(CallPut=1,UndTree!CH20-Strike,Strike-UndTree!CH20),0),MAX((2-AmEur)*IF(CallPut=1,UndTree!CH20-Strike,Strike-UndTree!CH20),(UpProb*CI20+DownProb*CI21)*StepDiscount)))</f>
        <v>310.81055446292544</v>
      </c>
      <c r="CI20" s="17">
        <f>IF(CI$3="","",IF(CI$3=Steps,MAX(IF(CallPut=1,UndTree!CI20-Strike,Strike-UndTree!CI20),0),MAX((2-AmEur)*IF(CallPut=1,UndTree!CI20-Strike,Strike-UndTree!CI20),(UpProb*CJ20+DownProb*CJ21)*StepDiscount)))</f>
        <v>323.16306867760278</v>
      </c>
      <c r="CJ20" s="17">
        <f>IF(CJ$3="","",IF(CJ$3=Steps,MAX(IF(CallPut=1,UndTree!CJ20-Strike,Strike-UndTree!CJ20),0),MAX((2-AmEur)*IF(CallPut=1,UndTree!CJ20-Strike,Strike-UndTree!CJ20),(UpProb*CK20+DownProb*CK21)*StepDiscount)))</f>
        <v>335.89107436296894</v>
      </c>
      <c r="CK20" s="17">
        <f>IF(CK$3="","",IF(CK$3=Steps,MAX(IF(CallPut=1,UndTree!CK20-Strike,Strike-UndTree!CK20),0),MAX((2-AmEur)*IF(CallPut=1,UndTree!CK20-Strike,Strike-UndTree!CK20),(UpProb*CL20+DownProb*CL21)*StepDiscount)))</f>
        <v>349.00593942262134</v>
      </c>
      <c r="CL20" s="17">
        <f>IF(CL$3="","",IF(CL$3=Steps,MAX(IF(CallPut=1,UndTree!CL20-Strike,Strike-UndTree!CL20),0),MAX((2-AmEur)*IF(CallPut=1,UndTree!CL20-Strike,Strike-UndTree!CL20),(UpProb*CM20+DownProb*CM21)*StepDiscount)))</f>
        <v>362.51937589613397</v>
      </c>
      <c r="CM20" s="17">
        <f>IF(CM$3="","",IF(CM$3=Steps,MAX(IF(CallPut=1,UndTree!CM20-Strike,Strike-UndTree!CM20),0),MAX((2-AmEur)*IF(CallPut=1,UndTree!CM20-Strike,Strike-UndTree!CM20),(UpProb*CN20+DownProb*CN21)*StepDiscount)))</f>
        <v>376.44345037693199</v>
      </c>
      <c r="CN20" s="17">
        <f>IF(CN$3="","",IF(CN$3=Steps,MAX(IF(CallPut=1,UndTree!CN20-Strike,Strike-UndTree!CN20),0),MAX((2-AmEur)*IF(CallPut=1,UndTree!CN20-Strike,Strike-UndTree!CN20),(UpProb*CO20+DownProb*CO21)*StepDiscount)))</f>
        <v>390.79059474554305</v>
      </c>
      <c r="CO20" s="17">
        <f>IF(CO$3="","",IF(CO$3=Steps,MAX(IF(CallPut=1,UndTree!CO20-Strike,Strike-UndTree!CO20),0),MAX((2-AmEur)*IF(CallPut=1,UndTree!CO20-Strike,Strike-UndTree!CO20),(UpProb*CP20+DownProb*CP21)*StepDiscount)))</f>
        <v>405.57361722777279</v>
      </c>
      <c r="CP20" s="17">
        <f>IF(CP$3="","",IF(CP$3=Steps,MAX(IF(CallPut=1,UndTree!CP20-Strike,Strike-UndTree!CP20),0),MAX((2-AmEur)*IF(CallPut=1,UndTree!CP20-Strike,Strike-UndTree!CP20),(UpProb*CQ20+DownProb*CQ21)*StepDiscount)))</f>
        <v>420.80571378764307</v>
      </c>
      <c r="CQ20" s="17">
        <f>IF(CQ$3="","",IF(CQ$3=Steps,MAX(IF(CallPut=1,UndTree!CQ20-Strike,Strike-UndTree!CQ20),0),MAX((2-AmEur)*IF(CallPut=1,UndTree!CQ20-Strike,Strike-UndTree!CQ20),(UpProb*CR20+DownProb*CR21)*StepDiscount)))</f>
        <v>436.50047986522765</v>
      </c>
      <c r="CR20" s="17">
        <f>IF(CR$3="","",IF(CR$3=Steps,MAX(IF(CallPut=1,UndTree!CR20-Strike,Strike-UndTree!CR20),0),MAX((2-AmEur)*IF(CallPut=1,UndTree!CR20-Strike,Strike-UndTree!CR20),(UpProb*CS20+DownProb*CS21)*StepDiscount)))</f>
        <v>452.67192246982245</v>
      </c>
      <c r="CS20" s="17">
        <f>IF(CS$3="","",IF(CS$3=Steps,MAX(IF(CallPut=1,UndTree!CS20-Strike,Strike-UndTree!CS20),0),MAX((2-AmEur)*IF(CallPut=1,UndTree!CS20-Strike,Strike-UndTree!CS20),(UpProb*CT20+DownProb*CT21)*StepDiscount)))</f>
        <v>469.33447263920277</v>
      </c>
      <c r="CT20" s="17">
        <f>IF(CT$3="","",IF(CT$3=Steps,MAX(IF(CallPut=1,UndTree!CT20-Strike,Strike-UndTree!CT20),0),MAX((2-AmEur)*IF(CallPut=1,UndTree!CT20-Strike,Strike-UndTree!CT20),(UpProb*CU20+DownProb*CU21)*StepDiscount)))</f>
        <v>486.50299827604533</v>
      </c>
      <c r="CU20" s="17">
        <f>IF(CU$3="","",IF(CU$3=Steps,MAX(IF(CallPut=1,UndTree!CU20-Strike,Strike-UndTree!CU20),0),MAX((2-AmEur)*IF(CallPut=1,UndTree!CU20-Strike,Strike-UndTree!CU20),(UpProb*CV20+DownProb*CV21)*StepDiscount)))</f>
        <v>504.19281737292931</v>
      </c>
      <c r="CV20" s="17">
        <f>IF(CV$3="","",IF(CV$3=Steps,MAX(IF(CallPut=1,UndTree!CV20-Strike,Strike-UndTree!CV20),0),MAX((2-AmEur)*IF(CallPut=1,UndTree!CV20-Strike,Strike-UndTree!CV20),(UpProb*CW20+DownProb*CW21)*StepDiscount)))</f>
        <v>522.41971163768949</v>
      </c>
      <c r="CW20" s="17">
        <f>IF(CW$3="","",IF(CW$3=Steps,MAX(IF(CallPut=1,UndTree!CW20-Strike,Strike-UndTree!CW20),0),MAX((2-AmEur)*IF(CallPut=1,UndTree!CW20-Strike,Strike-UndTree!CW20),(UpProb*CX20+DownProb*CX21)*StepDiscount)))</f>
        <v>541.19994053125845</v>
      </c>
      <c r="CX20" s="17">
        <f>IF(CX$3="","",IF(CX$3=Steps,MAX(IF(CallPut=1,UndTree!CX20-Strike,Strike-UndTree!CX20),0),MAX((2-AmEur)*IF(CallPut=1,UndTree!CX20-Strike,Strike-UndTree!CX20),(UpProb*CY20+DownProb*CY21)*StepDiscount)))</f>
        <v>560.55025573050773</v>
      </c>
      <c r="CY20" s="17">
        <f>IF(CY$3="","",IF(CY$3=Steps,MAX(IF(CallPut=1,UndTree!CY20-Strike,Strike-UndTree!CY20),0),MAX((2-AmEur)*IF(CallPut=1,UndTree!CY20-Strike,Strike-UndTree!CY20),(UpProb*CZ20+DownProb*CZ21)*StepDiscount)))</f>
        <v>580.48791602894869</v>
      </c>
      <c r="CZ20" s="17">
        <f>IF(CZ$3="","",IF(CZ$3=Steps,MAX(IF(CallPut=1,UndTree!CZ20-Strike,Strike-UndTree!CZ20),0),MAX((2-AmEur)*IF(CallPut=1,UndTree!CZ20-Strike,Strike-UndTree!CZ20),(UpProb*DA20+DownProb*DA21)*StepDiscount)))</f>
        <v>601.03070268841509</v>
      </c>
      <c r="DA20" s="17">
        <f>IF(DA$3="","",IF(DA$3=Steps,MAX(IF(CallPut=1,UndTree!DA20-Strike,Strike-UndTree!DA20),0),MAX((2-AmEur)*IF(CallPut=1,UndTree!DA20-Strike,Strike-UndTree!DA20),(UpProb*DB20+DownProb*DB21)*StepDiscount)))</f>
        <v>622.19693525503055</v>
      </c>
      <c r="DB20" s="17">
        <f>IF(DB$3="","",IF(DB$3=Steps,MAX(IF(CallPut=1,UndTree!DB20-Strike,Strike-UndTree!DB20),0),MAX((2-AmEur)*IF(CallPut=1,UndTree!DB20-Strike,Strike-UndTree!DB20),(UpProb*DC20+DownProb*DC21)*StepDiscount)))</f>
        <v>644.00548785340004</v>
      </c>
    </row>
    <row r="21" spans="1:106" x14ac:dyDescent="0.2">
      <c r="A21">
        <f>ExDivTree!A21</f>
        <v>7.9959955019840215E+18</v>
      </c>
      <c r="B21" s="71">
        <f>ExDivTree!B21</f>
        <v>3.153864124919127E-12</v>
      </c>
      <c r="C21" s="71">
        <f>ExDivTree!C21</f>
        <v>3.7654075809637263E-12</v>
      </c>
      <c r="D21" s="177">
        <f>ExDivTree!D21</f>
        <v>17</v>
      </c>
      <c r="V21" s="17">
        <f>IF(V$3="","",IF(V$3=Steps,MAX(IF(CallPut=1,UndTree!V21-Strike,Strike-UndTree!V21),0),MAX((2-AmEur)*IF(CallPut=1,UndTree!V21-Strike,Strike-UndTree!V21),(UpProb*W21+DownProb*W22)*StepDiscount)))</f>
        <v>0.23032954515964216</v>
      </c>
      <c r="W21" s="17">
        <f>IF(W$3="","",IF(W$3=Steps,MAX(IF(CallPut=1,UndTree!W21-Strike,Strike-UndTree!W21),0),MAX((2-AmEur)*IF(CallPut=1,UndTree!W21-Strike,Strike-UndTree!W21),(UpProb*X21+DownProb*X22)*StepDiscount)))</f>
        <v>0.29816668762784854</v>
      </c>
      <c r="X21" s="17">
        <f>IF(X$3="","",IF(X$3=Steps,MAX(IF(CallPut=1,UndTree!X21-Strike,Strike-UndTree!X21),0),MAX((2-AmEur)*IF(CallPut=1,UndTree!X21-Strike,Strike-UndTree!X21),(UpProb*Y21+DownProb*Y22)*StepDiscount)))</f>
        <v>0.3839624604906578</v>
      </c>
      <c r="Y21" s="17">
        <f>IF(Y$3="","",IF(Y$3=Steps,MAX(IF(CallPut=1,UndTree!Y21-Strike,Strike-UndTree!Y21),0),MAX((2-AmEur)*IF(CallPut=1,UndTree!Y21-Strike,Strike-UndTree!Y21),(UpProb*Z21+DownProb*Z22)*StepDiscount)))</f>
        <v>0.49181266802308898</v>
      </c>
      <c r="Z21" s="17">
        <f>IF(Z$3="","",IF(Z$3=Steps,MAX(IF(CallPut=1,UndTree!Z21-Strike,Strike-UndTree!Z21),0),MAX((2-AmEur)*IF(CallPut=1,UndTree!Z21-Strike,Strike-UndTree!Z21),(UpProb*AA21+DownProb*AA22)*StepDiscount)))</f>
        <v>0.62654680538996854</v>
      </c>
      <c r="AA21" s="17">
        <f>IF(AA$3="","",IF(AA$3=Steps,MAX(IF(CallPut=1,UndTree!AA21-Strike,Strike-UndTree!AA21),0),MAX((2-AmEur)*IF(CallPut=1,UndTree!AA21-Strike,Strike-UndTree!AA21),(UpProb*AB21+DownProb*AB22)*StepDiscount)))</f>
        <v>0.79380239184637214</v>
      </c>
      <c r="AB21" s="17">
        <f>IF(AB$3="","",IF(AB$3=Steps,MAX(IF(CallPut=1,UndTree!AB21-Strike,Strike-UndTree!AB21),0),MAX((2-AmEur)*IF(CallPut=1,UndTree!AB21-Strike,Strike-UndTree!AB21),(UpProb*AC21+DownProb*AC22)*StepDiscount)))</f>
        <v>1.0000908467721843</v>
      </c>
      <c r="AC21" s="17">
        <f>IF(AC$3="","",IF(AC$3=Steps,MAX(IF(CallPut=1,UndTree!AC21-Strike,Strike-UndTree!AC21),0),MAX((2-AmEur)*IF(CallPut=1,UndTree!AC21-Strike,Strike-UndTree!AC21),(UpProb*AD21+DownProb*AD22)*StepDiscount)))</f>
        <v>1.2528495113803908</v>
      </c>
      <c r="AD21" s="17">
        <f>IF(AD$3="","",IF(AD$3=Steps,MAX(IF(CallPut=1,UndTree!AD21-Strike,Strike-UndTree!AD21),0),MAX((2-AmEur)*IF(CallPut=1,UndTree!AD21-Strike,Strike-UndTree!AD21),(UpProb*AE21+DownProb*AE22)*StepDiscount)))</f>
        <v>1.5604737186908126</v>
      </c>
      <c r="AE21" s="17">
        <f>IF(AE$3="","",IF(AE$3=Steps,MAX(IF(CallPut=1,UndTree!AE21-Strike,Strike-UndTree!AE21),0),MAX((2-AmEur)*IF(CallPut=1,UndTree!AE21-Strike,Strike-UndTree!AE21),(UpProb*AF21+DownProb*AF22)*StepDiscount)))</f>
        <v>1.9323223632421294</v>
      </c>
      <c r="AF21" s="17">
        <f>IF(AF$3="","",IF(AF$3=Steps,MAX(IF(CallPut=1,UndTree!AF21-Strike,Strike-UndTree!AF21),0),MAX((2-AmEur)*IF(CallPut=1,UndTree!AF21-Strike,Strike-UndTree!AF21),(UpProb*AG21+DownProb*AG22)*StepDiscount)))</f>
        <v>2.3786903428204358</v>
      </c>
      <c r="AG21" s="17">
        <f>IF(AG$3="","",IF(AG$3=Steps,MAX(IF(CallPut=1,UndTree!AG21-Strike,Strike-UndTree!AG21),0),MAX((2-AmEur)*IF(CallPut=1,UndTree!AG21-Strike,Strike-UndTree!AG21),(UpProb*AH21+DownProb*AH22)*StepDiscount)))</f>
        <v>2.9107416634477521</v>
      </c>
      <c r="AH21" s="17">
        <f>IF(AH$3="","",IF(AH$3=Steps,MAX(IF(CallPut=1,UndTree!AH21-Strike,Strike-UndTree!AH21),0),MAX((2-AmEur)*IF(CallPut=1,UndTree!AH21-Strike,Strike-UndTree!AH21),(UpProb*AI21+DownProb*AI22)*StepDiscount)))</f>
        <v>3.540398031724763</v>
      </c>
      <c r="AI21" s="17">
        <f>IF(AI$3="","",IF(AI$3=Steps,MAX(IF(CallPut=1,UndTree!AI21-Strike,Strike-UndTree!AI21),0),MAX((2-AmEur)*IF(CallPut=1,UndTree!AI21-Strike,Strike-UndTree!AI21),(UpProb*AJ21+DownProb*AJ22)*StepDiscount)))</f>
        <v>4.2801794926706309</v>
      </c>
      <c r="AJ21" s="17">
        <f>IF(AJ$3="","",IF(AJ$3=Steps,MAX(IF(CallPut=1,UndTree!AJ21-Strike,Strike-UndTree!AJ21),0),MAX((2-AmEur)*IF(CallPut=1,UndTree!AJ21-Strike,Strike-UndTree!AJ21),(UpProb*AK21+DownProb*AK22)*StepDiscount)))</f>
        <v>5.1429961446015104</v>
      </c>
      <c r="AK21" s="17">
        <f>IF(AK$3="","",IF(AK$3=Steps,MAX(IF(CallPut=1,UndTree!AK21-Strike,Strike-UndTree!AK21),0),MAX((2-AmEur)*IF(CallPut=1,UndTree!AK21-Strike,Strike-UndTree!AK21),(UpProb*AL21+DownProb*AL22)*StepDiscount)))</f>
        <v>6.1418931428090966</v>
      </c>
      <c r="AL21" s="17">
        <f>IF(AL$3="","",IF(AL$3=Steps,MAX(IF(CallPut=1,UndTree!AL21-Strike,Strike-UndTree!AL21),0),MAX((2-AmEur)*IF(CallPut=1,UndTree!AL21-Strike,Strike-UndTree!AL21),(UpProb*AM21+DownProb*AM22)*StepDiscount)))</f>
        <v>7.2897549683899339</v>
      </c>
      <c r="AM21" s="17">
        <f>IF(AM$3="","",IF(AM$3=Steps,MAX(IF(CallPut=1,UndTree!AM21-Strike,Strike-UndTree!AM21),0),MAX((2-AmEur)*IF(CallPut=1,UndTree!AM21-Strike,Strike-UndTree!AM21),(UpProb*AN21+DownProb*AN22)*StepDiscount)))</f>
        <v>8.5989790621221971</v>
      </c>
      <c r="AN21" s="17">
        <f>IF(AN$3="","",IF(AN$3=Steps,MAX(IF(CallPut=1,UndTree!AN21-Strike,Strike-UndTree!AN21),0),MAX((2-AmEur)*IF(CallPut=1,UndTree!AN21-Strike,Strike-UndTree!AN21),(UpProb*AO21+DownProb*AO22)*StepDiscount)))</f>
        <v>10.081133074973055</v>
      </c>
      <c r="AO21" s="17">
        <f>IF(AO$3="","",IF(AO$3=Steps,MAX(IF(CallPut=1,UndTree!AO21-Strike,Strike-UndTree!AO21),0),MAX((2-AmEur)*IF(CallPut=1,UndTree!AO21-Strike,Strike-UndTree!AO21),(UpProb*AP21+DownProb*AP22)*StepDiscount)))</f>
        <v>11.746613742819571</v>
      </c>
      <c r="AP21" s="17">
        <f>IF(AP$3="","",IF(AP$3=Steps,MAX(IF(CallPut=1,UndTree!AP21-Strike,Strike-UndTree!AP21),0),MAX((2-AmEur)*IF(CallPut=1,UndTree!AP21-Strike,Strike-UndTree!AP21),(UpProb*AQ21+DownProb*AQ22)*StepDiscount)))</f>
        <v>13.60432826684035</v>
      </c>
      <c r="AQ21" s="17">
        <f>IF(AQ$3="","",IF(AQ$3=Steps,MAX(IF(CallPut=1,UndTree!AQ21-Strike,Strike-UndTree!AQ21),0),MAX((2-AmEur)*IF(CallPut=1,UndTree!AQ21-Strike,Strike-UndTree!AQ21),(UpProb*AR21+DownProb*AR22)*StepDiscount)))</f>
        <v>15.6614205731843</v>
      </c>
      <c r="AR21" s="17">
        <f>IF(AR$3="","",IF(AR$3=Steps,MAX(IF(CallPut=1,UndTree!AR21-Strike,Strike-UndTree!AR21),0),MAX((2-AmEur)*IF(CallPut=1,UndTree!AR21-Strike,Strike-UndTree!AR21),(UpProb*AS21+DownProb*AS22)*StepDiscount)))</f>
        <v>17.92306448956327</v>
      </c>
      <c r="AS21" s="17">
        <f>IF(AS$3="","",IF(AS$3=Steps,MAX(IF(CallPut=1,UndTree!AS21-Strike,Strike-UndTree!AS21),0),MAX((2-AmEur)*IF(CallPut=1,UndTree!AS21-Strike,Strike-UndTree!AS21),(UpProb*AT21+DownProb*AT22)*StepDiscount)))</f>
        <v>20.392343396387137</v>
      </c>
      <c r="AT21" s="17">
        <f>IF(AT$3="","",IF(AT$3=Steps,MAX(IF(CallPut=1,UndTree!AT21-Strike,Strike-UndTree!AT21),0),MAX((2-AmEur)*IF(CallPut=1,UndTree!AT21-Strike,Strike-UndTree!AT21),(UpProb*AU21+DownProb*AU22)*StepDiscount)))</f>
        <v>23.070231178190586</v>
      </c>
      <c r="AU21" s="17">
        <f>IF(AU$3="","",IF(AU$3=Steps,MAX(IF(CallPut=1,UndTree!AU21-Strike,Strike-UndTree!AU21),0),MAX((2-AmEur)*IF(CallPut=1,UndTree!AU21-Strike,Strike-UndTree!AU21),(UpProb*AV21+DownProb*AV22)*StepDiscount)))</f>
        <v>25.955682482318014</v>
      </c>
      <c r="AV21" s="17">
        <f>IF(AV$3="","",IF(AV$3=Steps,MAX(IF(CallPut=1,UndTree!AV21-Strike,Strike-UndTree!AV21),0),MAX((2-AmEur)*IF(CallPut=1,UndTree!AV21-Strike,Strike-UndTree!AV21),(UpProb*AW21+DownProb*AW22)*StepDiscount)))</f>
        <v>29.045831859416825</v>
      </c>
      <c r="AW21" s="17">
        <f>IF(AW$3="","",IF(AW$3=Steps,MAX(IF(CallPut=1,UndTree!AW21-Strike,Strike-UndTree!AW21),0),MAX((2-AmEur)*IF(CallPut=1,UndTree!AW21-Strike,Strike-UndTree!AW21),(UpProb*AX21+DownProb*AX22)*StepDiscount)))</f>
        <v>32.336292088058656</v>
      </c>
      <c r="AX21" s="17">
        <f>IF(AX$3="","",IF(AX$3=Steps,MAX(IF(CallPut=1,UndTree!AX21-Strike,Strike-UndTree!AX21),0),MAX((2-AmEur)*IF(CallPut=1,UndTree!AX21-Strike,Strike-UndTree!AX21),(UpProb*AY21+DownProb*AY22)*StepDiscount)))</f>
        <v>35.821532886833559</v>
      </c>
      <c r="AY21" s="17">
        <f>IF(AY$3="","",IF(AY$3=Steps,MAX(IF(CallPut=1,UndTree!AY21-Strike,Strike-UndTree!AY21),0),MAX((2-AmEur)*IF(CallPut=1,UndTree!AY21-Strike,Strike-UndTree!AY21),(UpProb*AZ21+DownProb*AZ22)*StepDiscount)))</f>
        <v>39.49531342746581</v>
      </c>
      <c r="AZ21" s="17">
        <f>IF(AZ$3="","",IF(AZ$3=Steps,MAX(IF(CallPut=1,UndTree!AZ21-Strike,Strike-UndTree!AZ21),0),MAX((2-AmEur)*IF(CallPut=1,UndTree!AZ21-Strike,Strike-UndTree!AZ21),(UpProb*BA21+DownProb*BA22)*StepDiscount)))</f>
        <v>43.351136678825846</v>
      </c>
      <c r="BA21" s="17">
        <f>IF(BA$3="","",IF(BA$3=Steps,MAX(IF(CallPut=1,UndTree!BA21-Strike,Strike-UndTree!BA21),0),MAX((2-AmEur)*IF(CallPut=1,UndTree!BA21-Strike,Strike-UndTree!BA21),(UpProb*BB21+DownProb*BB22)*StepDiscount)))</f>
        <v>47.382691506969628</v>
      </c>
      <c r="BB21" s="17">
        <f>IF(BB$3="","",IF(BB$3=Steps,MAX(IF(CallPut=1,UndTree!BB21-Strike,Strike-UndTree!BB21),0),MAX((2-AmEur)*IF(CallPut=1,UndTree!BB21-Strike,Strike-UndTree!BB21),(UpProb*BC21+DownProb*BC22)*StepDiscount)))</f>
        <v>51.584250103461727</v>
      </c>
      <c r="BC21" s="17">
        <f>IF(BC$3="","",IF(BC$3=Steps,MAX(IF(CallPut=1,UndTree!BC21-Strike,Strike-UndTree!BC21),0),MAX((2-AmEur)*IF(CallPut=1,UndTree!BC21-Strike,Strike-UndTree!BC21),(UpProb*BD21+DownProb*BD22)*StepDiscount)))</f>
        <v>55.95099365823166</v>
      </c>
      <c r="BD21" s="17">
        <f>IF(BD$3="","",IF(BD$3=Steps,MAX(IF(CallPut=1,UndTree!BD21-Strike,Strike-UndTree!BD21),0),MAX((2-AmEur)*IF(CallPut=1,UndTree!BD21-Strike,Strike-UndTree!BD21),(UpProb*BE21+DownProb*BE22)*StepDiscount)))</f>
        <v>60.479247606379829</v>
      </c>
      <c r="BE21" s="17">
        <f>IF(BE$3="","",IF(BE$3=Steps,MAX(IF(CallPut=1,UndTree!BE21-Strike,Strike-UndTree!BE21),0),MAX((2-AmEur)*IF(CallPut=1,UndTree!BE21-Strike,Strike-UndTree!BE21),(UpProb*BF21+DownProb*BF22)*StepDiscount)))</f>
        <v>65.166618122162816</v>
      </c>
      <c r="BF21" s="17">
        <f>IF(BF$3="","",IF(BF$3=Steps,MAX(IF(CallPut=1,UndTree!BF21-Strike,Strike-UndTree!BF21),0),MAX((2-AmEur)*IF(CallPut=1,UndTree!BF21-Strike,Strike-UndTree!BF21),(UpProb*BG21+DownProb*BG22)*StepDiscount)))</f>
        <v>70.012032329118298</v>
      </c>
      <c r="BG21" s="17">
        <f>IF(BG$3="","",IF(BG$3=Steps,MAX(IF(CallPut=1,UndTree!BG21-Strike,Strike-UndTree!BG21),0),MAX((2-AmEur)*IF(CallPut=1,UndTree!BG21-Strike,Strike-UndTree!BG21),(UpProb*BH21+DownProb*BH22)*StepDiscount)))</f>
        <v>75.015694379280006</v>
      </c>
      <c r="BH21" s="17">
        <f>IF(BH$3="","",IF(BH$3=Steps,MAX(IF(CallPut=1,UndTree!BH21-Strike,Strike-UndTree!BH21),0),MAX((2-AmEur)*IF(CallPut=1,UndTree!BH21-Strike,Strike-UndTree!BH21),(UpProb*BI21+DownProb*BI22)*StepDiscount)))</f>
        <v>80.178976769092614</v>
      </c>
      <c r="BI21" s="17">
        <f>IF(BI$3="","",IF(BI$3=Steps,MAX(IF(CallPut=1,UndTree!BI21-Strike,Strike-UndTree!BI21),0),MAX((2-AmEur)*IF(CallPut=1,UndTree!BI21-Strike,Strike-UndTree!BI21),(UpProb*BJ21+DownProb*BJ22)*StepDiscount)))</f>
        <v>85.504270115408758</v>
      </c>
      <c r="BJ21" s="17">
        <f>IF(BJ$3="","",IF(BJ$3=Steps,MAX(IF(CallPut=1,UndTree!BJ21-Strike,Strike-UndTree!BJ21),0),MAX((2-AmEur)*IF(CallPut=1,UndTree!BJ21-Strike,Strike-UndTree!BJ21),(UpProb*BK21+DownProb*BK22)*StepDiscount)))</f>
        <v>90.994814858489718</v>
      </c>
      <c r="BK21" s="17">
        <f>IF(BK$3="","",IF(BK$3=Steps,MAX(IF(CallPut=1,UndTree!BK21-Strike,Strike-UndTree!BK21),0),MAX((2-AmEur)*IF(CallPut=1,UndTree!BK21-Strike,Strike-UndTree!BK21),(UpProb*BL21+DownProb*BL22)*StepDiscount)))</f>
        <v>96.654535401382773</v>
      </c>
      <c r="BL21" s="17">
        <f>IF(BL$3="","",IF(BL$3=Steps,MAX(IF(CallPut=1,UndTree!BL21-Strike,Strike-UndTree!BL21),0),MAX((2-AmEur)*IF(CallPut=1,UndTree!BL21-Strike,Strike-UndTree!BL21),(UpProb*BM21+DownProb*BM22)*StepDiscount)))</f>
        <v>102.48789198881799</v>
      </c>
      <c r="BM21" s="17">
        <f>IF(BM$3="","",IF(BM$3=Steps,MAX(IF(CallPut=1,UndTree!BM21-Strike,Strike-UndTree!BM21),0),MAX((2-AmEur)*IF(CallPut=1,UndTree!BM21-Strike,Strike-UndTree!BM21),(UpProb*BN21+DownProb*BN22)*StepDiscount)))</f>
        <v>108.49975942285354</v>
      </c>
      <c r="BN21" s="17">
        <f>IF(BN$3="","",IF(BN$3=Steps,MAX(IF(CallPut=1,UndTree!BN21-Strike,Strike-UndTree!BN21),0),MAX((2-AmEur)*IF(CallPut=1,UndTree!BN21-Strike,Strike-UndTree!BN21),(UpProb*BO21+DownProb*BO22)*StepDiscount)))</f>
        <v>114.69533575206611</v>
      </c>
      <c r="BO21" s="17">
        <f>IF(BO$3="","",IF(BO$3=Steps,MAX(IF(CallPut=1,UndTree!BO21-Strike,Strike-UndTree!BO21),0),MAX((2-AmEur)*IF(CallPut=1,UndTree!BO21-Strike,Strike-UndTree!BO21),(UpProb*BP21+DownProb*BP22)*StepDiscount)))</f>
        <v>121.08007932404266</v>
      </c>
      <c r="BP21" s="17">
        <f>IF(BP$3="","",IF(BP$3=Steps,MAX(IF(CallPut=1,UndTree!BP21-Strike,Strike-UndTree!BP21),0),MAX((2-AmEur)*IF(CallPut=1,UndTree!BP21-Strike,Strike-UndTree!BP21),(UpProb*BQ21+DownProb*BQ22)*StepDiscount)))</f>
        <v>127.65966957497284</v>
      </c>
      <c r="BQ21" s="17">
        <f>IF(BQ$3="","",IF(BQ$3=Steps,MAX(IF(CallPut=1,UndTree!BQ21-Strike,Strike-UndTree!BQ21),0),MAX((2-AmEur)*IF(CallPut=1,UndTree!BQ21-Strike,Strike-UndTree!BQ21),(UpProb*BR21+DownProb*BR22)*StepDiscount)))</f>
        <v>134.43998567990238</v>
      </c>
      <c r="BR21" s="17">
        <f>IF(BR$3="","",IF(BR$3=Steps,MAX(IF(CallPut=1,UndTree!BR21-Strike,Strike-UndTree!BR21),0),MAX((2-AmEur)*IF(CallPut=1,UndTree!BR21-Strike,Strike-UndTree!BR21),(UpProb*BS21+DownProb*BS22)*StepDiscount)))</f>
        <v>141.42709735430407</v>
      </c>
      <c r="BS21" s="17">
        <f>IF(BS$3="","",IF(BS$3=Steps,MAX(IF(CallPut=1,UndTree!BS21-Strike,Strike-UndTree!BS21),0),MAX((2-AmEur)*IF(CallPut=1,UndTree!BS21-Strike,Strike-UndTree!BS21),(UpProb*BT21+DownProb*BT22)*StepDiscount)))</f>
        <v>148.62726313400336</v>
      </c>
      <c r="BT21" s="17">
        <f>IF(BT$3="","",IF(BT$3=Steps,MAX(IF(CallPut=1,UndTree!BT21-Strike,Strike-UndTree!BT21),0),MAX((2-AmEur)*IF(CallPut=1,UndTree!BT21-Strike,Strike-UndTree!BT21),(UpProb*BU21+DownProb*BU22)*StepDiscount)))</f>
        <v>156.04693281394779</v>
      </c>
      <c r="BU21" s="17">
        <f>IF(BU$3="","",IF(BU$3=Steps,MAX(IF(CallPut=1,UndTree!BU21-Strike,Strike-UndTree!BU21),0),MAX((2-AmEur)*IF(CallPut=1,UndTree!BU21-Strike,Strike-UndTree!BU21),(UpProb*BV21+DownProb*BV22)*StepDiscount)))</f>
        <v>163.6927519841488</v>
      </c>
      <c r="BV21" s="17">
        <f>IF(BV$3="","",IF(BV$3=Steps,MAX(IF(CallPut=1,UndTree!BV21-Strike,Strike-UndTree!BV21),0),MAX((2-AmEur)*IF(CallPut=1,UndTree!BV21-Strike,Strike-UndTree!BV21),(UpProb*BW21+DownProb*BW22)*StepDiscount)))</f>
        <v>171.57156754850985</v>
      </c>
      <c r="BW21" s="17">
        <f>IF(BW$3="","",IF(BW$3=Steps,MAX(IF(CallPut=1,UndTree!BW21-Strike,Strike-UndTree!BW21),0),MAX((2-AmEur)*IF(CallPut=1,UndTree!BW21-Strike,Strike-UndTree!BW21),(UpProb*BX21+DownProb*BX22)*StepDiscount)))</f>
        <v>179.69043371028482</v>
      </c>
      <c r="BX21" s="17">
        <f>IF(BX$3="","",IF(BX$3=Steps,MAX(IF(CallPut=1,UndTree!BX21-Strike,Strike-UndTree!BX21),0),MAX((2-AmEur)*IF(CallPut=1,UndTree!BX21-Strike,Strike-UndTree!BX21),(UpProb*BY21+DownProb*BY22)*StepDiscount)))</f>
        <v>188.05661822528677</v>
      </c>
      <c r="BY21" s="17">
        <f>IF(BY$3="","",IF(BY$3=Steps,MAX(IF(CallPut=1,UndTree!BY21-Strike,Strike-UndTree!BY21),0),MAX((2-AmEur)*IF(CallPut=1,UndTree!BY21-Strike,Strike-UndTree!BY21),(UpProb*BZ21+DownProb*BZ22)*StepDiscount)))</f>
        <v>196.67760886355447</v>
      </c>
      <c r="BZ21" s="17">
        <f>IF(BZ$3="","",IF(BZ$3=Steps,MAX(IF(CallPut=1,UndTree!BZ21-Strike,Strike-UndTree!BZ21),0),MAX((2-AmEur)*IF(CallPut=1,UndTree!BZ21-Strike,Strike-UndTree!BZ21),(UpProb*CA21+DownProb*CA22)*StepDiscount)))</f>
        <v>205.56112006952313</v>
      </c>
      <c r="CA21" s="17">
        <f>IF(CA$3="","",IF(CA$3=Steps,MAX(IF(CallPut=1,UndTree!CA21-Strike,Strike-UndTree!CA21),0),MAX((2-AmEur)*IF(CallPut=1,UndTree!CA21-Strike,Strike-UndTree!CA21),(UpProb*CB21+DownProb*CB22)*StepDiscount)))</f>
        <v>214.71509982403907</v>
      </c>
      <c r="CB21" s="17">
        <f>IF(CB$3="","",IF(CB$3=Steps,MAX(IF(CallPut=1,UndTree!CB21-Strike,Strike-UndTree!CB21),0),MAX((2-AmEur)*IF(CallPut=1,UndTree!CB21-Strike,Strike-UndTree!CB21),(UpProb*CC21+DownProb*CC22)*StepDiscount)))</f>
        <v>224.14773671410506</v>
      </c>
      <c r="CC21" s="17">
        <f>IF(CC$3="","",IF(CC$3=Steps,MAX(IF(CallPut=1,UndTree!CC21-Strike,Strike-UndTree!CC21),0),MAX((2-AmEur)*IF(CallPut=1,UndTree!CC21-Strike,Strike-UndTree!CC21),(UpProb*CD21+DownProb*CD22)*StepDiscount)))</f>
        <v>233.8674672166448</v>
      </c>
      <c r="CD21" s="17">
        <f>IF(CD$3="","",IF(CD$3=Steps,MAX(IF(CallPut=1,UndTree!CD21-Strike,Strike-UndTree!CD21),0),MAX((2-AmEur)*IF(CallPut=1,UndTree!CD21-Strike,Strike-UndTree!CD21),(UpProb*CE21+DownProb*CE22)*StepDiscount)))</f>
        <v>243.88298320276516</v>
      </c>
      <c r="CE21" s="17">
        <f>IF(CE$3="","",IF(CE$3=Steps,MAX(IF(CallPut=1,UndTree!CE21-Strike,Strike-UndTree!CE21),0),MAX((2-AmEur)*IF(CallPut=1,UndTree!CE21-Strike,Strike-UndTree!CE21),(UpProb*CF21+DownProb*CF22)*StepDiscount)))</f>
        <v>254.20323966919176</v>
      </c>
      <c r="CF21" s="17">
        <f>IF(CF$3="","",IF(CF$3=Steps,MAX(IF(CallPut=1,UndTree!CF21-Strike,Strike-UndTree!CF21),0),MAX((2-AmEur)*IF(CallPut=1,UndTree!CF21-Strike,Strike-UndTree!CF21),(UpProb*CG21+DownProb*CG22)*StepDiscount)))</f>
        <v>264.8374627037548</v>
      </c>
      <c r="CG21" s="17">
        <f>IF(CG$3="","",IF(CG$3=Steps,MAX(IF(CallPut=1,UndTree!CG21-Strike,Strike-UndTree!CG21),0),MAX((2-AmEur)*IF(CallPut=1,UndTree!CG21-Strike,Strike-UndTree!CG21),(UpProb*CH21+DownProb*CH22)*StepDiscount)))</f>
        <v>275.79515769201083</v>
      </c>
      <c r="CH21" s="17">
        <f>IF(CH$3="","",IF(CH$3=Steps,MAX(IF(CallPut=1,UndTree!CH21-Strike,Strike-UndTree!CH21),0),MAX((2-AmEur)*IF(CallPut=1,UndTree!CH21-Strike,Strike-UndTree!CH21),(UpProb*CI21+DownProb*CI22)*StepDiscount)))</f>
        <v>287.08611777230038</v>
      </c>
      <c r="CI21" s="17">
        <f>IF(CI$3="","",IF(CI$3=Steps,MAX(IF(CallPut=1,UndTree!CI21-Strike,Strike-UndTree!CI21),0),MAX((2-AmEur)*IF(CallPut=1,UndTree!CI21-Strike,Strike-UndTree!CI21),(UpProb*CJ21+DownProb*CJ22)*StepDiscount)))</f>
        <v>298.72043254676282</v>
      </c>
      <c r="CJ21" s="17">
        <f>IF(CJ$3="","",IF(CJ$3=Steps,MAX(IF(CallPut=1,UndTree!CJ21-Strike,Strike-UndTree!CJ21),0),MAX((2-AmEur)*IF(CallPut=1,UndTree!CJ21-Strike,Strike-UndTree!CJ21),(UpProb*CK21+DownProb*CK22)*StepDiscount)))</f>
        <v>310.70849705605622</v>
      </c>
      <c r="CK21" s="17">
        <f>IF(CK$3="","",IF(CK$3=Steps,MAX(IF(CallPut=1,UndTree!CK21-Strike,Strike-UndTree!CK21),0),MAX((2-AmEur)*IF(CallPut=1,UndTree!CK21-Strike,Strike-UndTree!CK21),(UpProb*CL21+DownProb*CL22)*StepDiscount)))</f>
        <v>323.06102102576494</v>
      </c>
      <c r="CL21" s="17">
        <f>IF(CL$3="","",IF(CL$3=Steps,MAX(IF(CallPut=1,UndTree!CL21-Strike,Strike-UndTree!CL21),0),MAX((2-AmEur)*IF(CallPut=1,UndTree!CL21-Strike,Strike-UndTree!CL21),(UpProb*CM21+DownProb*CM22)*StepDiscount)))</f>
        <v>335.78903839271925</v>
      </c>
      <c r="CM21" s="17">
        <f>IF(CM$3="","",IF(CM$3=Steps,MAX(IF(CallPut=1,UndTree!CM21-Strike,Strike-UndTree!CM21),0),MAX((2-AmEur)*IF(CallPut=1,UndTree!CM21-Strike,Strike-UndTree!CM21),(UpProb*CN21+DownProb*CN22)*StepDiscount)))</f>
        <v>348.90391711969932</v>
      </c>
      <c r="CN21" s="17">
        <f>IF(CN$3="","",IF(CN$3=Steps,MAX(IF(CallPut=1,UndTree!CN21-Strike,Strike-UndTree!CN21),0),MAX((2-AmEur)*IF(CallPut=1,UndTree!CN21-Strike,Strike-UndTree!CN21),(UpProb*CO21+DownProb*CO22)*StepDiscount)))</f>
        <v>362.41736930725369</v>
      </c>
      <c r="CO21" s="17">
        <f>IF(CO$3="","",IF(CO$3=Steps,MAX(IF(CallPut=1,UndTree!CO21-Strike,Strike-UndTree!CO21),0),MAX((2-AmEur)*IF(CallPut=1,UndTree!CO21-Strike,Strike-UndTree!CO21),(UpProb*CP21+DownProb*CP22)*StepDiscount)))</f>
        <v>376.3414616116267</v>
      </c>
      <c r="CP21" s="17">
        <f>IF(CP$3="","",IF(CP$3=Steps,MAX(IF(CallPut=1,UndTree!CP21-Strike,Strike-UndTree!CP21),0),MAX((2-AmEur)*IF(CallPut=1,UndTree!CP21-Strike,Strike-UndTree!CP21),(UpProb*CQ21+DownProb*CQ22)*StepDiscount)))</f>
        <v>390.6886259780639</v>
      </c>
      <c r="CQ21" s="17">
        <f>IF(CQ$3="","",IF(CQ$3=Steps,MAX(IF(CallPut=1,UndTree!CQ21-Strike,Strike-UndTree!CQ21),0),MAX((2-AmEur)*IF(CallPut=1,UndTree!CQ21-Strike,Strike-UndTree!CQ21),(UpProb*CR21+DownProb*CR22)*StepDiscount)))</f>
        <v>405.47167069904475</v>
      </c>
      <c r="CR21" s="17">
        <f>IF(CR$3="","",IF(CR$3=Steps,MAX(IF(CallPut=1,UndTree!CR21-Strike,Strike-UndTree!CR21),0),MAX((2-AmEur)*IF(CallPut=1,UndTree!CR21-Strike,Strike-UndTree!CR21),(UpProb*CS21+DownProb*CS22)*StepDiscount)))</f>
        <v>420.70379180728321</v>
      </c>
      <c r="CS21" s="17">
        <f>IF(CS$3="","",IF(CS$3=Steps,MAX(IF(CallPut=1,UndTree!CS21-Strike,Strike-UndTree!CS21),0),MAX((2-AmEur)*IF(CallPut=1,UndTree!CS21-Strike,Strike-UndTree!CS21),(UpProb*CT21+DownProb*CT22)*StepDiscount)))</f>
        <v>436.3985848136291</v>
      </c>
      <c r="CT21" s="17">
        <f>IF(CT$3="","",IF(CT$3=Steps,MAX(IF(CallPut=1,UndTree!CT21-Strike,Strike-UndTree!CT21),0),MAX((2-AmEur)*IF(CallPut=1,UndTree!CT21-Strike,Strike-UndTree!CT21),(UpProb*CU21+DownProb*CU22)*StepDiscount)))</f>
        <v>452.57005680030693</v>
      </c>
      <c r="CU21" s="17">
        <f>IF(CU$3="","",IF(CU$3=Steps,MAX(IF(CallPut=1,UndTree!CU21-Strike,Strike-UndTree!CU21),0),MAX((2-AmEur)*IF(CallPut=1,UndTree!CU21-Strike,Strike-UndTree!CU21),(UpProb*CV21+DownProb*CV22)*StepDiscount)))</f>
        <v>469.23263888024059</v>
      </c>
      <c r="CV21" s="17">
        <f>IF(CV$3="","",IF(CV$3=Steps,MAX(IF(CallPut=1,UndTree!CV21-Strike,Strike-UndTree!CV21),0),MAX((2-AmEur)*IF(CallPut=1,UndTree!CV21-Strike,Strike-UndTree!CV21),(UpProb*CW21+DownProb*CW22)*StepDiscount)))</f>
        <v>486.40119903353371</v>
      </c>
      <c r="CW21" s="17">
        <f>IF(CW$3="","",IF(CW$3=Steps,MAX(IF(CallPut=1,UndTree!CW21-Strike,Strike-UndTree!CW21),0),MAX((2-AmEur)*IF(CallPut=1,UndTree!CW21-Strike,Strike-UndTree!CW21),(UpProb*CX21+DownProb*CX22)*StepDiscount)))</f>
        <v>504.09105533252193</v>
      </c>
      <c r="CX21" s="17">
        <f>IF(CX$3="","",IF(CX$3=Steps,MAX(IF(CallPut=1,UndTree!CX21-Strike,Strike-UndTree!CX21),0),MAX((2-AmEur)*IF(CallPut=1,UndTree!CX21-Strike,Strike-UndTree!CX21),(UpProb*CY21+DownProb*CY22)*StepDiscount)))</f>
        <v>522.3179895671741</v>
      </c>
      <c r="CY21" s="17">
        <f>IF(CY$3="","",IF(CY$3=Steps,MAX(IF(CallPut=1,UndTree!CY21-Strike,Strike-UndTree!CY21),0),MAX((2-AmEur)*IF(CallPut=1,UndTree!CY21-Strike,Strike-UndTree!CY21),(UpProb*CZ21+DownProb*CZ22)*StepDiscount)))</f>
        <v>541.09826128301006</v>
      </c>
      <c r="CZ21" s="17">
        <f>IF(CZ$3="","",IF(CZ$3=Steps,MAX(IF(CallPut=1,UndTree!CZ21-Strike,Strike-UndTree!CZ21),0),MAX((2-AmEur)*IF(CallPut=1,UndTree!CZ21-Strike,Strike-UndTree!CZ21),(UpProb*DA21+DownProb*DA22)*StepDiscount)))</f>
        <v>560.44862224415135</v>
      </c>
      <c r="DA21" s="17">
        <f>IF(DA$3="","",IF(DA$3=Steps,MAX(IF(CallPut=1,UndTree!DA21-Strike,Strike-UndTree!DA21),0),MAX((2-AmEur)*IF(CallPut=1,UndTree!DA21-Strike,Strike-UndTree!DA21),(UpProb*DB21+DownProb*DB22)*StepDiscount)))</f>
        <v>580.38633133445308</v>
      </c>
      <c r="DB21" s="17">
        <f>IF(DB$3="","",IF(DB$3=Steps,MAX(IF(CallPut=1,UndTree!DB21-Strike,Strike-UndTree!DB21),0),MAX((2-AmEur)*IF(CallPut=1,UndTree!DB21-Strike,Strike-UndTree!DB21),(UpProb*DC21+DownProb*DC22)*StepDiscount)))</f>
        <v>600.9291699094</v>
      </c>
    </row>
    <row r="22" spans="1:106" x14ac:dyDescent="0.2">
      <c r="A22">
        <f>ExDivTree!A22</f>
        <v>3.7314645675925398E+19</v>
      </c>
      <c r="B22" s="71">
        <f>ExDivTree!B22</f>
        <v>1.4718032582955911E-11</v>
      </c>
      <c r="C22" s="71">
        <f>ExDivTree!C22</f>
        <v>1.7479000384620924E-11</v>
      </c>
      <c r="D22" s="177">
        <f>ExDivTree!D22</f>
        <v>18</v>
      </c>
      <c r="W22" s="17">
        <f>IF(W$3="","",IF(W$3=Steps,MAX(IF(CallPut=1,UndTree!W22-Strike,Strike-UndTree!W22),0),MAX((2-AmEur)*IF(CallPut=1,UndTree!W22-Strike,Strike-UndTree!W22),(UpProb*X22+DownProb*X23)*StepDiscount)))</f>
        <v>0.16237494767872751</v>
      </c>
      <c r="X22" s="17">
        <f>IF(X$3="","",IF(X$3=Steps,MAX(IF(CallPut=1,UndTree!X22-Strike,Strike-UndTree!X22),0),MAX((2-AmEur)*IF(CallPut=1,UndTree!X22-Strike,Strike-UndTree!X22),(UpProb*Y22+DownProb*Y23)*StepDiscount)))</f>
        <v>0.21222960786798914</v>
      </c>
      <c r="Y22" s="17">
        <f>IF(Y$3="","",IF(Y$3=Steps,MAX(IF(CallPut=1,UndTree!Y22-Strike,Strike-UndTree!Y22),0),MAX((2-AmEur)*IF(CallPut=1,UndTree!Y22-Strike,Strike-UndTree!Y22),(UpProb*Z22+DownProb*Z23)*StepDiscount)))</f>
        <v>0.27594427931671184</v>
      </c>
      <c r="Z22" s="17">
        <f>IF(Z$3="","",IF(Z$3=Steps,MAX(IF(CallPut=1,UndTree!Z22-Strike,Strike-UndTree!Z22),0),MAX((2-AmEur)*IF(CallPut=1,UndTree!Z22-Strike,Strike-UndTree!Z22),(UpProb*AA22+DownProb*AA23)*StepDiscount)))</f>
        <v>0.35688149874642361</v>
      </c>
      <c r="AA22" s="17">
        <f>IF(AA$3="","",IF(AA$3=Steps,MAX(IF(CallPut=1,UndTree!AA22-Strike,Strike-UndTree!AA22),0),MAX((2-AmEur)*IF(CallPut=1,UndTree!AA22-Strike,Strike-UndTree!AA22),(UpProb*AB22+DownProb*AB23)*StepDiscount)))</f>
        <v>0.45906353986126214</v>
      </c>
      <c r="AB22" s="17">
        <f>IF(AB$3="","",IF(AB$3=Steps,MAX(IF(CallPut=1,UndTree!AB22-Strike,Strike-UndTree!AB22),0),MAX((2-AmEur)*IF(CallPut=1,UndTree!AB22-Strike,Strike-UndTree!AB22),(UpProb*AC22+DownProb*AC23)*StepDiscount)))</f>
        <v>0.58725532711983497</v>
      </c>
      <c r="AC22" s="17">
        <f>IF(AC$3="","",IF(AC$3=Steps,MAX(IF(CallPut=1,UndTree!AC22-Strike,Strike-UndTree!AC22),0),MAX((2-AmEur)*IF(CallPut=1,UndTree!AC22-Strike,Strike-UndTree!AC22),(UpProb*AD22+DownProb*AD23)*StepDiscount)))</f>
        <v>0.74704430926157284</v>
      </c>
      <c r="AD22" s="17">
        <f>IF(AD$3="","",IF(AD$3=Steps,MAX(IF(CallPut=1,UndTree!AD22-Strike,Strike-UndTree!AD22),0),MAX((2-AmEur)*IF(CallPut=1,UndTree!AD22-Strike,Strike-UndTree!AD22),(UpProb*AE22+DownProb*AE23)*StepDiscount)))</f>
        <v>0.94491259370048797</v>
      </c>
      <c r="AE22" s="17">
        <f>IF(AE$3="","",IF(AE$3=Steps,MAX(IF(CallPut=1,UndTree!AE22-Strike,Strike-UndTree!AE22),0),MAX((2-AmEur)*IF(CallPut=1,UndTree!AE22-Strike,Strike-UndTree!AE22),(UpProb*AF22+DownProb*AF23)*StepDiscount)))</f>
        <v>1.1882956914590845</v>
      </c>
      <c r="AF22" s="17">
        <f>IF(AF$3="","",IF(AF$3=Steps,MAX(IF(CallPut=1,UndTree!AF22-Strike,Strike-UndTree!AF22),0),MAX((2-AmEur)*IF(CallPut=1,UndTree!AF22-Strike,Strike-UndTree!AF22),(UpProb*AG22+DownProb*AG23)*StepDiscount)))</f>
        <v>1.4856213968191245</v>
      </c>
      <c r="AG22" s="17">
        <f>IF(AG$3="","",IF(AG$3=Steps,MAX(IF(CallPut=1,UndTree!AG22-Strike,Strike-UndTree!AG22),0),MAX((2-AmEur)*IF(CallPut=1,UndTree!AG22-Strike,Strike-UndTree!AG22),(UpProb*AH22+DownProb*AH23)*StepDiscount)))</f>
        <v>1.8463217457802388</v>
      </c>
      <c r="AH22" s="17">
        <f>IF(AH$3="","",IF(AH$3=Steps,MAX(IF(CallPut=1,UndTree!AH22-Strike,Strike-UndTree!AH22),0),MAX((2-AmEur)*IF(CallPut=1,UndTree!AH22-Strike,Strike-UndTree!AH22),(UpProb*AI22+DownProb*AI23)*StepDiscount)))</f>
        <v>2.2808107996762317</v>
      </c>
      <c r="AI22" s="17">
        <f>IF(AI$3="","",IF(AI$3=Steps,MAX(IF(CallPut=1,UndTree!AI22-Strike,Strike-UndTree!AI22),0),MAX((2-AmEur)*IF(CallPut=1,UndTree!AI22-Strike,Strike-UndTree!AI22),(UpProb*AJ22+DownProb*AJ23)*StepDiscount)))</f>
        <v>2.80042132931532</v>
      </c>
      <c r="AJ22" s="17">
        <f>IF(AJ$3="","",IF(AJ$3=Steps,MAX(IF(CallPut=1,UndTree!AJ22-Strike,Strike-UndTree!AJ22),0),MAX((2-AmEur)*IF(CallPut=1,UndTree!AJ22-Strike,Strike-UndTree!AJ22),(UpProb*AK22+DownProb*AK23)*StepDiscount)))</f>
        <v>3.4172944676093993</v>
      </c>
      <c r="AK22" s="17">
        <f>IF(AK$3="","",IF(AK$3=Steps,MAX(IF(CallPut=1,UndTree!AK22-Strike,Strike-UndTree!AK22),0),MAX((2-AmEur)*IF(CallPut=1,UndTree!AK22-Strike,Strike-UndTree!AK22),(UpProb*AL22+DownProb*AL23)*StepDiscount)))</f>
        <v>4.1442181640891143</v>
      </c>
      <c r="AL22" s="17">
        <f>IF(AL$3="","",IF(AL$3=Steps,MAX(IF(CallPut=1,UndTree!AL22-Strike,Strike-UndTree!AL22),0),MAX((2-AmEur)*IF(CallPut=1,UndTree!AL22-Strike,Strike-UndTree!AL22),(UpProb*AM22+DownProb*AM23)*StepDiscount)))</f>
        <v>4.9944128708021145</v>
      </c>
      <c r="AM22" s="17">
        <f>IF(AM$3="","",IF(AM$3=Steps,MAX(IF(CallPut=1,UndTree!AM22-Strike,Strike-UndTree!AM22),0),MAX((2-AmEur)*IF(CallPut=1,UndTree!AM22-Strike,Strike-UndTree!AM22),(UpProb*AN22+DownProb*AN23)*StepDiscount)))</f>
        <v>5.9812662967901531</v>
      </c>
      <c r="AN22" s="17">
        <f>IF(AN$3="","",IF(AN$3=Steps,MAX(IF(CallPut=1,UndTree!AN22-Strike,Strike-UndTree!AN22),0),MAX((2-AmEur)*IF(CallPut=1,UndTree!AN22-Strike,Strike-UndTree!AN22),(UpProb*AO22+DownProb*AO23)*StepDiscount)))</f>
        <v>7.1180231679489694</v>
      </c>
      <c r="AO22" s="17">
        <f>IF(AO$3="","",IF(AO$3=Steps,MAX(IF(CallPut=1,UndTree!AO22-Strike,Strike-UndTree!AO22),0),MAX((2-AmEur)*IF(CallPut=1,UndTree!AO22-Strike,Strike-UndTree!AO22),(UpProb*AP22+DownProb*AP23)*StepDiscount)))</f>
        <v>8.4174404829327987</v>
      </c>
      <c r="AP22" s="17">
        <f>IF(AP$3="","",IF(AP$3=Steps,MAX(IF(CallPut=1,UndTree!AP22-Strike,Strike-UndTree!AP22),0),MAX((2-AmEur)*IF(CallPut=1,UndTree!AP22-Strike,Strike-UndTree!AP22),(UpProb*AQ22+DownProb*AQ23)*StepDiscount)))</f>
        <v>9.8914234025435928</v>
      </c>
      <c r="AQ22" s="17">
        <f>IF(AQ$3="","",IF(AQ$3=Steps,MAX(IF(CallPut=1,UndTree!AQ22-Strike,Strike-UndTree!AQ22),0),MAX((2-AmEur)*IF(CallPut=1,UndTree!AQ22-Strike,Strike-UndTree!AQ22),(UpProb*AR22+DownProb*AR23)*StepDiscount)))</f>
        <v>11.550661176021663</v>
      </c>
      <c r="AR22" s="17">
        <f>IF(AR$3="","",IF(AR$3=Steps,MAX(IF(CallPut=1,UndTree!AR22-Strike,Strike-UndTree!AR22),0),MAX((2-AmEur)*IF(CallPut=1,UndTree!AR22-Strike,Strike-UndTree!AR22),(UpProb*AS22+DownProb*AS23)*StepDiscount)))</f>
        <v>13.404285839203647</v>
      </c>
      <c r="AS22" s="17">
        <f>IF(AS$3="","",IF(AS$3=Steps,MAX(IF(CallPut=1,UndTree!AS22-Strike,Strike-UndTree!AS22),0),MAX((2-AmEur)*IF(CallPut=1,UndTree!AS22-Strike,Strike-UndTree!AS22),(UpProb*AT22+DownProb*AT23)*StepDiscount)))</f>
        <v>15.459578238663942</v>
      </c>
      <c r="AT22" s="17">
        <f>IF(AT$3="","",IF(AT$3=Steps,MAX(IF(CallPut=1,UndTree!AT22-Strike,Strike-UndTree!AT22),0),MAX((2-AmEur)*IF(CallPut=1,UndTree!AT22-Strike,Strike-UndTree!AT22),(UpProb*AU22+DownProb*AU23)*StepDiscount)))</f>
        <v>17.72174571711977</v>
      </c>
      <c r="AU22" s="17">
        <f>IF(AU$3="","",IF(AU$3=Steps,MAX(IF(CallPut=1,UndTree!AU22-Strike,Strike-UndTree!AU22),0),MAX((2-AmEur)*IF(CallPut=1,UndTree!AU22-Strike,Strike-UndTree!AU22),(UpProb*AV22+DownProb*AV23)*StepDiscount)))</f>
        <v>20.193793156522055</v>
      </c>
      <c r="AV22" s="17">
        <f>IF(AV$3="","",IF(AV$3=Steps,MAX(IF(CallPut=1,UndTree!AV22-Strike,Strike-UndTree!AV22),0),MAX((2-AmEur)*IF(CallPut=1,UndTree!AV22-Strike,Strike-UndTree!AV22),(UpProb*AW22+DownProb*AW23)*StepDiscount)))</f>
        <v>22.87650387148425</v>
      </c>
      <c r="AW22" s="17">
        <f>IF(AW$3="","",IF(AW$3=Steps,MAX(IF(CallPut=1,UndTree!AW22-Strike,Strike-UndTree!AW22),0),MAX((2-AmEur)*IF(CallPut=1,UndTree!AW22-Strike,Strike-UndTree!AW22),(UpProb*AX22+DownProb*AX23)*StepDiscount)))</f>
        <v>25.768539248663409</v>
      </c>
      <c r="AX22" s="17">
        <f>IF(AX$3="","",IF(AX$3=Steps,MAX(IF(CallPut=1,UndTree!AX22-Strike,Strike-UndTree!AX22),0),MAX((2-AmEur)*IF(CallPut=1,UndTree!AX22-Strike,Strike-UndTree!AX22),(UpProb*AY22+DownProb*AY23)*StepDiscount)))</f>
        <v>28.86665657151369</v>
      </c>
      <c r="AY22" s="17">
        <f>IF(AY$3="","",IF(AY$3=Steps,MAX(IF(CallPut=1,UndTree!AY22-Strike,Strike-UndTree!AY22),0),MAX((2-AmEur)*IF(CallPut=1,UndTree!AY22-Strike,Strike-UndTree!AY22),(UpProb*AZ22+DownProb*AZ23)*StepDiscount)))</f>
        <v>32.16603404511747</v>
      </c>
      <c r="AZ22" s="17">
        <f>IF(AZ$3="","",IF(AZ$3=Steps,MAX(IF(CallPut=1,UndTree!AZ22-Strike,Strike-UndTree!AZ22),0),MAX((2-AmEur)*IF(CallPut=1,UndTree!AZ22-Strike,Strike-UndTree!AZ22),(UpProb*BA22+DownProb*BA23)*StepDiscount)))</f>
        <v>35.660681818870856</v>
      </c>
      <c r="BA22" s="17">
        <f>IF(BA$3="","",IF(BA$3=Steps,MAX(IF(CallPut=1,UndTree!BA22-Strike,Strike-UndTree!BA22),0),MAX((2-AmEur)*IF(CallPut=1,UndTree!BA22-Strike,Strike-UndTree!BA22),(UpProb*BB22+DownProb*BB23)*StepDiscount)))</f>
        <v>39.343909119085026</v>
      </c>
      <c r="BB22" s="17">
        <f>IF(BB$3="","",IF(BB$3=Steps,MAX(IF(CallPut=1,UndTree!BB22-Strike,Strike-UndTree!BB22),0),MAX((2-AmEur)*IF(CallPut=1,UndTree!BB22-Strike,Strike-UndTree!BB22),(UpProb*BC22+DownProb*BC23)*StepDiscount)))</f>
        <v>43.208811724790564</v>
      </c>
      <c r="BC22" s="17">
        <f>IF(BC$3="","",IF(BC$3=Steps,MAX(IF(CallPut=1,UndTree!BC22-Strike,Strike-UndTree!BC22),0),MAX((2-AmEur)*IF(CallPut=1,UndTree!BC22-Strike,Strike-UndTree!BC22),(UpProb*BD22+DownProb*BD23)*StepDiscount)))</f>
        <v>47.248741952378253</v>
      </c>
      <c r="BD22" s="17">
        <f>IF(BD$3="","",IF(BD$3=Steps,MAX(IF(CallPut=1,UndTree!BD22-Strike,Strike-UndTree!BD22),0),MAX((2-AmEur)*IF(CallPut=1,UndTree!BD22-Strike,Strike-UndTree!BD22),(UpProb*BE22+DownProb*BE23)*StepDiscount)))</f>
        <v>51.457725578857413</v>
      </c>
      <c r="BE22" s="17">
        <f>IF(BE$3="","",IF(BE$3=Steps,MAX(IF(CallPut=1,UndTree!BE22-Strike,Strike-UndTree!BE22),0),MAX((2-AmEur)*IF(CallPut=1,UndTree!BE22-Strike,Strike-UndTree!BE22),(UpProb*BF22+DownProb*BF23)*StepDiscount)))</f>
        <v>55.830796614650225</v>
      </c>
      <c r="BF22" s="17">
        <f>IF(BF$3="","",IF(BF$3=Steps,MAX(IF(CallPut=1,UndTree!BF22-Strike,Strike-UndTree!BF22),0),MAX((2-AmEur)*IF(CallPut=1,UndTree!BF22-Strike,Strike-UndTree!BF22),(UpProb*BG22+DownProb*BG23)*StepDiscount)))</f>
        <v>60.364230737253735</v>
      </c>
      <c r="BG22" s="17">
        <f>IF(BG$3="","",IF(BG$3=Steps,MAX(IF(CallPut=1,UndTree!BG22-Strike,Strike-UndTree!BG22),0),MAX((2-AmEur)*IF(CallPut=1,UndTree!BG22-Strike,Strike-UndTree!BG22),(UpProb*BH22+DownProb*BH23)*StepDiscount)))</f>
        <v>65.055670121874215</v>
      </c>
      <c r="BH22" s="17">
        <f>IF(BH$3="","",IF(BH$3=Steps,MAX(IF(CallPut=1,UndTree!BH22-Strike,Strike-UndTree!BH22),0),MAX((2-AmEur)*IF(CallPut=1,UndTree!BH22-Strike,Strike-UndTree!BH22),(UpProb*BI22+DownProb*BI23)*StepDiscount)))</f>
        <v>69.90414458180534</v>
      </c>
      <c r="BI22" s="17">
        <f>IF(BI$3="","",IF(BI$3=Steps,MAX(IF(CallPut=1,UndTree!BI22-Strike,Strike-UndTree!BI22),0),MAX((2-AmEur)*IF(CallPut=1,UndTree!BI22-Strike,Strike-UndTree!BI22),(UpProb*BJ22+DownProb*BJ23)*StepDiscount)))</f>
        <v>74.910004530336764</v>
      </c>
      <c r="BJ22" s="17">
        <f>IF(BJ$3="","",IF(BJ$3=Steps,MAX(IF(CallPut=1,UndTree!BJ22-Strike,Strike-UndTree!BJ22),0),MAX((2-AmEur)*IF(CallPut=1,UndTree!BJ22-Strike,Strike-UndTree!BJ22),(UpProb*BK22+DownProb*BK23)*StepDiscount)))</f>
        <v>80.074788767251221</v>
      </c>
      <c r="BK22" s="17">
        <f>IF(BK$3="","",IF(BK$3=Steps,MAX(IF(CallPut=1,UndTree!BK22-Strike,Strike-UndTree!BK22),0),MAX((2-AmEur)*IF(CallPut=1,UndTree!BK22-Strike,Strike-UndTree!BK22),(UpProb*BL22+DownProb*BL23)*StepDiscount)))</f>
        <v>85.401053554869407</v>
      </c>
      <c r="BL22" s="17">
        <f>IF(BL$3="","",IF(BL$3=Steps,MAX(IF(CallPut=1,UndTree!BL22-Strike,Strike-UndTree!BL22),0),MAX((2-AmEur)*IF(CallPut=1,UndTree!BL22-Strike,Strike-UndTree!BL22),(UpProb*BM22+DownProb*BM23)*StepDiscount)))</f>
        <v>90.892188748563186</v>
      </c>
      <c r="BM22" s="17">
        <f>IF(BM$3="","",IF(BM$3=Steps,MAX(IF(CallPut=1,UndTree!BM22-Strike,Strike-UndTree!BM22),0),MAX((2-AmEur)*IF(CallPut=1,UndTree!BM22-Strike,Strike-UndTree!BM22),(UpProb*BN22+DownProb*BN23)*StepDiscount)))</f>
        <v>96.552242539930234</v>
      </c>
      <c r="BN22" s="17">
        <f>IF(BN$3="","",IF(BN$3=Steps,MAX(IF(CallPut=1,UndTree!BN22-Strike,Strike-UndTree!BN22),0),MAX((2-AmEur)*IF(CallPut=1,UndTree!BN22-Strike,Strike-UndTree!BN22),(UpProb*BO22+DownProb*BO23)*StepDiscount)))</f>
        <v>102.38576991157336</v>
      </c>
      <c r="BO22" s="17">
        <f>IF(BO$3="","",IF(BO$3=Steps,MAX(IF(CallPut=1,UndTree!BO22-Strike,Strike-UndTree!BO22),0),MAX((2-AmEur)*IF(CallPut=1,UndTree!BO22-Strike,Strike-UndTree!BO22),(UpProb*BP22+DownProb*BP23)*StepDiscount)))</f>
        <v>108.39771271586302</v>
      </c>
      <c r="BP22" s="17">
        <f>IF(BP$3="","",IF(BP$3=Steps,MAX(IF(CallPut=1,UndTree!BP22-Strike,Strike-UndTree!BP22),0),MAX((2-AmEur)*IF(CallPut=1,UndTree!BP22-Strike,Strike-UndTree!BP22),(UpProb*BQ22+DownProb*BQ23)*StepDiscount)))</f>
        <v>114.59331279772621</v>
      </c>
      <c r="BQ22" s="17">
        <f>IF(BQ$3="","",IF(BQ$3=Steps,MAX(IF(CallPut=1,UndTree!BQ22-Strike,Strike-UndTree!BQ22),0),MAX((2-AmEur)*IF(CallPut=1,UndTree!BQ22-Strike,Strike-UndTree!BQ22),(UpProb*BR22+DownProb*BR23)*StepDiscount)))</f>
        <v>120.97805478726339</v>
      </c>
      <c r="BR22" s="17">
        <f>IF(BR$3="","",IF(BR$3=Steps,MAX(IF(CallPut=1,UndTree!BR22-Strike,Strike-UndTree!BR22),0),MAX((2-AmEur)*IF(CallPut=1,UndTree!BR22-Strike,Strike-UndTree!BR22),(UpProb*BS22+DownProb*BS23)*StepDiscount)))</f>
        <v>127.55763251156525</v>
      </c>
      <c r="BS22" s="17">
        <f>IF(BS$3="","",IF(BS$3=Steps,MAX(IF(CallPut=1,UndTree!BS22-Strike,Strike-UndTree!BS22),0),MAX((2-AmEur)*IF(CallPut=1,UndTree!BS22-Strike,Strike-UndTree!BS22),(UpProb*BT22+DownProb*BT23)*StepDiscount)))</f>
        <v>134.33793226847305</v>
      </c>
      <c r="BT22" s="17">
        <f>IF(BT$3="","",IF(BT$3=Steps,MAX(IF(CallPut=1,UndTree!BT22-Strike,Strike-UndTree!BT22),0),MAX((2-AmEur)*IF(CallPut=1,UndTree!BT22-Strike,Strike-UndTree!BT22),(UpProb*BU22+DownProb*BU23)*StepDiscount)))</f>
        <v>141.3250269237405</v>
      </c>
      <c r="BU22" s="17">
        <f>IF(BU$3="","",IF(BU$3=Steps,MAX(IF(CallPut=1,UndTree!BU22-Strike,Strike-UndTree!BU22),0),MAX((2-AmEur)*IF(CallPut=1,UndTree!BU22-Strike,Strike-UndTree!BU22),(UpProb*BV22+DownProb*BV23)*StepDiscount)))</f>
        <v>148.52517624405806</v>
      </c>
      <c r="BV22" s="17">
        <f>IF(BV$3="","",IF(BV$3=Steps,MAX(IF(CallPut=1,UndTree!BV22-Strike,Strike-UndTree!BV22),0),MAX((2-AmEur)*IF(CallPut=1,UndTree!BV22-Strike,Strike-UndTree!BV22),(UpProb*BW22+DownProb*BW23)*StepDiscount)))</f>
        <v>155.9448304496722</v>
      </c>
      <c r="BW22" s="17">
        <f>IF(BW$3="","",IF(BW$3=Steps,MAX(IF(CallPut=1,UndTree!BW22-Strike,Strike-UndTree!BW22),0),MAX((2-AmEur)*IF(CallPut=1,UndTree!BW22-Strike,Strike-UndTree!BW22),(UpProb*BX22+DownProb*BX23)*StepDiscount)))</f>
        <v>163.5906352699273</v>
      </c>
      <c r="BX22" s="17">
        <f>IF(BX$3="","",IF(BX$3=Steps,MAX(IF(CallPut=1,UndTree!BX22-Strike,Strike-UndTree!BX22),0),MAX((2-AmEur)*IF(CallPut=1,UndTree!BX22-Strike,Strike-UndTree!BX22),(UpProb*BY22+DownProb*BY23)*StepDiscount)))</f>
        <v>171.46943766586912</v>
      </c>
      <c r="BY22" s="17">
        <f>IF(BY$3="","",IF(BY$3=Steps,MAX(IF(CallPut=1,UndTree!BY22-Strike,Strike-UndTree!BY22),0),MAX((2-AmEur)*IF(CallPut=1,UndTree!BY22-Strike,Strike-UndTree!BY22),(UpProb*BZ22+DownProb*BZ23)*StepDiscount)))</f>
        <v>179.58829188048639</v>
      </c>
      <c r="BZ22" s="17">
        <f>IF(BZ$3="","",IF(BZ$3=Steps,MAX(IF(CallPut=1,UndTree!BZ22-Strike,Strike-UndTree!BZ22),0),MAX((2-AmEur)*IF(CallPut=1,UndTree!BZ22-Strike,Strike-UndTree!BZ22),(UpProb*CA22+DownProb*CA23)*StepDiscount)))</f>
        <v>187.954465707639</v>
      </c>
      <c r="CA22" s="17">
        <f>IF(CA$3="","",IF(CA$3=Steps,MAX(IF(CallPut=1,UndTree!CA22-Strike,Strike-UndTree!CA22),0),MAX((2-AmEur)*IF(CallPut=1,UndTree!CA22-Strike,Strike-UndTree!CA22),(UpProb*CB22+DownProb*CB23)*StepDiscount)))</f>
        <v>196.57544695634127</v>
      </c>
      <c r="CB22" s="17">
        <f>IF(CB$3="","",IF(CB$3=Steps,MAX(IF(CallPut=1,UndTree!CB22-Strike,Strike-UndTree!CB22),0),MAX((2-AmEur)*IF(CallPut=1,UndTree!CB22-Strike,Strike-UndTree!CB22),(UpProb*CC22+DownProb*CC23)*StepDiscount)))</f>
        <v>205.45895011118444</v>
      </c>
      <c r="CC22" s="17">
        <f>IF(CC$3="","",IF(CC$3=Steps,MAX(IF(CallPut=1,UndTree!CC22-Strike,Strike-UndTree!CC22),0),MAX((2-AmEur)*IF(CallPut=1,UndTree!CC22-Strike,Strike-UndTree!CC22),(UpProb*CD22+DownProb*CD23)*StepDiscount)))</f>
        <v>214.61292319438706</v>
      </c>
      <c r="CD22" s="17">
        <f>IF(CD$3="","",IF(CD$3=Steps,MAX(IF(CallPut=1,UndTree!CD22-Strike,Strike-UndTree!CD22),0),MAX((2-AmEur)*IF(CallPut=1,UndTree!CD22-Strike,Strike-UndTree!CD22),(UpProb*CE22+DownProb*CE23)*StepDiscount)))</f>
        <v>224.04555483557732</v>
      </c>
      <c r="CE22" s="17">
        <f>IF(CE$3="","",IF(CE$3=Steps,MAX(IF(CallPut=1,UndTree!CE22-Strike,Strike-UndTree!CE22),0),MAX((2-AmEur)*IF(CallPut=1,UndTree!CE22-Strike,Strike-UndTree!CE22),(UpProb*CF22+DownProb*CF23)*StepDiscount)))</f>
        <v>233.76528155559518</v>
      </c>
      <c r="CF22" s="17">
        <f>IF(CF$3="","",IF(CF$3=Steps,MAX(IF(CallPut=1,UndTree!CF22-Strike,Strike-UndTree!CF22),0),MAX((2-AmEur)*IF(CallPut=1,UndTree!CF22-Strike,Strike-UndTree!CF22),(UpProb*CG22+DownProb*CG23)*StepDiscount)))</f>
        <v>243.78079527079387</v>
      </c>
      <c r="CG22" s="17">
        <f>IF(CG$3="","",IF(CG$3=Steps,MAX(IF(CallPut=1,UndTree!CG22-Strike,Strike-UndTree!CG22),0),MAX((2-AmEur)*IF(CallPut=1,UndTree!CG22-Strike,Strike-UndTree!CG22),(UpProb*CH22+DownProb*CH23)*StepDiscount)))</f>
        <v>254.10105102451513</v>
      </c>
      <c r="CH22" s="17">
        <f>IF(CH$3="","",IF(CH$3=Steps,MAX(IF(CallPut=1,UndTree!CH22-Strike,Strike-UndTree!CH22),0),MAX((2-AmEur)*IF(CallPut=1,UndTree!CH22-Strike,Strike-UndTree!CH22),(UpProb*CI22+DownProb*CI23)*StepDiscount)))</f>
        <v>264.73527495261646</v>
      </c>
      <c r="CI22" s="17">
        <f>IF(CI$3="","",IF(CI$3=Steps,MAX(IF(CallPut=1,UndTree!CI22-Strike,Strike-UndTree!CI22),0),MAX((2-AmEur)*IF(CallPut=1,UndTree!CI22-Strike,Strike-UndTree!CI22),(UpProb*CJ22+DownProb*CJ23)*StepDiscount)))</f>
        <v>275.69297249013522</v>
      </c>
      <c r="CJ22" s="17">
        <f>IF(CJ$3="","",IF(CJ$3=Steps,MAX(IF(CallPut=1,UndTree!CJ22-Strike,Strike-UndTree!CJ22),0),MAX((2-AmEur)*IF(CallPut=1,UndTree!CJ22-Strike,Strike-UndTree!CJ22),(UpProb*CK22+DownProb*CK23)*StepDiscount)))</f>
        <v>286.98393682639079</v>
      </c>
      <c r="CK22" s="17">
        <f>IF(CK$3="","",IF(CK$3=Steps,MAX(IF(CallPut=1,UndTree!CK22-Strike,Strike-UndTree!CK22),0),MAX((2-AmEur)*IF(CallPut=1,UndTree!CK22-Strike,Strike-UndTree!CK22),(UpProb*CL22+DownProb*CL23)*StepDiscount)))</f>
        <v>298.6182576160449</v>
      </c>
      <c r="CL22" s="17">
        <f>IF(CL$3="","",IF(CL$3=Steps,MAX(IF(CallPut=1,UndTree!CL22-Strike,Strike-UndTree!CL22),0),MAX((2-AmEur)*IF(CallPut=1,UndTree!CL22-Strike,Strike-UndTree!CL22),(UpProb*CM22+DownProb*CM23)*StepDiscount)))</f>
        <v>310.60632995386919</v>
      </c>
      <c r="CM22" s="17">
        <f>IF(CM$3="","",IF(CM$3=Steps,MAX(IF(CallPut=1,UndTree!CM22-Strike,Strike-UndTree!CM22),0),MAX((2-AmEur)*IF(CallPut=1,UndTree!CM22-Strike,Strike-UndTree!CM22),(UpProb*CN22+DownProb*CN23)*StepDiscount)))</f>
        <v>322.95886362120166</v>
      </c>
      <c r="CN22" s="17">
        <f>IF(CN$3="","",IF(CN$3=Steps,MAX(IF(CallPut=1,UndTree!CN22-Strike,Strike-UndTree!CN22),0),MAX((2-AmEur)*IF(CallPut=1,UndTree!CN22-Strike,Strike-UndTree!CN22),(UpProb*CO22+DownProb*CO23)*StepDiscount)))</f>
        <v>335.68689261231634</v>
      </c>
      <c r="CO22" s="17">
        <f>IF(CO$3="","",IF(CO$3=Steps,MAX(IF(CallPut=1,UndTree!CO22-Strike,Strike-UndTree!CO22),0),MAX((2-AmEur)*IF(CallPut=1,UndTree!CO22-Strike,Strike-UndTree!CO22),(UpProb*CP22+DownProb*CP23)*StepDiscount)))</f>
        <v>348.80178494917823</v>
      </c>
      <c r="CP22" s="17">
        <f>IF(CP$3="","",IF(CP$3=Steps,MAX(IF(CallPut=1,UndTree!CP22-Strike,Strike-UndTree!CP22),0),MAX((2-AmEur)*IF(CallPut=1,UndTree!CP22-Strike,Strike-UndTree!CP22),(UpProb*CQ22+DownProb*CQ23)*StepDiscount)))</f>
        <v>362.31525279331225</v>
      </c>
      <c r="CQ22" s="17">
        <f>IF(CQ$3="","",IF(CQ$3=Steps,MAX(IF(CallPut=1,UndTree!CQ22-Strike,Strike-UndTree!CQ22),0),MAX((2-AmEur)*IF(CallPut=1,UndTree!CQ22-Strike,Strike-UndTree!CQ22),(UpProb*CR22+DownProb*CR23)*StepDiscount)))</f>
        <v>376.23936286378245</v>
      </c>
      <c r="CR22" s="17">
        <f>IF(CR$3="","",IF(CR$3=Steps,MAX(IF(CallPut=1,UndTree!CR22-Strike,Strike-UndTree!CR22),0),MAX((2-AmEur)*IF(CallPut=1,UndTree!CR22-Strike,Strike-UndTree!CR22),(UpProb*CS22+DownProb*CS23)*StepDiscount)))</f>
        <v>390.58654717055009</v>
      </c>
      <c r="CS22" s="17">
        <f>IF(CS$3="","",IF(CS$3=Steps,MAX(IF(CallPut=1,UndTree!CS22-Strike,Strike-UndTree!CS22),0),MAX((2-AmEur)*IF(CallPut=1,UndTree!CS22-Strike,Strike-UndTree!CS22),(UpProb*CT22+DownProb*CT23)*StepDiscount)))</f>
        <v>405.36961407276391</v>
      </c>
      <c r="CT22" s="17">
        <f>IF(CT$3="","",IF(CT$3=Steps,MAX(IF(CallPut=1,UndTree!CT22-Strike,Strike-UndTree!CT22),0),MAX((2-AmEur)*IF(CallPut=1,UndTree!CT22-Strike,Strike-UndTree!CT22),(UpProb*CU22+DownProb*CU23)*StepDiscount)))</f>
        <v>420.60175967182431</v>
      </c>
      <c r="CU22" s="17">
        <f>IF(CU$3="","",IF(CU$3=Steps,MAX(IF(CallPut=1,UndTree!CU22-Strike,Strike-UndTree!CU22),0),MAX((2-AmEur)*IF(CallPut=1,UndTree!CU22-Strike,Strike-UndTree!CU22),(UpProb*CV22+DownProb*CV23)*StepDiscount)))</f>
        <v>436.29657954935561</v>
      </c>
      <c r="CV22" s="17">
        <f>IF(CV$3="","",IF(CV$3=Steps,MAX(IF(CallPut=1,UndTree!CV22-Strike,Strike-UndTree!CV22),0),MAX((2-AmEur)*IF(CallPut=1,UndTree!CV22-Strike,Strike-UndTree!CV22),(UpProb*CW22+DownProb*CW23)*StepDiscount)))</f>
        <v>452.46808086051919</v>
      </c>
      <c r="CW22" s="17">
        <f>IF(CW$3="","",IF(CW$3=Steps,MAX(IF(CallPut=1,UndTree!CW22-Strike,Strike-UndTree!CW22),0),MAX((2-AmEur)*IF(CallPut=1,UndTree!CW22-Strike,Strike-UndTree!CW22),(UpProb*CX22+DownProb*CX23)*StepDiscount)))</f>
        <v>469.13069479340578</v>
      </c>
      <c r="CX22" s="17">
        <f>IF(CX$3="","",IF(CX$3=Steps,MAX(IF(CallPut=1,UndTree!CX22-Strike,Strike-UndTree!CX22),0),MAX((2-AmEur)*IF(CallPut=1,UndTree!CX22-Strike,Strike-UndTree!CX22),(UpProb*CY22+DownProb*CY23)*StepDiscount)))</f>
        <v>486.29928940556977</v>
      </c>
      <c r="CY22" s="17">
        <f>IF(CY$3="","",IF(CY$3=Steps,MAX(IF(CallPut=1,UndTree!CY22-Strike,Strike-UndTree!CY22),0),MAX((2-AmEur)*IF(CallPut=1,UndTree!CY22-Strike,Strike-UndTree!CY22),(UpProb*CZ22+DownProb*CZ23)*StepDiscount)))</f>
        <v>503.98918284910076</v>
      </c>
      <c r="CZ22" s="17">
        <f>IF(CZ$3="","",IF(CZ$3=Steps,MAX(IF(CallPut=1,UndTree!CZ22-Strike,Strike-UndTree!CZ22),0),MAX((2-AmEur)*IF(CallPut=1,UndTree!CZ22-Strike,Strike-UndTree!CZ22),(UpProb*DA22+DownProb*DA23)*StepDiscount)))</f>
        <v>522.21615699596771</v>
      </c>
      <c r="DA22" s="17">
        <f>IF(DA$3="","",IF(DA$3=Steps,MAX(IF(CallPut=1,UndTree!DA22-Strike,Strike-UndTree!DA22),0),MAX((2-AmEur)*IF(CallPut=1,UndTree!DA22-Strike,Strike-UndTree!DA22),(UpProb*DB22+DownProb*DB23)*StepDiscount)))</f>
        <v>540.99647147592236</v>
      </c>
      <c r="DB22" s="17">
        <f>IF(DB$3="","",IF(DB$3=Steps,MAX(IF(CallPut=1,UndTree!DB22-Strike,Strike-UndTree!DB22),0),MAX((2-AmEur)*IF(CallPut=1,UndTree!DB22-Strike,Strike-UndTree!DB22),(UpProb*DC22+DownProb*DC23)*StepDiscount)))</f>
        <v>560.34687814020003</v>
      </c>
    </row>
    <row r="23" spans="1:106" x14ac:dyDescent="0.2">
      <c r="A23">
        <f>ExDivTree!A23</f>
        <v>1.6300608374220046E+20</v>
      </c>
      <c r="B23" s="71">
        <f>ExDivTree!B23</f>
        <v>6.4294563388702157E-11</v>
      </c>
      <c r="C23" s="71">
        <f>ExDivTree!C23</f>
        <v>7.5951945311595032E-11</v>
      </c>
      <c r="D23" s="177">
        <f>ExDivTree!D23</f>
        <v>19</v>
      </c>
      <c r="X23" s="17">
        <f>IF(X$3="","",IF(X$3=Steps,MAX(IF(CallPut=1,UndTree!X23-Strike,Strike-UndTree!X23),0),MAX((2-AmEur)*IF(CallPut=1,UndTree!X23-Strike,Strike-UndTree!X23),(UpProb*Y23+DownProb*Y24)*StepDiscount)))</f>
        <v>0.11242668716647528</v>
      </c>
      <c r="Y23" s="17">
        <f>IF(Y$3="","",IF(Y$3=Steps,MAX(IF(CallPut=1,UndTree!Y23-Strike,Strike-UndTree!Y23),0),MAX((2-AmEur)*IF(CallPut=1,UndTree!Y23-Strike,Strike-UndTree!Y23),(UpProb*Z23+DownProb*Z24)*StepDiscount)))</f>
        <v>0.14840028885857956</v>
      </c>
      <c r="Z23" s="17">
        <f>IF(Z$3="","",IF(Z$3=Steps,MAX(IF(CallPut=1,UndTree!Z23-Strike,Strike-UndTree!Z23),0),MAX((2-AmEur)*IF(CallPut=1,UndTree!Z23-Strike,Strike-UndTree!Z23),(UpProb*AA23+DownProb*AA24)*StepDiscount)))</f>
        <v>0.19486812167116929</v>
      </c>
      <c r="AA23" s="17">
        <f>IF(AA$3="","",IF(AA$3=Steps,MAX(IF(CallPut=1,UndTree!AA23-Strike,Strike-UndTree!AA23),0),MAX((2-AmEur)*IF(CallPut=1,UndTree!AA23-Strike,Strike-UndTree!AA23),(UpProb*AB23+DownProb*AB24)*StepDiscount)))</f>
        <v>0.25453302781708653</v>
      </c>
      <c r="AB23" s="17">
        <f>IF(AB$3="","",IF(AB$3=Steps,MAX(IF(CallPut=1,UndTree!AB23-Strike,Strike-UndTree!AB23),0),MAX((2-AmEur)*IF(CallPut=1,UndTree!AB23-Strike,Strike-UndTree!AB23),(UpProb*AC23+DownProb*AC24)*StepDiscount)))</f>
        <v>0.33067492835205275</v>
      </c>
      <c r="AC23" s="17">
        <f>IF(AC$3="","",IF(AC$3=Steps,MAX(IF(CallPut=1,UndTree!AC23-Strike,Strike-UndTree!AC23),0),MAX((2-AmEur)*IF(CallPut=1,UndTree!AC23-Strike,Strike-UndTree!AC23),(UpProb*AD23+DownProb*AD24)*StepDiscount)))</f>
        <v>0.42723688086280376</v>
      </c>
      <c r="AD23" s="17">
        <f>IF(AD$3="","",IF(AD$3=Steps,MAX(IF(CallPut=1,UndTree!AD23-Strike,Strike-UndTree!AD23),0),MAX((2-AmEur)*IF(CallPut=1,UndTree!AD23-Strike,Strike-UndTree!AD23),(UpProb*AE23+DownProb*AE24)*StepDiscount)))</f>
        <v>0.54891281756275967</v>
      </c>
      <c r="AE23" s="17">
        <f>IF(AE$3="","",IF(AE$3=Steps,MAX(IF(CallPut=1,UndTree!AE23-Strike,Strike-UndTree!AE23),0),MAX((2-AmEur)*IF(CallPut=1,UndTree!AE23-Strike,Strike-UndTree!AE23),(UpProb*AF23+DownProb*AF24)*StepDiscount)))</f>
        <v>0.70123321644578462</v>
      </c>
      <c r="AF23" s="17">
        <f>IF(AF$3="","",IF(AF$3=Steps,MAX(IF(CallPut=1,UndTree!AF23-Strike,Strike-UndTree!AF23),0),MAX((2-AmEur)*IF(CallPut=1,UndTree!AF23-Strike,Strike-UndTree!AF23),(UpProb*AG23+DownProb*AG24)*StepDiscount)))</f>
        <v>0.89064387909071696</v>
      </c>
      <c r="AG23" s="17">
        <f>IF(AG$3="","",IF(AG$3=Steps,MAX(IF(CallPut=1,UndTree!AG23-Strike,Strike-UndTree!AG23),0),MAX((2-AmEur)*IF(CallPut=1,UndTree!AG23-Strike,Strike-UndTree!AG23),(UpProb*AH23+DownProb*AH24)*StepDiscount)))</f>
        <v>1.1245719156273271</v>
      </c>
      <c r="AH23" s="17">
        <f>IF(AH$3="","",IF(AH$3=Steps,MAX(IF(CallPut=1,UndTree!AH23-Strike,Strike-UndTree!AH23),0),MAX((2-AmEur)*IF(CallPut=1,UndTree!AH23-Strike,Strike-UndTree!AH23),(UpProb*AI23+DownProb*AI24)*StepDiscount)))</f>
        <v>1.4114720722996426</v>
      </c>
      <c r="AI23" s="17">
        <f>IF(AI$3="","",IF(AI$3=Steps,MAX(IF(CallPut=1,UndTree!AI23-Strike,Strike-UndTree!AI23),0),MAX((2-AmEur)*IF(CallPut=1,UndTree!AI23-Strike,Strike-UndTree!AI23),(UpProb*AJ23+DownProb*AJ24)*StepDiscount)))</f>
        <v>1.7608458095554653</v>
      </c>
      <c r="AJ23" s="17">
        <f>IF(AJ$3="","",IF(AJ$3=Steps,MAX(IF(CallPut=1,UndTree!AJ23-Strike,Strike-UndTree!AJ23),0),MAX((2-AmEur)*IF(CallPut=1,UndTree!AJ23-Strike,Strike-UndTree!AJ23),(UpProb*AK23+DownProb*AK24)*StepDiscount)))</f>
        <v>2.1832252008451238</v>
      </c>
      <c r="AK23" s="17">
        <f>IF(AK$3="","",IF(AK$3=Steps,MAX(IF(CallPut=1,UndTree!AK23-Strike,Strike-UndTree!AK23),0),MAX((2-AmEur)*IF(CallPut=1,UndTree!AK23-Strike,Strike-UndTree!AK23),(UpProb*AL23+DownProb*AL24)*StepDiscount)))</f>
        <v>2.6901139390185227</v>
      </c>
      <c r="AL23" s="17">
        <f>IF(AL$3="","",IF(AL$3=Steps,MAX(IF(CallPut=1,UndTree!AL23-Strike,Strike-UndTree!AL23),0),MAX((2-AmEur)*IF(CallPut=1,UndTree!AL23-Strike,Strike-UndTree!AL23),(UpProb*AM23+DownProb*AM24)*StepDiscount)))</f>
        <v>3.2938786694206206</v>
      </c>
      <c r="AM23" s="17">
        <f>IF(AM$3="","",IF(AM$3=Steps,MAX(IF(CallPut=1,UndTree!AM23-Strike,Strike-UndTree!AM23),0),MAX((2-AmEur)*IF(CallPut=1,UndTree!AM23-Strike,Strike-UndTree!AM23),(UpProb*AN23+DownProb*AN24)*StepDiscount)))</f>
        <v>4.0075856517147779</v>
      </c>
      <c r="AN23" s="17">
        <f>IF(AN$3="","",IF(AN$3=Steps,MAX(IF(CallPut=1,UndTree!AN23-Strike,Strike-UndTree!AN23),0),MAX((2-AmEur)*IF(CallPut=1,UndTree!AN23-Strike,Strike-UndTree!AN23),(UpProb*AO23+DownProb*AO24)*StepDiscount)))</f>
        <v>4.8447804681708115</v>
      </c>
      <c r="AO23" s="17">
        <f>IF(AO$3="","",IF(AO$3=Steps,MAX(IF(CallPut=1,UndTree!AO23-Strike,Strike-UndTree!AO23),0),MAX((2-AmEur)*IF(CallPut=1,UndTree!AO23-Strike,Strike-UndTree!AO23),(UpProb*AP23+DownProb*AP24)*StepDiscount)))</f>
        <v>5.8192121434259017</v>
      </c>
      <c r="AP23" s="17">
        <f>IF(AP$3="","",IF(AP$3=Steps,MAX(IF(CallPut=1,UndTree!AP23-Strike,Strike-UndTree!AP23),0),MAX((2-AmEur)*IF(CallPut=1,UndTree!AP23-Strike,Strike-UndTree!AP23),(UpProb*AQ23+DownProb*AQ24)*StepDiscount)))</f>
        <v>6.9445075059764854</v>
      </c>
      <c r="AQ23" s="17">
        <f>IF(AQ$3="","",IF(AQ$3=Steps,MAX(IF(CallPut=1,UndTree!AQ23-Strike,Strike-UndTree!AQ23),0),MAX((2-AmEur)*IF(CallPut=1,UndTree!AQ23-Strike,Strike-UndTree!AQ23),(UpProb*AR23+DownProb*AR24)*StepDiscount)))</f>
        <v>8.2338066561676833</v>
      </c>
      <c r="AR23" s="17">
        <f>IF(AR$3="","",IF(AR$3=Steps,MAX(IF(CallPut=1,UndTree!AR23-Strike,Strike-UndTree!AR23),0),MAX((2-AmEur)*IF(CallPut=1,UndTree!AR23-Strike,Strike-UndTree!AR23),(UpProb*AS23+DownProb*AS24)*StepDiscount)))</f>
        <v>9.6993756153198216</v>
      </c>
      <c r="AS23" s="17">
        <f>IF(AS$3="","",IF(AS$3=Steps,MAX(IF(CallPut=1,UndTree!AS23-Strike,Strike-UndTree!AS23),0),MAX((2-AmEur)*IF(CallPut=1,UndTree!AS23-Strike,Strike-UndTree!AS23),(UpProb*AT23+DownProb*AT24)*StepDiscount)))</f>
        <v>11.352217086134628</v>
      </c>
      <c r="AT23" s="17">
        <f>IF(AT$3="","",IF(AT$3=Steps,MAX(IF(CallPut=1,UndTree!AT23-Strike,Strike-UndTree!AT23),0),MAX((2-AmEur)*IF(CallPut=1,UndTree!AT23-Strike,Strike-UndTree!AT23),(UpProb*AU23+DownProb*AU24)*StepDiscount)))</f>
        <v>13.201704124412029</v>
      </c>
      <c r="AU23" s="17">
        <f>IF(AU$3="","",IF(AU$3=Steps,MAX(IF(CallPut=1,UndTree!AU23-Strike,Strike-UndTree!AU23),0),MAX((2-AmEur)*IF(CallPut=1,UndTree!AU23-Strike,Strike-UndTree!AU23),(UpProb*AV23+DownProb*AV24)*StepDiscount)))</f>
        <v>15.255263735926185</v>
      </c>
      <c r="AV23" s="17">
        <f>IF(AV$3="","",IF(AV$3=Steps,MAX(IF(CallPut=1,UndTree!AV23-Strike,Strike-UndTree!AV23),0),MAX((2-AmEur)*IF(CallPut=1,UndTree!AV23-Strike,Strike-UndTree!AV23),(UpProb*AW23+DownProb*AW24)*StepDiscount)))</f>
        <v>17.518137349210882</v>
      </c>
      <c r="AW23" s="17">
        <f>IF(AW$3="","",IF(AW$3=Steps,MAX(IF(CallPut=1,UndTree!AW23-Strike,Strike-UndTree!AW23),0),MAX((2-AmEur)*IF(CallPut=1,UndTree!AW23-Strike,Strike-UndTree!AW23),(UpProb*AX23+DownProb*AX24)*StepDiscount)))</f>
        <v>19.993242311729954</v>
      </c>
      <c r="AX23" s="17">
        <f>IF(AX$3="","",IF(AX$3=Steps,MAX(IF(CallPut=1,UndTree!AX23-Strike,Strike-UndTree!AX23),0),MAX((2-AmEur)*IF(CallPut=1,UndTree!AX23-Strike,Strike-UndTree!AX23),(UpProb*AY23+DownProb*AY24)*StepDiscount)))</f>
        <v>22.68115282089034</v>
      </c>
      <c r="AY23" s="17">
        <f>IF(AY$3="","",IF(AY$3=Steps,MAX(IF(CallPut=1,UndTree!AY23-Strike,Strike-UndTree!AY23),0),MAX((2-AmEur)*IF(CallPut=1,UndTree!AY23-Strike,Strike-UndTree!AY23),(UpProb*AZ23+DownProb*AZ24)*StepDiscount)))</f>
        <v>25.580210208848946</v>
      </c>
      <c r="AZ23" s="17">
        <f>IF(AZ$3="","",IF(AZ$3=Steps,MAX(IF(CallPut=1,UndTree!AZ23-Strike,Strike-UndTree!AZ23),0),MAX((2-AmEur)*IF(CallPut=1,UndTree!AZ23-Strike,Strike-UndTree!AZ23),(UpProb*BA23+DownProb*BA24)*StepDiscount)))</f>
        <v>28.686761855455988</v>
      </c>
      <c r="BA23" s="17">
        <f>IF(BA$3="","",IF(BA$3=Steps,MAX(IF(CallPut=1,UndTree!BA23-Strike,Strike-UndTree!BA23),0),MAX((2-AmEur)*IF(CallPut=1,UndTree!BA23-Strike,Strike-UndTree!BA23),(UpProb*BB23+DownProb*BB24)*StepDiscount)))</f>
        <v>31.995516236613753</v>
      </c>
      <c r="BB23" s="17">
        <f>IF(BB$3="","",IF(BB$3=Steps,MAX(IF(CallPut=1,UndTree!BB23-Strike,Strike-UndTree!BB23),0),MAX((2-AmEur)*IF(CallPut=1,UndTree!BB23-Strike,Strike-UndTree!BB23),(UpProb*BC23+DownProb*BC24)*StepDiscount)))</f>
        <v>35.499990098587247</v>
      </c>
      <c r="BC23" s="17">
        <f>IF(BC$3="","",IF(BC$3=Steps,MAX(IF(CallPut=1,UndTree!BC23-Strike,Strike-UndTree!BC23),0),MAX((2-AmEur)*IF(CallPut=1,UndTree!BC23-Strike,Strike-UndTree!BC23),(UpProb*BD23+DownProb*BD24)*StepDiscount)))</f>
        <v>39.193014032447103</v>
      </c>
      <c r="BD23" s="17">
        <f>IF(BD$3="","",IF(BD$3=Steps,MAX(IF(CallPut=1,UndTree!BD23-Strike,Strike-UndTree!BD23),0),MAX((2-AmEur)*IF(CallPut=1,UndTree!BD23-Strike,Strike-UndTree!BD23),(UpProb*BE23+DownProb*BE24)*StepDiscount)))</f>
        <v>43.067256298163691</v>
      </c>
      <c r="BE23" s="17">
        <f>IF(BE$3="","",IF(BE$3=Steps,MAX(IF(CallPut=1,UndTree!BE23-Strike,Strike-UndTree!BE23),0),MAX((2-AmEur)*IF(CallPut=1,UndTree!BE23-Strike,Strike-UndTree!BE23),(UpProb*BF23+DownProb*BF24)*StepDiscount)))</f>
        <v>47.115722775006624</v>
      </c>
      <c r="BF23" s="17">
        <f>IF(BF$3="","",IF(BF$3=Steps,MAX(IF(CallPut=1,UndTree!BF23-Strike,Strike-UndTree!BF23),0),MAX((2-AmEur)*IF(CallPut=1,UndTree!BF23-Strike,Strike-UndTree!BF23),(UpProb*BG23+DownProb*BG24)*StepDiscount)))</f>
        <v>51.332193965430868</v>
      </c>
      <c r="BG23" s="17">
        <f>IF(BG$3="","",IF(BG$3=Steps,MAX(IF(CallPut=1,UndTree!BG23-Strike,Strike-UndTree!BG23),0),MAX((2-AmEur)*IF(CallPut=1,UndTree!BG23-Strike,Strike-UndTree!BG23),(UpProb*BH23+DownProb*BH24)*StepDiscount)))</f>
        <v>55.711567855374788</v>
      </c>
      <c r="BH23" s="17">
        <f>IF(BH$3="","",IF(BH$3=Steps,MAX(IF(CallPut=1,UndTree!BH23-Strike,Strike-UndTree!BH23),0),MAX((2-AmEur)*IF(CallPut=1,UndTree!BH23-Strike,Strike-UndTree!BH23),(UpProb*BI23+DownProb*BI24)*StepDiscount)))</f>
        <v>60.25008911802226</v>
      </c>
      <c r="BI23" s="17">
        <f>IF(BI$3="","",IF(BI$3=Steps,MAX(IF(CallPut=1,UndTree!BI23-Strike,Strike-UndTree!BI23),0),MAX((2-AmEur)*IF(CallPut=1,UndTree!BI23-Strike,Strike-UndTree!BI23),(UpProb*BJ23+DownProb*BJ24)*StepDiscount)))</f>
        <v>64.945458923635513</v>
      </c>
      <c r="BJ23" s="17">
        <f>IF(BJ$3="","",IF(BJ$3=Steps,MAX(IF(CallPut=1,UndTree!BJ23-Strike,Strike-UndTree!BJ23),0),MAX((2-AmEur)*IF(CallPut=1,UndTree!BJ23-Strike,Strike-UndTree!BJ23),(UpProb*BK23+DownProb*BK24)*StepDiscount)))</f>
        <v>69.796833352529674</v>
      </c>
      <c r="BK23" s="17">
        <f>IF(BK$3="","",IF(BK$3=Steps,MAX(IF(CallPut=1,UndTree!BK23-Strike,Strike-UndTree!BK23),0),MAX((2-AmEur)*IF(CallPut=1,UndTree!BK23-Strike,Strike-UndTree!BK23),(UpProb*BL23+DownProb*BL24)*StepDiscount)))</f>
        <v>74.80472995822457</v>
      </c>
      <c r="BL23" s="17">
        <f>IF(BL$3="","",IF(BL$3=Steps,MAX(IF(CallPut=1,UndTree!BL23-Strike,Strike-UndTree!BL23),0),MAX((2-AmEur)*IF(CallPut=1,UndTree!BL23-Strike,Strike-UndTree!BL23),(UpProb*BM23+DownProb*BM24)*StepDiscount)))</f>
        <v>79.970869677424943</v>
      </c>
      <c r="BM23" s="17">
        <f>IF(BM$3="","",IF(BM$3=Steps,MAX(IF(CallPut=1,UndTree!BM23-Strike,Strike-UndTree!BM23),0),MAX((2-AmEur)*IF(CallPut=1,UndTree!BM23-Strike,Strike-UndTree!BM23),(UpProb*BN23+DownProb*BN24)*StepDiscount)))</f>
        <v>85.297984108029368</v>
      </c>
      <c r="BN23" s="17">
        <f>IF(BN$3="","",IF(BN$3=Steps,MAX(IF(CallPut=1,UndTree!BN23-Strike,Strike-UndTree!BN23),0),MAX((2-AmEur)*IF(CallPut=1,UndTree!BN23-Strike,Strike-UndTree!BN23),(UpProb*BO23+DownProb*BO24)*StepDiscount)))</f>
        <v>90.789616229696648</v>
      </c>
      <c r="BO23" s="17">
        <f>IF(BO$3="","",IF(BO$3=Steps,MAX(IF(CallPut=1,UndTree!BO23-Strike,Strike-UndTree!BO23),0),MAX((2-AmEur)*IF(CallPut=1,UndTree!BO23-Strike,Strike-UndTree!BO23),(UpProb*BP23+DownProb*BP24)*StepDiscount)))</f>
        <v>96.449936906609778</v>
      </c>
      <c r="BP23" s="17">
        <f>IF(BP$3="","",IF(BP$3=Steps,MAX(IF(CallPut=1,UndTree!BP23-Strike,Strike-UndTree!BP23),0),MAX((2-AmEur)*IF(CallPut=1,UndTree!BP23-Strike,Strike-UndTree!BP23),(UpProb*BQ23+DownProb*BQ24)*StepDiscount)))</f>
        <v>102.28359162001027</v>
      </c>
      <c r="BQ23" s="17">
        <f>IF(BQ$3="","",IF(BQ$3=Steps,MAX(IF(CallPut=1,UndTree!BQ23-Strike,Strike-UndTree!BQ23),0),MAX((2-AmEur)*IF(CallPut=1,UndTree!BQ23-Strike,Strike-UndTree!BQ23),(UpProb*BR23+DownProb*BR24)*StepDiscount)))</f>
        <v>108.29558367176743</v>
      </c>
      <c r="BR23" s="17">
        <f>IF(BR$3="","",IF(BR$3=Steps,MAX(IF(CallPut=1,UndTree!BR23-Strike,Strike-UndTree!BR23),0),MAX((2-AmEur)*IF(CallPut=1,UndTree!BR23-Strike,Strike-UndTree!BR23),(UpProb*BS23+DownProb*BS24)*StepDiscount)))</f>
        <v>114.49119317187892</v>
      </c>
      <c r="BS23" s="17">
        <f>IF(BS$3="","",IF(BS$3=Steps,MAX(IF(CallPut=1,UndTree!BS23-Strike,Strike-UndTree!BS23),0),MAX((2-AmEur)*IF(CallPut=1,UndTree!BS23-Strike,Strike-UndTree!BS23),(UpProb*BT23+DownProb*BT24)*StepDiscount)))</f>
        <v>120.87592646327079</v>
      </c>
      <c r="BT23" s="17">
        <f>IF(BT$3="","",IF(BT$3=Steps,MAX(IF(CallPut=1,UndTree!BT23-Strike,Strike-UndTree!BT23),0),MAX((2-AmEur)*IF(CallPut=1,UndTree!BT23-Strike,Strike-UndTree!BT23),(UpProb*BU23+DownProb*BU24)*StepDiscount)))</f>
        <v>127.45548849697579</v>
      </c>
      <c r="BU23" s="17">
        <f>IF(BU$3="","",IF(BU$3=Steps,MAX(IF(CallPut=1,UndTree!BU23-Strike,Strike-UndTree!BU23),0),MAX((2-AmEur)*IF(CallPut=1,UndTree!BU23-Strike,Strike-UndTree!BU23),(UpProb*BV23+DownProb*BV24)*StepDiscount)))</f>
        <v>134.2357706540588</v>
      </c>
      <c r="BV23" s="17">
        <f>IF(BV$3="","",IF(BV$3=Steps,MAX(IF(CallPut=1,UndTree!BV23-Strike,Strike-UndTree!BV23),0),MAX((2-AmEur)*IF(CallPut=1,UndTree!BV23-Strike,Strike-UndTree!BV23),(UpProb*BW23+DownProb*BW24)*StepDiscount)))</f>
        <v>141.22284784228529</v>
      </c>
      <c r="BW23" s="17">
        <f>IF(BW$3="","",IF(BW$3=Steps,MAX(IF(CallPut=1,UndTree!BW23-Strike,Strike-UndTree!BW23),0),MAX((2-AmEur)*IF(CallPut=1,UndTree!BW23-Strike,Strike-UndTree!BW23),(UpProb*BX23+DownProb*BX24)*StepDiscount)))</f>
        <v>148.42298054157959</v>
      </c>
      <c r="BX23" s="17">
        <f>IF(BX$3="","",IF(BX$3=Steps,MAX(IF(CallPut=1,UndTree!BX23-Strike,Strike-UndTree!BX23),0),MAX((2-AmEur)*IF(CallPut=1,UndTree!BX23-Strike,Strike-UndTree!BX23),(UpProb*BY23+DownProb*BY24)*StepDiscount)))</f>
        <v>155.84261919429551</v>
      </c>
      <c r="BY23" s="17">
        <f>IF(BY$3="","",IF(BY$3=Steps,MAX(IF(CallPut=1,UndTree!BY23-Strike,Strike-UndTree!BY23),0),MAX((2-AmEur)*IF(CallPut=1,UndTree!BY23-Strike,Strike-UndTree!BY23),(UpProb*BZ23+DownProb*BZ24)*StepDiscount)))</f>
        <v>163.4884096044803</v>
      </c>
      <c r="BZ23" s="17">
        <f>IF(BZ$3="","",IF(BZ$3=Steps,MAX(IF(CallPut=1,UndTree!BZ23-Strike,Strike-UndTree!BZ23),0),MAX((2-AmEur)*IF(CallPut=1,UndTree!BZ23-Strike,Strike-UndTree!BZ23),(UpProb*CA23+DownProb*CA24)*StepDiscount)))</f>
        <v>171.36719877465302</v>
      </c>
      <c r="CA23" s="17">
        <f>IF(CA$3="","",IF(CA$3=Steps,MAX(IF(CallPut=1,UndTree!CA23-Strike,Strike-UndTree!CA23),0),MAX((2-AmEur)*IF(CallPut=1,UndTree!CA23-Strike,Strike-UndTree!CA23),(UpProb*CB23+DownProb*CB24)*StepDiscount)))</f>
        <v>179.48604098495602</v>
      </c>
      <c r="CB23" s="17">
        <f>IF(CB$3="","",IF(CB$3=Steps,MAX(IF(CallPut=1,UndTree!CB23-Strike,Strike-UndTree!CB23),0),MAX((2-AmEur)*IF(CallPut=1,UndTree!CB23-Strike,Strike-UndTree!CB23),(UpProb*CC23+DownProb*CC24)*StepDiscount)))</f>
        <v>187.85220406707919</v>
      </c>
      <c r="CC23" s="17">
        <f>IF(CC$3="","",IF(CC$3=Steps,MAX(IF(CallPut=1,UndTree!CC23-Strike,Strike-UndTree!CC23),0),MAX((2-AmEur)*IF(CallPut=1,UndTree!CC23-Strike,Strike-UndTree!CC23),(UpProb*CD23+DownProb*CD24)*StepDiscount)))</f>
        <v>196.47317586901244</v>
      </c>
      <c r="CD23" s="17">
        <f>IF(CD$3="","",IF(CD$3=Steps,MAX(IF(CallPut=1,UndTree!CD23-Strike,Strike-UndTree!CD23),0),MAX((2-AmEur)*IF(CallPut=1,UndTree!CD23-Strike,Strike-UndTree!CD23),(UpProb*CE23+DownProb*CE24)*StepDiscount)))</f>
        <v>205.35667091550312</v>
      </c>
      <c r="CE23" s="17">
        <f>IF(CE$3="","",IF(CE$3=Steps,MAX(IF(CallPut=1,UndTree!CE23-Strike,Strike-UndTree!CE23),0),MAX((2-AmEur)*IF(CallPut=1,UndTree!CE23-Strike,Strike-UndTree!CE23),(UpProb*CF23+DownProb*CF24)*StepDiscount)))</f>
        <v>214.51063727014235</v>
      </c>
      <c r="CF23" s="17">
        <f>IF(CF$3="","",IF(CF$3=Steps,MAX(IF(CallPut=1,UndTree!CF23-Strike,Strike-UndTree!CF23),0),MAX((2-AmEur)*IF(CallPut=1,UndTree!CF23-Strike,Strike-UndTree!CF23),(UpProb*CG23+DownProb*CG24)*StepDiscount)))</f>
        <v>223.94326360518406</v>
      </c>
      <c r="CG23" s="17">
        <f>IF(CG$3="","",IF(CG$3=Steps,MAX(IF(CallPut=1,UndTree!CG23-Strike,Strike-UndTree!CG23),0),MAX((2-AmEur)*IF(CallPut=1,UndTree!CG23-Strike,Strike-UndTree!CG23),(UpProb*CH23+DownProb*CH24)*StepDiscount)))</f>
        <v>233.66298648538509</v>
      </c>
      <c r="CH23" s="17">
        <f>IF(CH$3="","",IF(CH$3=Steps,MAX(IF(CallPut=1,UndTree!CH23-Strike,Strike-UndTree!CH23),0),MAX((2-AmEur)*IF(CallPut=1,UndTree!CH23-Strike,Strike-UndTree!CH23),(UpProb*CI23+DownProb*CI24)*StepDiscount)))</f>
        <v>243.67849787234542</v>
      </c>
      <c r="CI23" s="17">
        <f>IF(CI$3="","",IF(CI$3=Steps,MAX(IF(CallPut=1,UndTree!CI23-Strike,Strike-UndTree!CI23),0),MAX((2-AmEur)*IF(CallPut=1,UndTree!CI23-Strike,Strike-UndTree!CI23),(UpProb*CJ23+DownProb*CJ24)*StepDiscount)))</f>
        <v>253.99875285602332</v>
      </c>
      <c r="CJ23" s="17">
        <f>IF(CJ$3="","",IF(CJ$3=Steps,MAX(IF(CallPut=1,UndTree!CJ23-Strike,Strike-UndTree!CJ23),0),MAX((2-AmEur)*IF(CallPut=1,UndTree!CJ23-Strike,Strike-UndTree!CJ23),(UpProb*CK23+DownProb*CK24)*StepDiscount)))</f>
        <v>264.63297762030351</v>
      </c>
      <c r="CK23" s="17">
        <f>IF(CK$3="","",IF(CK$3=Steps,MAX(IF(CallPut=1,UndTree!CK23-Strike,Strike-UndTree!CK23),0),MAX((2-AmEur)*IF(CallPut=1,UndTree!CK23-Strike,Strike-UndTree!CK23),(UpProb*CL23+DownProb*CL24)*StepDiscount)))</f>
        <v>275.59067764970422</v>
      </c>
      <c r="CL23" s="17">
        <f>IF(CL$3="","",IF(CL$3=Steps,MAX(IF(CallPut=1,UndTree!CL23-Strike,Strike-UndTree!CL23),0),MAX((2-AmEur)*IF(CallPut=1,UndTree!CL23-Strike,Strike-UndTree!CL23),(UpProb*CM23+DownProb*CM24)*StepDiscount)))</f>
        <v>286.88164618452305</v>
      </c>
      <c r="CM23" s="17">
        <f>IF(CM$3="","",IF(CM$3=Steps,MAX(IF(CallPut=1,UndTree!CM23-Strike,Strike-UndTree!CM23),0),MAX((2-AmEur)*IF(CallPut=1,UndTree!CM23-Strike,Strike-UndTree!CM23),(UpProb*CN23+DownProb*CN24)*StepDiscount)))</f>
        <v>298.51597293194357</v>
      </c>
      <c r="CN23" s="17">
        <f>IF(CN$3="","",IF(CN$3=Steps,MAX(IF(CallPut=1,UndTree!CN23-Strike,Strike-UndTree!CN23),0),MAX((2-AmEur)*IF(CallPut=1,UndTree!CN23-Strike,Strike-UndTree!CN23),(UpProb*CO23+DownProb*CO24)*StepDiscount)))</f>
        <v>310.50405304085075</v>
      </c>
      <c r="CO23" s="17">
        <f>IF(CO$3="","",IF(CO$3=Steps,MAX(IF(CallPut=1,UndTree!CO23-Strike,Strike-UndTree!CO23),0),MAX((2-AmEur)*IF(CallPut=1,UndTree!CO23-Strike,Strike-UndTree!CO23),(UpProb*CP23+DownProb*CP24)*StepDiscount)))</f>
        <v>322.85659634833678</v>
      </c>
      <c r="CP23" s="17">
        <f>IF(CP$3="","",IF(CP$3=Steps,MAX(IF(CallPut=1,UndTree!CP23-Strike,Strike-UndTree!CP23),0),MAX((2-AmEur)*IF(CallPut=1,UndTree!CP23-Strike,Strike-UndTree!CP23),(UpProb*CQ23+DownProb*CQ24)*StepDiscount)))</f>
        <v>335.58463690612172</v>
      </c>
      <c r="CQ23" s="17">
        <f>IF(CQ$3="","",IF(CQ$3=Steps,MAX(IF(CallPut=1,UndTree!CQ23-Strike,Strike-UndTree!CQ23),0),MAX((2-AmEur)*IF(CallPut=1,UndTree!CQ23-Strike,Strike-UndTree!CQ23),(UpProb*CR23+DownProb*CR24)*StepDiscount)))</f>
        <v>348.6995427953583</v>
      </c>
      <c r="CR23" s="17">
        <f>IF(CR$3="","",IF(CR$3=Steps,MAX(IF(CallPut=1,UndTree!CR23-Strike,Strike-UndTree!CR23),0),MAX((2-AmEur)*IF(CallPut=1,UndTree!CR23-Strike,Strike-UndTree!CR23),(UpProb*CS23+DownProb*CS24)*StepDiscount)))</f>
        <v>362.21302623855132</v>
      </c>
      <c r="CS23" s="17">
        <f>IF(CS$3="","",IF(CS$3=Steps,MAX(IF(CallPut=1,UndTree!CS23-Strike,Strike-UndTree!CS23),0),MAX((2-AmEur)*IF(CallPut=1,UndTree!CS23-Strike,Strike-UndTree!CS23),(UpProb*CT23+DownProb*CT24)*StepDiscount)))</f>
        <v>376.13715401758515</v>
      </c>
      <c r="CT23" s="17">
        <f>IF(CT$3="","",IF(CT$3=Steps,MAX(IF(CallPut=1,UndTree!CT23-Strike,Strike-UndTree!CT23),0),MAX((2-AmEur)*IF(CallPut=1,UndTree!CT23-Strike,Strike-UndTree!CT23),(UpProb*CU23+DownProb*CU24)*StepDiscount)))</f>
        <v>390.48435820713257</v>
      </c>
      <c r="CU23" s="17">
        <f>IF(CU$3="","",IF(CU$3=Steps,MAX(IF(CallPut=1,UndTree!CU23-Strike,Strike-UndTree!CU23),0),MAX((2-AmEur)*IF(CallPut=1,UndTree!CU23-Strike,Strike-UndTree!CU23),(UpProb*CV23+DownProb*CV24)*StepDiscount)))</f>
        <v>405.26744723300192</v>
      </c>
      <c r="CV23" s="17">
        <f>IF(CV$3="","",IF(CV$3=Steps,MAX(IF(CallPut=1,UndTree!CV23-Strike,Strike-UndTree!CV23),0),MAX((2-AmEur)*IF(CallPut=1,UndTree!CV23-Strike,Strike-UndTree!CV23),(UpProb*CW23+DownProb*CW24)*StepDiscount)))</f>
        <v>420.49961726526948</v>
      </c>
      <c r="CW23" s="17">
        <f>IF(CW$3="","",IF(CW$3=Steps,MAX(IF(CallPut=1,UndTree!CW23-Strike,Strike-UndTree!CW23),0),MAX((2-AmEur)*IF(CallPut=1,UndTree!CW23-Strike,Strike-UndTree!CW23),(UpProb*CX23+DownProb*CX24)*StepDiscount)))</f>
        <v>436.19446395633111</v>
      </c>
      <c r="CX23" s="17">
        <f>IF(CX$3="","",IF(CX$3=Steps,MAX(IF(CallPut=1,UndTree!CX23-Strike,Strike-UndTree!CX23),0),MAX((2-AmEur)*IF(CallPut=1,UndTree!CX23-Strike,Strike-UndTree!CX23),(UpProb*CY23+DownProb*CY24)*StepDiscount)))</f>
        <v>452.36599453429824</v>
      </c>
      <c r="CY23" s="17">
        <f>IF(CY$3="","",IF(CY$3=Steps,MAX(IF(CallPut=1,UndTree!CY23-Strike,Strike-UndTree!CY23),0),MAX((2-AmEur)*IF(CallPut=1,UndTree!CY23-Strike,Strike-UndTree!CY23),(UpProb*CZ23+DownProb*CZ24)*StepDiscount)))</f>
        <v>469.02864026247937</v>
      </c>
      <c r="CZ23" s="17">
        <f>IF(CZ$3="","",IF(CZ$3=Steps,MAX(IF(CallPut=1,UndTree!CZ23-Strike,Strike-UndTree!CZ23),0),MAX((2-AmEur)*IF(CallPut=1,UndTree!CZ23-Strike,Strike-UndTree!CZ23),(UpProb*DA23+DownProb*DA24)*StepDiscount)))</f>
        <v>486.19726927600811</v>
      </c>
      <c r="DA23" s="17">
        <f>IF(DA$3="","",IF(DA$3=Steps,MAX(IF(CallPut=1,UndTree!DA23-Strike,Strike-UndTree!DA23),0),MAX((2-AmEur)*IF(CallPut=1,UndTree!DA23-Strike,Strike-UndTree!DA23),(UpProb*DB23+DownProb*DB24)*StepDiscount)))</f>
        <v>503.88719980681759</v>
      </c>
      <c r="DB23" s="17">
        <f>IF(DB$3="","",IF(DB$3=Steps,MAX(IF(CallPut=1,UndTree!DB23-Strike,Strike-UndTree!DB23),0),MAX((2-AmEur)*IF(CallPut=1,UndTree!DB23-Strike,Strike-UndTree!DB23),(UpProb*DC23+DownProb*DC24)*StepDiscount)))</f>
        <v>522.11421380829995</v>
      </c>
    </row>
    <row r="24" spans="1:106" x14ac:dyDescent="0.2">
      <c r="A24">
        <f>ExDivTree!A24</f>
        <v>6.6832494334302211E+20</v>
      </c>
      <c r="B24" s="71">
        <f>ExDivTree!B24</f>
        <v>2.6360770989367893E-10</v>
      </c>
      <c r="C24" s="71">
        <f>ExDivTree!C24</f>
        <v>3.0975660572226971E-10</v>
      </c>
      <c r="D24" s="177">
        <f>ExDivTree!D24</f>
        <v>20</v>
      </c>
      <c r="Y24" s="17">
        <f>IF(Y$3="","",IF(Y$3=Steps,MAX(IF(CallPut=1,UndTree!Y24-Strike,Strike-UndTree!Y24),0),MAX((2-AmEur)*IF(CallPut=1,UndTree!Y24-Strike,Strike-UndTree!Y24),(UpProb*Z24+DownProb*Z25)*StepDiscount)))</f>
        <v>7.6380545465175656E-2</v>
      </c>
      <c r="Z24" s="17">
        <f>IF(Z$3="","",IF(Z$3=Steps,MAX(IF(CallPut=1,UndTree!Z24-Strike,Strike-UndTree!Z24),0),MAX((2-AmEur)*IF(CallPut=1,UndTree!Z24-Strike,Strike-UndTree!Z24),(UpProb*AA24+DownProb*AA25)*StepDiscount)))</f>
        <v>0.1018421072410471</v>
      </c>
      <c r="AA24" s="17">
        <f>IF(AA$3="","",IF(AA$3=Steps,MAX(IF(CallPut=1,UndTree!AA24-Strike,Strike-UndTree!AA24),0),MAX((2-AmEur)*IF(CallPut=1,UndTree!AA24-Strike,Strike-UndTree!AA24),(UpProb*AB24+DownProb*AB25)*StepDiscount)))</f>
        <v>0.13509176838415971</v>
      </c>
      <c r="AB24" s="17">
        <f>IF(AB$3="","",IF(AB$3=Steps,MAX(IF(CallPut=1,UndTree!AB24-Strike,Strike-UndTree!AB24),0),MAX((2-AmEur)*IF(CallPut=1,UndTree!AB24-Strike,Strike-UndTree!AB24),(UpProb*AC24+DownProb*AC25)*StepDiscount)))</f>
        <v>0.17825507779240346</v>
      </c>
      <c r="AC24" s="17">
        <f>IF(AC$3="","",IF(AC$3=Steps,MAX(IF(CallPut=1,UndTree!AC24-Strike,Strike-UndTree!AC24),0),MAX((2-AmEur)*IF(CallPut=1,UndTree!AC24-Strike,Strike-UndTree!AC24),(UpProb*AD24+DownProb*AD25)*StepDiscount)))</f>
        <v>0.23394875719856703</v>
      </c>
      <c r="AD24" s="17">
        <f>IF(AD$3="","",IF(AD$3=Steps,MAX(IF(CallPut=1,UndTree!AD24-Strike,Strike-UndTree!AD24),0),MAX((2-AmEur)*IF(CallPut=1,UndTree!AD24-Strike,Strike-UndTree!AD24),(UpProb*AE24+DownProb*AE25)*StepDiscount)))</f>
        <v>0.30536516034948807</v>
      </c>
      <c r="AE24" s="17">
        <f>IF(AE$3="","",IF(AE$3=Steps,MAX(IF(CallPut=1,UndTree!AE24-Strike,Strike-UndTree!AE24),0),MAX((2-AmEur)*IF(CallPut=1,UndTree!AE24-Strike,Strike-UndTree!AE24),(UpProb*AF24+DownProb*AF25)*StepDiscount)))</f>
        <v>0.39636218163310616</v>
      </c>
      <c r="AF24" s="17">
        <f>IF(AF$3="","",IF(AF$3=Steps,MAX(IF(CallPut=1,UndTree!AF24-Strike,Strike-UndTree!AF24),0),MAX((2-AmEur)*IF(CallPut=1,UndTree!AF24-Strike,Strike-UndTree!AF24),(UpProb*AG24+DownProb*AG25)*StepDiscount)))</f>
        <v>0.51155594764192847</v>
      </c>
      <c r="AG24" s="17">
        <f>IF(AG$3="","",IF(AG$3=Steps,MAX(IF(CallPut=1,UndTree!AG24-Strike,Strike-UndTree!AG24),0),MAX((2-AmEur)*IF(CallPut=1,UndTree!AG24-Strike,Strike-UndTree!AG24),(UpProb*AH24+DownProb*AH25)*StepDiscount)))</f>
        <v>0.65641253895703833</v>
      </c>
      <c r="AH24" s="17">
        <f>IF(AH$3="","",IF(AH$3=Steps,MAX(IF(CallPut=1,UndTree!AH24-Strike,Strike-UndTree!AH24),0),MAX((2-AmEur)*IF(CallPut=1,UndTree!AH24-Strike,Strike-UndTree!AH24),(UpProb*AI24+DownProb*AI25)*StepDiscount)))</f>
        <v>0.83733380664079138</v>
      </c>
      <c r="AI24" s="17">
        <f>IF(AI$3="","",IF(AI$3=Steps,MAX(IF(CallPut=1,UndTree!AI24-Strike,Strike-UndTree!AI24),0),MAX((2-AmEur)*IF(CallPut=1,UndTree!AI24-Strike,Strike-UndTree!AI24),(UpProb*AJ24+DownProb*AJ25)*StepDiscount)))</f>
        <v>1.0617311430027545</v>
      </c>
      <c r="AJ24" s="17">
        <f>IF(AJ$3="","",IF(AJ$3=Steps,MAX(IF(CallPut=1,UndTree!AJ24-Strike,Strike-UndTree!AJ24),0),MAX((2-AmEur)*IF(CallPut=1,UndTree!AJ24-Strike,Strike-UndTree!AJ24),(UpProb*AK24+DownProb*AK25)*StepDiscount)))</f>
        <v>1.3380799460955246</v>
      </c>
      <c r="AK24" s="17">
        <f>IF(AK$3="","",IF(AK$3=Steps,MAX(IF(CallPut=1,UndTree!AK24-Strike,Strike-UndTree!AK24),0),MAX((2-AmEur)*IF(CallPut=1,UndTree!AK24-Strike,Strike-UndTree!AK24),(UpProb*AL24+DownProb*AL25)*StepDiscount)))</f>
        <v>1.6759466218961159</v>
      </c>
      <c r="AL24" s="17">
        <f>IF(AL$3="","",IF(AL$3=Steps,MAX(IF(CallPut=1,UndTree!AL24-Strike,Strike-UndTree!AL24),0),MAX((2-AmEur)*IF(CallPut=1,UndTree!AL24-Strike,Strike-UndTree!AL24),(UpProb*AM24+DownProb*AM25)*StepDiscount)))</f>
        <v>2.0859794657552961</v>
      </c>
      <c r="AM24" s="17">
        <f>IF(AM$3="","",IF(AM$3=Steps,MAX(IF(CallPut=1,UndTree!AM24-Strike,Strike-UndTree!AM24),0),MAX((2-AmEur)*IF(CallPut=1,UndTree!AM24-Strike,Strike-UndTree!AM24),(UpProb*AN24+DownProb*AN25)*StepDiscount)))</f>
        <v>2.579854842652427</v>
      </c>
      <c r="AN24" s="17">
        <f>IF(AN$3="","",IF(AN$3=Steps,MAX(IF(CallPut=1,UndTree!AN24-Strike,Strike-UndTree!AN24),0),MAX((2-AmEur)*IF(CallPut=1,UndTree!AN24-Strike,Strike-UndTree!AN24),(UpProb*AO24+DownProb*AO25)*StepDiscount)))</f>
        <v>3.1701709328686225</v>
      </c>
      <c r="AO24" s="17">
        <f>IF(AO$3="","",IF(AO$3=Steps,MAX(IF(CallPut=1,UndTree!AO24-Strike,Strike-UndTree!AO24),0),MAX((2-AmEur)*IF(CallPut=1,UndTree!AO24-Strike,Strike-UndTree!AO24),(UpProb*AP24+DownProb*AP25)*StepDiscount)))</f>
        <v>3.8702830917495068</v>
      </c>
      <c r="AP24" s="17">
        <f>IF(AP$3="","",IF(AP$3=Steps,MAX(IF(CallPut=1,UndTree!AP24-Strike,Strike-UndTree!AP24),0),MAX((2-AmEur)*IF(CallPut=1,UndTree!AP24-Strike,Strike-UndTree!AP24),(UpProb*AQ24+DownProb*AQ25)*StepDiscount)))</f>
        <v>4.6940777010234447</v>
      </c>
      <c r="AQ24" s="17">
        <f>IF(AQ$3="","",IF(AQ$3=Steps,MAX(IF(CallPut=1,UndTree!AQ24-Strike,Strike-UndTree!AQ24),0),MAX((2-AmEur)*IF(CallPut=1,UndTree!AQ24-Strike,Strike-UndTree!AQ24),(UpProb*AR24+DownProb*AR25)*StepDiscount)))</f>
        <v>5.6556852868198959</v>
      </c>
      <c r="AR24" s="17">
        <f>IF(AR$3="","",IF(AR$3=Steps,MAX(IF(CallPut=1,UndTree!AR24-Strike,Strike-UndTree!AR24),0),MAX((2-AmEur)*IF(CallPut=1,UndTree!AR24-Strike,Strike-UndTree!AR24),(UpProb*AS24+DownProb*AS25)*StepDiscount)))</f>
        <v>6.7691385430579922</v>
      </c>
      <c r="AS24" s="17">
        <f>IF(AS$3="","",IF(AS$3=Steps,MAX(IF(CallPut=1,UndTree!AS24-Strike,Strike-UndTree!AS24),0),MAX((2-AmEur)*IF(CallPut=1,UndTree!AS24-Strike,Strike-UndTree!AS24),(UpProb*AT24+DownProb*AT25)*StepDiscount)))</f>
        <v>8.0479864705007103</v>
      </c>
      <c r="AT24" s="17">
        <f>IF(AT$3="","",IF(AT$3=Steps,MAX(IF(CallPut=1,UndTree!AT24-Strike,Strike-UndTree!AT24),0),MAX((2-AmEur)*IF(CallPut=1,UndTree!AT24-Strike,Strike-UndTree!AT24),(UpProb*AU24+DownProb*AU25)*StepDiscount)))</f>
        <v>9.5048816932511038</v>
      </c>
      <c r="AU24" s="17">
        <f>IF(AU$3="","",IF(AU$3=Steps,MAX(IF(CallPut=1,UndTree!AU24-Strike,Strike-UndTree!AU24),0),MAX((2-AmEur)*IF(CallPut=1,UndTree!AU24-Strike,Strike-UndTree!AU24),(UpProb*AV24+DownProb*AV25)*StepDiscount)))</f>
        <v>11.151163553312507</v>
      </c>
      <c r="AV24" s="17">
        <f>IF(AV$3="","",IF(AV$3=Steps,MAX(IF(CallPut=1,UndTree!AV24-Strike,Strike-UndTree!AV24),0),MAX((2-AmEur)*IF(CallPut=1,UndTree!AV24-Strike,Strike-UndTree!AV24),(UpProb*AW24+DownProb*AW25)*StepDiscount)))</f>
        <v>12.996464089007205</v>
      </c>
      <c r="AW24" s="17">
        <f>IF(AW$3="","",IF(AW$3=Steps,MAX(IF(CallPut=1,UndTree!AW24-Strike,Strike-UndTree!AW24),0),MAX((2-AmEur)*IF(CallPut=1,UndTree!AW24-Strike,Strike-UndTree!AW24),(UpProb*AX24+DownProb*AX25)*StepDiscount)))</f>
        <v>15.048366694622915</v>
      </c>
      <c r="AX24" s="17">
        <f>IF(AX$3="","",IF(AX$3=Steps,MAX(IF(CallPut=1,UndTree!AX24-Strike,Strike-UndTree!AX24),0),MAX((2-AmEur)*IF(CallPut=1,UndTree!AX24-Strike,Strike-UndTree!AX24),(UpProb*AY24+DownProb*AY25)*StepDiscount)))</f>
        <v>17.312147400754593</v>
      </c>
      <c r="AY24" s="17">
        <f>IF(AY$3="","",IF(AY$3=Steps,MAX(IF(CallPut=1,UndTree!AY24-Strike,Strike-UndTree!AY24),0),MAX((2-AmEur)*IF(CallPut=1,UndTree!AY24-Strike,Strike-UndTree!AY24),(UpProb*AZ24+DownProb*AZ25)*StepDiscount)))</f>
        <v>19.790625743876088</v>
      </c>
      <c r="AZ24" s="17">
        <f>IF(AZ$3="","",IF(AZ$3=Steps,MAX(IF(CallPut=1,UndTree!AZ24-Strike,Strike-UndTree!AZ24),0),MAX((2-AmEur)*IF(CallPut=1,UndTree!AZ24-Strike,Strike-UndTree!AZ24),(UpProb*BA24+DownProb*BA25)*StepDiscount)))</f>
        <v>22.484145855746902</v>
      </c>
      <c r="BA24" s="17">
        <f>IF(BA$3="","",IF(BA$3=Steps,MAX(IF(CallPut=1,UndTree!BA24-Strike,Strike-UndTree!BA24),0),MAX((2-AmEur)*IF(CallPut=1,UndTree!BA24-Strike,Strike-UndTree!BA24),(UpProb*BB24+DownProb*BB25)*StepDiscount)))</f>
        <v>25.390698875837064</v>
      </c>
      <c r="BB24" s="17">
        <f>IF(BB$3="","",IF(BB$3=Steps,MAX(IF(CallPut=1,UndTree!BB24-Strike,Strike-UndTree!BB24),0),MAX((2-AmEur)*IF(CallPut=1,UndTree!BB24-Strike,Strike-UndTree!BB24),(UpProb*BC24+DownProb*BC25)*StepDiscount)))</f>
        <v>28.50618575881791</v>
      </c>
      <c r="BC24" s="17">
        <f>IF(BC$3="","",IF(BC$3=Steps,MAX(IF(CallPut=1,UndTree!BC24-Strike,Strike-UndTree!BC24),0),MAX((2-AmEur)*IF(CallPut=1,UndTree!BC24-Strike,Strike-UndTree!BC24),(UpProb*BD24+DownProb*BD25)*StepDiscount)))</f>
        <v>31.824806210313469</v>
      </c>
      <c r="BD24" s="17">
        <f>IF(BD$3="","",IF(BD$3=Steps,MAX(IF(CallPut=1,UndTree!BD24-Strike,Strike-UndTree!BD24),0),MAX((2-AmEur)*IF(CallPut=1,UndTree!BD24-Strike,Strike-UndTree!BD24),(UpProb*BE24+DownProb*BE25)*StepDiscount)))</f>
        <v>35.339546448305313</v>
      </c>
      <c r="BE24" s="17">
        <f>IF(BE$3="","",IF(BE$3=Steps,MAX(IF(CallPut=1,UndTree!BE24-Strike,Strike-UndTree!BE24),0),MAX((2-AmEur)*IF(CallPut=1,UndTree!BE24-Strike,Strike-UndTree!BE24),(UpProb*BF24+DownProb*BF25)*StepDiscount)))</f>
        <v>39.042727580683675</v>
      </c>
      <c r="BF24" s="17">
        <f>IF(BF$3="","",IF(BF$3=Steps,MAX(IF(CallPut=1,UndTree!BF24-Strike,Strike-UndTree!BF24),0),MAX((2-AmEur)*IF(CallPut=1,UndTree!BF24-Strike,Strike-UndTree!BF24),(UpProb*BG24+DownProb*BG25)*StepDiscount)))</f>
        <v>42.926569364398787</v>
      </c>
      <c r="BG24" s="17">
        <f>IF(BG$3="","",IF(BG$3=Steps,MAX(IF(CallPut=1,UndTree!BG24-Strike,Strike-UndTree!BG24),0),MAX((2-AmEur)*IF(CallPut=1,UndTree!BG24-Strike,Strike-UndTree!BG24),(UpProb*BH24+DownProb*BH25)*StepDiscount)))</f>
        <v>46.983722314550228</v>
      </c>
      <c r="BH24" s="17">
        <f>IF(BH$3="","",IF(BH$3=Steps,MAX(IF(CallPut=1,UndTree!BH24-Strike,Strike-UndTree!BH24),0),MAX((2-AmEur)*IF(CallPut=1,UndTree!BH24-Strike,Strike-UndTree!BH24),(UpProb*BI24+DownProb*BI25)*StepDiscount)))</f>
        <v>51.207725187183925</v>
      </c>
      <c r="BI24" s="17">
        <f>IF(BI$3="","",IF(BI$3=Steps,MAX(IF(CallPut=1,UndTree!BI24-Strike,Strike-UndTree!BI24),0),MAX((2-AmEur)*IF(CallPut=1,UndTree!BI24-Strike,Strike-UndTree!BI24),(UpProb*BJ24+DownProb*BJ25)*StepDiscount)))</f>
        <v>55.593354453481716</v>
      </c>
      <c r="BJ24" s="17">
        <f>IF(BJ$3="","",IF(BJ$3=Steps,MAX(IF(CallPut=1,UndTree!BJ24-Strike,Strike-UndTree!BJ24),0),MAX((2-AmEur)*IF(CallPut=1,UndTree!BJ24-Strike,Strike-UndTree!BJ24),(UpProb*BK24+DownProb*BK25)*StepDiscount)))</f>
        <v>60.136846214431088</v>
      </c>
      <c r="BK24" s="17">
        <f>IF(BK$3="","",IF(BK$3=Steps,MAX(IF(CallPut=1,UndTree!BK24-Strike,Strike-UndTree!BK24),0),MAX((2-AmEur)*IF(CallPut=1,UndTree!BK24-Strike,Strike-UndTree!BK24),(UpProb*BL24+DownProb*BL25)*StepDiscount)))</f>
        <v>64.835986950133147</v>
      </c>
      <c r="BL24" s="17">
        <f>IF(BL$3="","",IF(BL$3=Steps,MAX(IF(CallPut=1,UndTree!BL24-Strike,Strike-UndTree!BL24),0),MAX((2-AmEur)*IF(CallPut=1,UndTree!BL24-Strike,Strike-UndTree!BL24),(UpProb*BM24+DownProb*BM25)*StepDiscount)))</f>
        <v>69.690084981142235</v>
      </c>
      <c r="BM24" s="17">
        <f>IF(BM$3="","",IF(BM$3=Steps,MAX(IF(CallPut=1,UndTree!BM24-Strike,Strike-UndTree!BM24),0),MAX((2-AmEur)*IF(CallPut=1,UndTree!BM24-Strike,Strike-UndTree!BM24),(UpProb*BN24+DownProb*BN25)*StepDiscount)))</f>
        <v>74.699847027631137</v>
      </c>
      <c r="BN24" s="17">
        <f>IF(BN$3="","",IF(BN$3=Steps,MAX(IF(CallPut=1,UndTree!BN24-Strike,Strike-UndTree!BN24),0),MAX((2-AmEur)*IF(CallPut=1,UndTree!BN24-Strike,Strike-UndTree!BN24),(UpProb*BO24+DownProb*BO25)*StepDiscount)))</f>
        <v>79.867191876286057</v>
      </c>
      <c r="BO24" s="17">
        <f>IF(BO$3="","",IF(BO$3=Steps,MAX(IF(CallPut=1,UndTree!BO24-Strike,Strike-UndTree!BO24),0),MAX((2-AmEur)*IF(CallPut=1,UndTree!BO24-Strike,Strike-UndTree!BO24),(UpProb*BP24+DownProb*BP25)*StepDiscount)))</f>
        <v>85.195035024462044</v>
      </c>
      <c r="BP24" s="17">
        <f>IF(BP$3="","",IF(BP$3=Steps,MAX(IF(CallPut=1,UndTree!BP24-Strike,Strike-UndTree!BP24),0),MAX((2-AmEur)*IF(CallPut=1,UndTree!BP24-Strike,Strike-UndTree!BP24),(UpProb*BQ24+DownProb*BQ25)*StepDiscount)))</f>
        <v>90.687074598831188</v>
      </c>
      <c r="BQ24" s="17">
        <f>IF(BQ$3="","",IF(BQ$3=Steps,MAX(IF(CallPut=1,UndTree!BQ24-Strike,Strike-UndTree!BQ24),0),MAX((2-AmEur)*IF(CallPut=1,UndTree!BQ24-Strike,Strike-UndTree!BQ24),(UpProb*BR24+DownProb*BR25)*StepDiscount)))</f>
        <v>96.347601261269574</v>
      </c>
      <c r="BR24" s="17">
        <f>IF(BR$3="","",IF(BR$3=Steps,MAX(IF(CallPut=1,UndTree!BR24-Strike,Strike-UndTree!BR24),0),MAX((2-AmEur)*IF(CallPut=1,UndTree!BR24-Strike,Strike-UndTree!BR24),(UpProb*BS24+DownProb*BS25)*StepDiscount)))</f>
        <v>102.18134531502928</v>
      </c>
      <c r="BS24" s="17">
        <f>IF(BS$3="","",IF(BS$3=Steps,MAX(IF(CallPut=1,UndTree!BS24-Strike,Strike-UndTree!BS24),0),MAX((2-AmEur)*IF(CallPut=1,UndTree!BS24-Strike,Strike-UndTree!BS24),(UpProb*BT24+DownProb*BT25)*StepDiscount)))</f>
        <v>108.19336500765836</v>
      </c>
      <c r="BT24" s="17">
        <f>IF(BT$3="","",IF(BT$3=Steps,MAX(IF(CallPut=1,UndTree!BT24-Strike,Strike-UndTree!BT24),0),MAX((2-AmEur)*IF(CallPut=1,UndTree!BT24-Strike,Strike-UndTree!BT24),(UpProb*BU24+DownProb*BU25)*StepDiscount)))</f>
        <v>114.38897283006078</v>
      </c>
      <c r="BU24" s="17">
        <f>IF(BU$3="","",IF(BU$3=Steps,MAX(IF(CallPut=1,UndTree!BU24-Strike,Strike-UndTree!BU24),0),MAX((2-AmEur)*IF(CallPut=1,UndTree!BU24-Strike,Strike-UndTree!BU24),(UpProb*BV24+DownProb*BV25)*StepDiscount)))</f>
        <v>120.77369233367057</v>
      </c>
      <c r="BV24" s="17">
        <f>IF(BV$3="","",IF(BV$3=Steps,MAX(IF(CallPut=1,UndTree!BV24-Strike,Strike-UndTree!BV24),0),MAX((2-AmEur)*IF(CallPut=1,UndTree!BV24-Strike,Strike-UndTree!BV24),(UpProb*BW24+DownProb*BW25)*StepDiscount)))</f>
        <v>127.35323661548541</v>
      </c>
      <c r="BW24" s="17">
        <f>IF(BW$3="","",IF(BW$3=Steps,MAX(IF(CallPut=1,UndTree!BW24-Strike,Strike-UndTree!BW24),0),MAX((2-AmEur)*IF(CallPut=1,UndTree!BW24-Strike,Strike-UndTree!BW24),(UpProb*BX24+DownProb*BX25)*StepDiscount)))</f>
        <v>134.13350043657744</v>
      </c>
      <c r="BX24" s="17">
        <f>IF(BX$3="","",IF(BX$3=Steps,MAX(IF(CallPut=1,UndTree!BX24-Strike,Strike-UndTree!BX24),0),MAX((2-AmEur)*IF(CallPut=1,UndTree!BX24-Strike,Strike-UndTree!BX24),(UpProb*BY24+DownProb*BY25)*StepDiscount)))</f>
        <v>141.12055991243579</v>
      </c>
      <c r="BY24" s="17">
        <f>IF(BY$3="","",IF(BY$3=Steps,MAX(IF(CallPut=1,UndTree!BY24-Strike,Strike-UndTree!BY24),0),MAX((2-AmEur)*IF(CallPut=1,UndTree!BY24-Strike,Strike-UndTree!BY24),(UpProb*BZ24+DownProb*BZ25)*StepDiscount)))</f>
        <v>148.32067589351445</v>
      </c>
      <c r="BZ24" s="17">
        <f>IF(BZ$3="","",IF(BZ$3=Steps,MAX(IF(CallPut=1,UndTree!BZ24-Strike,Strike-UndTree!BZ24),0),MAX((2-AmEur)*IF(CallPut=1,UndTree!BZ24-Strike,Strike-UndTree!BZ24),(UpProb*CA24+DownProb*CA25)*StepDiscount)))</f>
        <v>155.7402989303551</v>
      </c>
      <c r="CA24" s="17">
        <f>IF(CA$3="","",IF(CA$3=Steps,MAX(IF(CallPut=1,UndTree!CA24-Strike,Strike-UndTree!CA24),0),MAX((2-AmEur)*IF(CallPut=1,UndTree!CA24-Strike,Strike-UndTree!CA24),(UpProb*CB24+DownProb*CB25)*StepDiscount)))</f>
        <v>163.38607487286461</v>
      </c>
      <c r="CB24" s="17">
        <f>IF(CB$3="","",IF(CB$3=Steps,MAX(IF(CallPut=1,UndTree!CB24-Strike,Strike-UndTree!CB24),0),MAX((2-AmEur)*IF(CallPut=1,UndTree!CB24-Strike,Strike-UndTree!CB24),(UpProb*CC24+DownProb*CC25)*StepDiscount)))</f>
        <v>171.26485076007506</v>
      </c>
      <c r="CC24" s="17">
        <f>IF(CC$3="","",IF(CC$3=Steps,MAX(IF(CallPut=1,UndTree!CC24-Strike,Strike-UndTree!CC24),0),MAX((2-AmEur)*IF(CallPut=1,UndTree!CC24-Strike,Strike-UndTree!CC24),(UpProb*CD24+DownProb*CD25)*StepDiscount)))</f>
        <v>179.383680908847</v>
      </c>
      <c r="CD24" s="17">
        <f>IF(CD$3="","",IF(CD$3=Steps,MAX(IF(CallPut=1,UndTree!CD24-Strike,Strike-UndTree!CD24),0),MAX((2-AmEur)*IF(CallPut=1,UndTree!CD24-Strike,Strike-UndTree!CD24),(UpProb*CE24+DownProb*CE25)*StepDiscount)))</f>
        <v>187.74983318870019</v>
      </c>
      <c r="CE24" s="17">
        <f>IF(CE$3="","",IF(CE$3=Steps,MAX(IF(CallPut=1,UndTree!CE24-Strike,Strike-UndTree!CE24),0),MAX((2-AmEur)*IF(CallPut=1,UndTree!CE24-Strike,Strike-UndTree!CE24),(UpProb*CF24+DownProb*CF25)*StepDiscount)))</f>
        <v>196.37079548660026</v>
      </c>
      <c r="CF24" s="17">
        <f>IF(CF$3="","",IF(CF$3=Steps,MAX(IF(CallPut=1,UndTree!CF24-Strike,Strike-UndTree!CF24),0),MAX((2-AmEur)*IF(CallPut=1,UndTree!CF24-Strike,Strike-UndTree!CF24),(UpProb*CG24+DownProb*CG25)*StepDiscount)))</f>
        <v>205.2542823674508</v>
      </c>
      <c r="CG24" s="17">
        <f>IF(CG$3="","",IF(CG$3=Steps,MAX(IF(CallPut=1,UndTree!CG24-Strike,Strike-UndTree!CG24),0),MAX((2-AmEur)*IF(CallPut=1,UndTree!CG24-Strike,Strike-UndTree!CG24),(UpProb*CH24+DownProb*CH25)*StepDiscount)))</f>
        <v>214.40824193621577</v>
      </c>
      <c r="CH24" s="17">
        <f>IF(CH$3="","",IF(CH$3=Steps,MAX(IF(CallPut=1,UndTree!CH24-Strike,Strike-UndTree!CH24),0),MAX((2-AmEur)*IF(CallPut=1,UndTree!CH24-Strike,Strike-UndTree!CH24),(UpProb*CI24+DownProb*CI25)*StepDiscount)))</f>
        <v>223.84086290777535</v>
      </c>
      <c r="CI24" s="17">
        <f>IF(CI$3="","",IF(CI$3=Steps,MAX(IF(CallPut=1,UndTree!CI24-Strike,Strike-UndTree!CI24),0),MAX((2-AmEur)*IF(CallPut=1,UndTree!CI24-Strike,Strike-UndTree!CI24),(UpProb*CJ24+DownProb*CJ25)*StepDiscount)))</f>
        <v>233.56058189080383</v>
      </c>
      <c r="CJ24" s="17">
        <f>IF(CJ$3="","",IF(CJ$3=Steps,MAX(IF(CallPut=1,UndTree!CJ24-Strike,Strike-UndTree!CJ24),0),MAX((2-AmEur)*IF(CallPut=1,UndTree!CJ24-Strike,Strike-UndTree!CJ24),(UpProb*CK24+DownProb*CK25)*StepDiscount)))</f>
        <v>243.57609089214853</v>
      </c>
      <c r="CK24" s="17">
        <f>IF(CK$3="","",IF(CK$3=Steps,MAX(IF(CallPut=1,UndTree!CK24-Strike,Strike-UndTree!CK24),0),MAX((2-AmEur)*IF(CallPut=1,UndTree!CK24-Strike,Strike-UndTree!CK24),(UpProb*CL24+DownProb*CL25)*StepDiscount)))</f>
        <v>253.89634504838466</v>
      </c>
      <c r="CL24" s="17">
        <f>IF(CL$3="","",IF(CL$3=Steps,MAX(IF(CallPut=1,UndTree!CL24-Strike,Strike-UndTree!CL24),0),MAX((2-AmEur)*IF(CallPut=1,UndTree!CL24-Strike,Strike-UndTree!CL24),(UpProb*CM24+DownProb*CM25)*StepDiscount)))</f>
        <v>264.53057059142452</v>
      </c>
      <c r="CM24" s="17">
        <f>IF(CM$3="","",IF(CM$3=Steps,MAX(IF(CallPut=1,UndTree!CM24-Strike,Strike-UndTree!CM24),0),MAX((2-AmEur)*IF(CallPut=1,UndTree!CM24-Strike,Strike-UndTree!CM24),(UpProb*CN24+DownProb*CN25)*StepDiscount)))</f>
        <v>275.48827305526646</v>
      </c>
      <c r="CN24" s="17">
        <f>IF(CN$3="","",IF(CN$3=Steps,MAX(IF(CallPut=1,UndTree!CN24-Strike,Strike-UndTree!CN24),0),MAX((2-AmEur)*IF(CallPut=1,UndTree!CN24-Strike,Strike-UndTree!CN24),(UpProb*CO24+DownProb*CO25)*StepDiscount)))</f>
        <v>286.77924573118548</v>
      </c>
      <c r="CO24" s="17">
        <f>IF(CO$3="","",IF(CO$3=Steps,MAX(IF(CallPut=1,UndTree!CO24-Strike,Strike-UndTree!CO24),0),MAX((2-AmEur)*IF(CallPut=1,UndTree!CO24-Strike,Strike-UndTree!CO24),(UpProb*CP24+DownProb*CP25)*StepDiscount)))</f>
        <v>298.41357837888603</v>
      </c>
      <c r="CP24" s="17">
        <f>IF(CP$3="","",IF(CP$3=Steps,MAX(IF(CallPut=1,UndTree!CP24-Strike,Strike-UndTree!CP24),0),MAX((2-AmEur)*IF(CallPut=1,UndTree!CP24-Strike,Strike-UndTree!CP24),(UpProb*CQ24+DownProb*CQ25)*StepDiscount)))</f>
        <v>310.40166620136546</v>
      </c>
      <c r="CQ24" s="17">
        <f>IF(CQ$3="","",IF(CQ$3=Steps,MAX(IF(CallPut=1,UndTree!CQ24-Strike,Strike-UndTree!CQ24),0),MAX((2-AmEur)*IF(CallPut=1,UndTree!CQ24-Strike,Strike-UndTree!CQ24),(UpProb*CR24+DownProb*CR25)*StepDiscount)))</f>
        <v>322.75421909147121</v>
      </c>
      <c r="CR24" s="17">
        <f>IF(CR$3="","",IF(CR$3=Steps,MAX(IF(CallPut=1,UndTree!CR24-Strike,Strike-UndTree!CR24),0),MAX((2-AmEur)*IF(CallPut=1,UndTree!CR24-Strike,Strike-UndTree!CR24),(UpProb*CS24+DownProb*CS25)*StepDiscount)))</f>
        <v>335.48227115837233</v>
      </c>
      <c r="CS24" s="17">
        <f>IF(CS$3="","",IF(CS$3=Steps,MAX(IF(CallPut=1,UndTree!CS24-Strike,Strike-UndTree!CS24),0),MAX((2-AmEur)*IF(CallPut=1,UndTree!CS24-Strike,Strike-UndTree!CS24),(UpProb*CT24+DownProb*CT25)*StepDiscount)))</f>
        <v>348.59719054241521</v>
      </c>
      <c r="CT24" s="17">
        <f>IF(CT$3="","",IF(CT$3=Steps,MAX(IF(CallPut=1,UndTree!CT24-Strike,Strike-UndTree!CT24),0),MAX((2-AmEur)*IF(CallPut=1,UndTree!CT24-Strike,Strike-UndTree!CT24),(UpProb*CU24+DownProb*CU25)*StepDiscount)))</f>
        <v>362.11068952709019</v>
      </c>
      <c r="CU24" s="17">
        <f>IF(CU$3="","",IF(CU$3=Steps,MAX(IF(CallPut=1,UndTree!CU24-Strike,Strike-UndTree!CU24),0),MAX((2-AmEur)*IF(CallPut=1,UndTree!CU24-Strike,Strike-UndTree!CU24),(UpProb*CV24+DownProb*CV25)*StepDiscount)))</f>
        <v>376.03483495710316</v>
      </c>
      <c r="CV24" s="17">
        <f>IF(CV$3="","",IF(CV$3=Steps,MAX(IF(CallPut=1,UndTree!CV24-Strike,Strike-UndTree!CV24),0),MAX((2-AmEur)*IF(CallPut=1,UndTree!CV24-Strike,Strike-UndTree!CV24),(UpProb*CW24+DownProb*CW25)*StepDiscount)))</f>
        <v>390.38205897182951</v>
      </c>
      <c r="CW24" s="17">
        <f>IF(CW$3="","",IF(CW$3=Steps,MAX(IF(CallPut=1,UndTree!CW24-Strike,Strike-UndTree!CW24),0),MAX((2-AmEur)*IF(CallPut=1,UndTree!CW24-Strike,Strike-UndTree!CW24),(UpProb*CX24+DownProb*CX25)*StepDiscount)))</f>
        <v>405.16517006371947</v>
      </c>
      <c r="CX24" s="17">
        <f>IF(CX$3="","",IF(CX$3=Steps,MAX(IF(CallPut=1,UndTree!CX24-Strike,Strike-UndTree!CX24),0),MAX((2-AmEur)*IF(CallPut=1,UndTree!CX24-Strike,Strike-UndTree!CX24),(UpProb*CY24+DownProb*CY25)*StepDiscount)))</f>
        <v>420.39736447150545</v>
      </c>
      <c r="CY24" s="17">
        <f>IF(CY$3="","",IF(CY$3=Steps,MAX(IF(CallPut=1,UndTree!CY24-Strike,Strike-UndTree!CY24),0),MAX((2-AmEur)*IF(CallPut=1,UndTree!CY24-Strike,Strike-UndTree!CY24),(UpProb*CZ24+DownProb*CZ25)*StepDiscount)))</f>
        <v>436.09223791833017</v>
      </c>
      <c r="CZ24" s="17">
        <f>IF(CZ$3="","",IF(CZ$3=Steps,MAX(IF(CallPut=1,UndTree!CZ24-Strike,Strike-UndTree!CZ24),0),MAX((2-AmEur)*IF(CallPut=1,UndTree!CZ24-Strike,Strike-UndTree!CZ24),(UpProb*DA24+DownProb*DA25)*StepDiscount)))</f>
        <v>452.26379770522891</v>
      </c>
      <c r="DA24" s="17">
        <f>IF(DA$3="","",IF(DA$3=Steps,MAX(IF(CallPut=1,UndTree!DA24-Strike,Strike-UndTree!DA24),0),MAX((2-AmEur)*IF(CallPut=1,UndTree!DA24-Strike,Strike-UndTree!DA24),(UpProb*DB24+DownProb*DB25)*StepDiscount)))</f>
        <v>468.92647517089438</v>
      </c>
      <c r="DB24" s="17">
        <f>IF(DB$3="","",IF(DB$3=Steps,MAX(IF(CallPut=1,UndTree!DB24-Strike,Strike-UndTree!DB24),0),MAX((2-AmEur)*IF(CallPut=1,UndTree!DB24-Strike,Strike-UndTree!DB24),(UpProb*DC24+DownProb*DC25)*StepDiscount)))</f>
        <v>486.09513852880002</v>
      </c>
    </row>
    <row r="25" spans="1:106" x14ac:dyDescent="0.2">
      <c r="A25">
        <f>ExDivTree!A25</f>
        <v>2.5778247814659425E+21</v>
      </c>
      <c r="B25" s="71">
        <f>ExDivTree!B25</f>
        <v>1.0167725953041902E-9</v>
      </c>
      <c r="C25" s="71">
        <f>ExDivTree!C25</f>
        <v>1.1884587683133028E-9</v>
      </c>
      <c r="D25" s="177">
        <f>ExDivTree!D25</f>
        <v>21</v>
      </c>
      <c r="Z25" s="17">
        <f>IF(Z$3="","",IF(Z$3=Steps,MAX(IF(CallPut=1,UndTree!Z25-Strike,Strike-UndTree!Z25),0),MAX((2-AmEur)*IF(CallPut=1,UndTree!Z25-Strike,Strike-UndTree!Z25),(UpProb*AA25+DownProb*AA26)*StepDiscount)))</f>
        <v>5.0864270567700126E-2</v>
      </c>
      <c r="AA25" s="17">
        <f>IF(AA$3="","",IF(AA$3=Steps,MAX(IF(CallPut=1,UndTree!AA25-Strike,Strike-UndTree!AA25),0),MAX((2-AmEur)*IF(CallPut=1,UndTree!AA25-Strike,Strike-UndTree!AA25),(UpProb*AB25+DownProb*AB26)*StepDiscount)))</f>
        <v>6.8523212408660897E-2</v>
      </c>
      <c r="AB25" s="17">
        <f>IF(AB$3="","",IF(AB$3=Steps,MAX(IF(CallPut=1,UndTree!AB25-Strike,Strike-UndTree!AB25),0),MAX((2-AmEur)*IF(CallPut=1,UndTree!AB25-Strike,Strike-UndTree!AB25),(UpProb*AC25+DownProb*AC26)*StepDiscount)))</f>
        <v>9.1841627318611022E-2</v>
      </c>
      <c r="AC25" s="17">
        <f>IF(AC$3="","",IF(AC$3=Steps,MAX(IF(CallPut=1,UndTree!AC25-Strike,Strike-UndTree!AC25),0),MAX((2-AmEur)*IF(CallPut=1,UndTree!AC25-Strike,Strike-UndTree!AC25),(UpProb*AD25+DownProb*AD26)*StepDiscount)))</f>
        <v>0.12245352417576254</v>
      </c>
      <c r="AD25" s="17">
        <f>IF(AD$3="","",IF(AD$3=Steps,MAX(IF(CallPut=1,UndTree!AD25-Strike,Strike-UndTree!AD25),0),MAX((2-AmEur)*IF(CallPut=1,UndTree!AD25-Strike,Strike-UndTree!AD25),(UpProb*AE25+DownProb*AE26)*StepDiscount)))</f>
        <v>0.16239969502047685</v>
      </c>
      <c r="AE25" s="17">
        <f>IF(AE$3="","",IF(AE$3=Steps,MAX(IF(CallPut=1,UndTree!AE25-Strike,Strike-UndTree!AE25),0),MAX((2-AmEur)*IF(CallPut=1,UndTree!AE25-Strike,Strike-UndTree!AE25),(UpProb*AF25+DownProb*AF26)*StepDiscount)))</f>
        <v>0.21420678496529302</v>
      </c>
      <c r="AF25" s="17">
        <f>IF(AF$3="","",IF(AF$3=Steps,MAX(IF(CallPut=1,UndTree!AF25-Strike,Strike-UndTree!AF25),0),MAX((2-AmEur)*IF(CallPut=1,UndTree!AF25-Strike,Strike-UndTree!AF25),(UpProb*AG25+DownProb*AG26)*StepDiscount)))</f>
        <v>0.28097449798861973</v>
      </c>
      <c r="AG25" s="17">
        <f>IF(AG$3="","",IF(AG$3=Steps,MAX(IF(CallPut=1,UndTree!AG25-Strike,Strike-UndTree!AG25),0),MAX((2-AmEur)*IF(CallPut=1,UndTree!AG25-Strike,Strike-UndTree!AG25),(UpProb*AH25+DownProb*AH26)*StepDiscount)))</f>
        <v>0.36646936126382473</v>
      </c>
      <c r="AH25" s="17">
        <f>IF(AH$3="","",IF(AH$3=Steps,MAX(IF(CallPut=1,UndTree!AH25-Strike,Strike-UndTree!AH25),0),MAX((2-AmEur)*IF(CallPut=1,UndTree!AH25-Strike,Strike-UndTree!AH25),(UpProb*AI25+DownProb*AI26)*StepDiscount)))</f>
        <v>0.47522248042962678</v>
      </c>
      <c r="AI25" s="17">
        <f>IF(AI$3="","",IF(AI$3=Steps,MAX(IF(CallPut=1,UndTree!AI25-Strike,Strike-UndTree!AI25),0),MAX((2-AmEur)*IF(CallPut=1,UndTree!AI25-Strike,Strike-UndTree!AI25),(UpProb*AJ25+DownProb*AJ26)*StepDiscount)))</f>
        <v>0.61262755640853994</v>
      </c>
      <c r="AJ25" s="17">
        <f>IF(AJ$3="","",IF(AJ$3=Steps,MAX(IF(CallPut=1,UndTree!AJ25-Strike,Strike-UndTree!AJ25),0),MAX((2-AmEur)*IF(CallPut=1,UndTree!AJ25-Strike,Strike-UndTree!AJ25),(UpProb*AK25+DownProb*AK26)*StepDiscount)))</f>
        <v>0.78503414291831175</v>
      </c>
      <c r="AK25" s="17">
        <f>IF(AK$3="","",IF(AK$3=Steps,MAX(IF(CallPut=1,UndTree!AK25-Strike,Strike-UndTree!AK25),0),MAX((2-AmEur)*IF(CallPut=1,UndTree!AK25-Strike,Strike-UndTree!AK25),(UpProb*AL25+DownProb*AL26)*StepDiscount)))</f>
        <v>0.99982977673039886</v>
      </c>
      <c r="AL25" s="17">
        <f>IF(AL$3="","",IF(AL$3=Steps,MAX(IF(CallPut=1,UndTree!AL25-Strike,Strike-UndTree!AL25),0),MAX((2-AmEur)*IF(CallPut=1,UndTree!AL25-Strike,Strike-UndTree!AL25),(UpProb*AM25+DownProb*AM26)*StepDiscount)))</f>
        <v>1.2655033210662676</v>
      </c>
      <c r="AM25" s="17">
        <f>IF(AM$3="","",IF(AM$3=Steps,MAX(IF(CallPut=1,UndTree!AM25-Strike,Strike-UndTree!AM25),0),MAX((2-AmEur)*IF(CallPut=1,UndTree!AM25-Strike,Strike-UndTree!AM25),(UpProb*AN25+DownProb*AN26)*StepDiscount)))</f>
        <v>1.5916807762058409</v>
      </c>
      <c r="AN25" s="17">
        <f>IF(AN$3="","",IF(AN$3=Steps,MAX(IF(CallPut=1,UndTree!AN25-Strike,Strike-UndTree!AN25),0),MAX((2-AmEur)*IF(CallPut=1,UndTree!AN25-Strike,Strike-UndTree!AN25),(UpProb*AO25+DownProb*AO26)*StepDiscount)))</f>
        <v>1.989124116211832</v>
      </c>
      <c r="AO25" s="17">
        <f>IF(AO$3="","",IF(AO$3=Steps,MAX(IF(CallPut=1,UndTree!AO25-Strike,Strike-UndTree!AO25),0),MAX((2-AmEur)*IF(CallPut=1,UndTree!AO25-Strike,Strike-UndTree!AO25),(UpProb*AP25+DownProb*AP26)*StepDiscount)))</f>
        <v>2.4696836186903766</v>
      </c>
      <c r="AP25" s="17">
        <f>IF(AP$3="","",IF(AP$3=Steps,MAX(IF(CallPut=1,UndTree!AP25-Strike,Strike-UndTree!AP25),0),MAX((2-AmEur)*IF(CallPut=1,UndTree!AP25-Strike,Strike-UndTree!AP25),(UpProb*AQ25+DownProb*AQ26)*StepDiscount)))</f>
        <v>3.0461948861481027</v>
      </c>
      <c r="AQ25" s="17">
        <f>IF(AQ$3="","",IF(AQ$3=Steps,MAX(IF(CallPut=1,UndTree!AQ25-Strike,Strike-UndTree!AQ25),0),MAX((2-AmEur)*IF(CallPut=1,UndTree!AQ25-Strike,Strike-UndTree!AQ25),(UpProb*AR25+DownProb*AR26)*StepDiscount)))</f>
        <v>3.73231351472073</v>
      </c>
      <c r="AR25" s="17">
        <f>IF(AR$3="","",IF(AR$3=Steps,MAX(IF(CallPut=1,UndTree!AR25-Strike,Strike-UndTree!AR25),0),MAX((2-AmEur)*IF(CallPut=1,UndTree!AR25-Strike,Strike-UndTree!AR25),(UpProb*AS25+DownProb*AS26)*StepDiscount)))</f>
        <v>4.5422832968606617</v>
      </c>
      <c r="AS25" s="17">
        <f>IF(AS$3="","",IF(AS$3=Steps,MAX(IF(CallPut=1,UndTree!AS25-Strike,Strike-UndTree!AS25),0),MAX((2-AmEur)*IF(CallPut=1,UndTree!AS25-Strike,Strike-UndTree!AS25),(UpProb*AT25+DownProb*AT26)*StepDiscount)))</f>
        <v>5.4906380013663183</v>
      </c>
      <c r="AT25" s="17">
        <f>IF(AT$3="","",IF(AT$3=Steps,MAX(IF(CallPut=1,UndTree!AT25-Strike,Strike-UndTree!AT25),0),MAX((2-AmEur)*IF(CallPut=1,UndTree!AT25-Strike,Strike-UndTree!AT25),(UpProb*AU25+DownProb*AU26)*StepDiscount)))</f>
        <v>6.591842070298596</v>
      </c>
      <c r="AU25" s="17">
        <f>IF(AU$3="","",IF(AU$3=Steps,MAX(IF(CallPut=1,UndTree!AU25-Strike,Strike-UndTree!AU25),0),MAX((2-AmEur)*IF(CallPut=1,UndTree!AU25-Strike,Strike-UndTree!AU25),(UpProb*AV25+DownProb*AV26)*StepDiscount)))</f>
        <v>7.8598817442841566</v>
      </c>
      <c r="AV25" s="17">
        <f>IF(AV$3="","",IF(AV$3=Steps,MAX(IF(CallPut=1,UndTree!AV25-Strike,Strike-UndTree!AV25),0),MAX((2-AmEur)*IF(CallPut=1,UndTree!AV25-Strike,Strike-UndTree!AV25),(UpProb*AW25+DownProb*AW26)*StepDiscount)))</f>
        <v>9.3078247115636543</v>
      </c>
      <c r="AW25" s="17">
        <f>IF(AW$3="","",IF(AW$3=Steps,MAX(IF(CallPut=1,UndTree!AW25-Strike,Strike-UndTree!AW25),0),MAX((2-AmEur)*IF(CallPut=1,UndTree!AW25-Strike,Strike-UndTree!AW25),(UpProb*AX25+DownProb*AX26)*StepDiscount)))</f>
        <v>10.947372709307585</v>
      </c>
      <c r="AX25" s="17">
        <f>IF(AX$3="","",IF(AX$3=Steps,MAX(IF(CallPut=1,UndTree!AX25-Strike,Strike-UndTree!AX25),0),MAX((2-AmEur)*IF(CallPut=1,UndTree!AX25-Strike,Strike-UndTree!AX25),(UpProb*AY25+DownProb*AY26)*StepDiscount)))</f>
        <v>12.788436763165562</v>
      </c>
      <c r="AY25" s="17">
        <f>IF(AY$3="","",IF(AY$3=Steps,MAX(IF(CallPut=1,UndTree!AY25-Strike,Strike-UndTree!AY25),0),MAX((2-AmEur)*IF(CallPut=1,UndTree!AY25-Strike,Strike-UndTree!AY25),(UpProb*AZ25+DownProb*AZ26)*StepDiscount)))</f>
        <v>14.83876802283975</v>
      </c>
      <c r="AZ25" s="17">
        <f>IF(AZ$3="","",IF(AZ$3=Steps,MAX(IF(CallPut=1,UndTree!AZ25-Strike,Strike-UndTree!AZ25),0),MAX((2-AmEur)*IF(CallPut=1,UndTree!AZ25-Strike,Strike-UndTree!AZ25),(UpProb*BA25+DownProb*BA26)*StepDiscount)))</f>
        <v>17.103677562296841</v>
      </c>
      <c r="BA25" s="17">
        <f>IF(BA$3="","",IF(BA$3=Steps,MAX(IF(CallPut=1,UndTree!BA25-Strike,Strike-UndTree!BA25),0),MAX((2-AmEur)*IF(CallPut=1,UndTree!BA25-Strike,Strike-UndTree!BA25),(UpProb*BB25+DownProb*BB26)*StepDiscount)))</f>
        <v>19.585875375059366</v>
      </c>
      <c r="BB25" s="17">
        <f>IF(BB$3="","",IF(BB$3=Steps,MAX(IF(CallPut=1,UndTree!BB25-Strike,Strike-UndTree!BB25),0),MAX((2-AmEur)*IF(CallPut=1,UndTree!BB25-Strike,Strike-UndTree!BB25),(UpProb*BC25+DownProb*BC26)*StepDiscount)))</f>
        <v>22.285451774559384</v>
      </c>
      <c r="BC25" s="17">
        <f>IF(BC$3="","",IF(BC$3=Steps,MAX(IF(CallPut=1,UndTree!BC25-Strike,Strike-UndTree!BC25),0),MAX((2-AmEur)*IF(CallPut=1,UndTree!BC25-Strike,Strike-UndTree!BC25),(UpProb*BD25+DownProb*BD26)*StepDiscount)))</f>
        <v>25.200013680372834</v>
      </c>
      <c r="BD25" s="17">
        <f>IF(BD$3="","",IF(BD$3=Steps,MAX(IF(CallPut=1,UndTree!BD25-Strike,Strike-UndTree!BD25),0),MAX((2-AmEur)*IF(CallPut=1,UndTree!BD25-Strike,Strike-UndTree!BD25),(UpProb*BE25+DownProb*BE26)*StepDiscount)))</f>
        <v>28.324974613558759</v>
      </c>
      <c r="BE25" s="17">
        <f>IF(BE$3="","",IF(BE$3=Steps,MAX(IF(CallPut=1,UndTree!BE25-Strike,Strike-UndTree!BE25),0),MAX((2-AmEur)*IF(CallPut=1,UndTree!BE25-Strike,Strike-UndTree!BE25),(UpProb*BF25+DownProb*BF26)*StepDiscount)))</f>
        <v>31.653982034550481</v>
      </c>
      <c r="BF25" s="17">
        <f>IF(BF$3="","",IF(BF$3=Steps,MAX(IF(CallPut=1,UndTree!BF25-Strike,Strike-UndTree!BF25),0),MAX((2-AmEur)*IF(CallPut=1,UndTree!BF25-Strike,Strike-UndTree!BF25),(UpProb*BG25+DownProb*BG26)*StepDiscount)))</f>
        <v>35.179450836140241</v>
      </c>
      <c r="BG25" s="17">
        <f>IF(BG$3="","",IF(BG$3=Steps,MAX(IF(CallPut=1,UndTree!BG25-Strike,Strike-UndTree!BG25),0),MAX((2-AmEur)*IF(CallPut=1,UndTree!BG25-Strike,Strike-UndTree!BG25),(UpProb*BH25+DownProb*BH26)*StepDiscount)))</f>
        <v>38.893159515936361</v>
      </c>
      <c r="BH25" s="17">
        <f>IF(BH$3="","",IF(BH$3=Steps,MAX(IF(CallPut=1,UndTree!BH25-Strike,Strike-UndTree!BH25),0),MAX((2-AmEur)*IF(CallPut=1,UndTree!BH25-Strike,Strike-UndTree!BH25),(UpProb*BI25+DownProb*BI26)*StepDiscount)))</f>
        <v>42.786857870003772</v>
      </c>
      <c r="BI25" s="17">
        <f>IF(BI$3="","",IF(BI$3=Steps,MAX(IF(CallPut=1,UndTree!BI25-Strike,Strike-UndTree!BI25),0),MAX((2-AmEur)*IF(CallPut=1,UndTree!BI25-Strike,Strike-UndTree!BI25),(UpProb*BJ25+DownProb*BJ26)*StepDiscount)))</f>
        <v>46.852833541191615</v>
      </c>
      <c r="BJ25" s="17">
        <f>IF(BJ$3="","",IF(BJ$3=Steps,MAX(IF(CallPut=1,UndTree!BJ25-Strike,Strike-UndTree!BJ25),0),MAX((2-AmEur)*IF(CallPut=1,UndTree!BJ25-Strike,Strike-UndTree!BJ25),(UpProb*BK25+DownProb*BK26)*StepDiscount)))</f>
        <v>51.08439009968113</v>
      </c>
      <c r="BK25" s="17">
        <f>IF(BK$3="","",IF(BK$3=Steps,MAX(IF(CallPut=1,UndTree!BK25-Strike,Strike-UndTree!BK25),0),MAX((2-AmEur)*IF(CallPut=1,UndTree!BK25-Strike,Strike-UndTree!BK25),(UpProb*BL25+DownProb*BL26)*StepDiscount)))</f>
        <v>55.476201054387772</v>
      </c>
      <c r="BL25" s="17">
        <f>IF(BL$3="","",IF(BL$3=Steps,MAX(IF(CallPut=1,UndTree!BL25-Strike,Strike-UndTree!BL25),0),MAX((2-AmEur)*IF(CallPut=1,UndTree!BL25-Strike,Strike-UndTree!BL25),(UpProb*BM25+DownProb*BM26)*StepDiscount)))</f>
        <v>60.024520620040164</v>
      </c>
      <c r="BM25" s="17">
        <f>IF(BM$3="","",IF(BM$3=Steps,MAX(IF(CallPut=1,UndTree!BM25-Strike,Strike-UndTree!BM25),0),MAX((2-AmEur)*IF(CallPut=1,UndTree!BM25-Strike,Strike-UndTree!BM25),(UpProb*BN25+DownProb*BN26)*StepDiscount)))</f>
        <v>64.727250554982049</v>
      </c>
      <c r="BN25" s="17">
        <f>IF(BN$3="","",IF(BN$3=Steps,MAX(IF(CallPut=1,UndTree!BN25-Strike,Strike-UndTree!BN25),0),MAX((2-AmEur)*IF(CallPut=1,UndTree!BN25-Strike,Strike-UndTree!BN25),(UpProb*BO25+DownProb*BO26)*StepDiscount)))</f>
        <v>69.583879816596863</v>
      </c>
      <c r="BO25" s="17">
        <f>IF(BO$3="","",IF(BO$3=Steps,MAX(IF(CallPut=1,UndTree!BO25-Strike,Strike-UndTree!BO25),0),MAX((2-AmEur)*IF(CallPut=1,UndTree!BO25-Strike,Strike-UndTree!BO25),(UpProb*BP25+DownProb*BP26)*StepDiscount)))</f>
        <v>74.595327208533007</v>
      </c>
      <c r="BP25" s="17">
        <f>IF(BP$3="","",IF(BP$3=Steps,MAX(IF(CallPut=1,UndTree!BP25-Strike,Strike-UndTree!BP25),0),MAX((2-AmEur)*IF(CallPut=1,UndTree!BP25-Strike,Strike-UndTree!BP25),(UpProb*BQ25+DownProb*BQ26)*StepDiscount)))</f>
        <v>79.763724516294559</v>
      </c>
      <c r="BQ25" s="17">
        <f>IF(BQ$3="","",IF(BQ$3=Steps,MAX(IF(CallPut=1,UndTree!BQ25-Strike,Strike-UndTree!BQ25),0),MAX((2-AmEur)*IF(CallPut=1,UndTree!BQ25-Strike,Strike-UndTree!BQ25),(UpProb*BR25+DownProb*BR26)*StepDiscount)))</f>
        <v>85.092178085203841</v>
      </c>
      <c r="BR25" s="17">
        <f>IF(BR$3="","",IF(BR$3=Steps,MAX(IF(CallPut=1,UndTree!BR25-Strike,Strike-UndTree!BR25),0),MAX((2-AmEur)*IF(CallPut=1,UndTree!BR25-Strike,Strike-UndTree!BR25),(UpProb*BS25+DownProb*BS26)*StepDiscount)))</f>
        <v>90.58454112764683</v>
      </c>
      <c r="BS25" s="17">
        <f>IF(BS$3="","",IF(BS$3=Steps,MAX(IF(CallPut=1,UndTree!BS25-Strike,Strike-UndTree!BS25),0),MAX((2-AmEur)*IF(CallPut=1,UndTree!BS25-Strike,Strike-UndTree!BS25),(UpProb*BT25+DownProb*BT26)*StepDiscount)))</f>
        <v>96.245219252161959</v>
      </c>
      <c r="BT25" s="17">
        <f>IF(BT$3="","",IF(BT$3=Steps,MAX(IF(CallPut=1,UndTree!BT25-Strike,Strike-UndTree!BT25),0),MAX((2-AmEur)*IF(CallPut=1,UndTree!BT25-Strike,Strike-UndTree!BT25),(UpProb*BU25+DownProb*BU26)*StepDiscount)))</f>
        <v>102.07902045037783</v>
      </c>
      <c r="BU25" s="17">
        <f>IF(BU$3="","",IF(BU$3=Steps,MAX(IF(CallPut=1,UndTree!BU25-Strike,Strike-UndTree!BU25),0),MAX((2-AmEur)*IF(CallPut=1,UndTree!BU25-Strike,Strike-UndTree!BU25),(UpProb*BV25+DownProb*BV26)*StepDiscount)))</f>
        <v>108.09105063796568</v>
      </c>
      <c r="BV25" s="17">
        <f>IF(BV$3="","",IF(BV$3=Steps,MAX(IF(CallPut=1,UndTree!BV25-Strike,Strike-UndTree!BV25),0),MAX((2-AmEur)*IF(CallPut=1,UndTree!BV25-Strike,Strike-UndTree!BV25),(UpProb*BW25+DownProb*BW26)*StepDiscount)))</f>
        <v>114.28664864321111</v>
      </c>
      <c r="BW25" s="17">
        <f>IF(BW$3="","",IF(BW$3=Steps,MAX(IF(CallPut=1,UndTree!BW25-Strike,Strike-UndTree!BW25),0),MAX((2-AmEur)*IF(CallPut=1,UndTree!BW25-Strike,Strike-UndTree!BW25),(UpProb*BX25+DownProb*BX26)*StepDiscount)))</f>
        <v>120.67135096339983</v>
      </c>
      <c r="BX25" s="17">
        <f>IF(BX$3="","",IF(BX$3=Steps,MAX(IF(CallPut=1,UndTree!BX25-Strike,Strike-UndTree!BX25),0),MAX((2-AmEur)*IF(CallPut=1,UndTree!BX25-Strike,Strike-UndTree!BX25),(UpProb*BY25+DownProb*BY26)*StepDiscount)))</f>
        <v>127.2508762629334</v>
      </c>
      <c r="BY25" s="17">
        <f>IF(BY$3="","",IF(BY$3=Steps,MAX(IF(CallPut=1,UndTree!BY25-Strike,Strike-UndTree!BY25),0),MAX((2-AmEur)*IF(CallPut=1,UndTree!BY25-Strike,Strike-UndTree!BY25),(UpProb*BZ25+DownProb*BZ26)*StepDiscount)))</f>
        <v>134.03112135352629</v>
      </c>
      <c r="BZ25" s="17">
        <f>IF(BZ$3="","",IF(BZ$3=Steps,MAX(IF(CallPut=1,UndTree!BZ25-Strike,Strike-UndTree!BZ25),0),MAX((2-AmEur)*IF(CallPut=1,UndTree!BZ25-Strike,Strike-UndTree!BZ25),(UpProb*CA25+DownProb*CA26)*StepDiscount)))</f>
        <v>141.01816298532427</v>
      </c>
      <c r="CA25" s="17">
        <f>IF(CA$3="","",IF(CA$3=Steps,MAX(IF(CallPut=1,UndTree!CA25-Strike,Strike-UndTree!CA25),0),MAX((2-AmEur)*IF(CallPut=1,UndTree!CA25-Strike,Strike-UndTree!CA25),(UpProb*CB25+DownProb*CB26)*StepDiscount)))</f>
        <v>148.21826217974308</v>
      </c>
      <c r="CB25" s="17">
        <f>IF(CB$3="","",IF(CB$3=Steps,MAX(IF(CallPut=1,UndTree!CB25-Strike,Strike-UndTree!CB25),0),MAX((2-AmEur)*IF(CallPut=1,UndTree!CB25-Strike,Strike-UndTree!CB25),(UpProb*CC25+DownProb*CC26)*StepDiscount)))</f>
        <v>155.63786954262858</v>
      </c>
      <c r="CC25" s="17">
        <f>IF(CC$3="","",IF(CC$3=Steps,MAX(IF(CallPut=1,UndTree!CC25-Strike,Strike-UndTree!CC25),0),MAX((2-AmEur)*IF(CallPut=1,UndTree!CC25-Strike,Strike-UndTree!CC25),(UpProb*CD25+DownProb*CD26)*StepDiscount)))</f>
        <v>163.28363096023318</v>
      </c>
      <c r="CD25" s="17">
        <f>IF(CD$3="","",IF(CD$3=Steps,MAX(IF(CallPut=1,UndTree!CD25-Strike,Strike-UndTree!CD25),0),MAX((2-AmEur)*IF(CallPut=1,UndTree!CD25-Strike,Strike-UndTree!CD25),(UpProb*CE25+DownProb*CE26)*StepDiscount)))</f>
        <v>171.16239350722805</v>
      </c>
      <c r="CE25" s="17">
        <f>IF(CE$3="","",IF(CE$3=Steps,MAX(IF(CallPut=1,UndTree!CE25-Strike,Strike-UndTree!CE25),0),MAX((2-AmEur)*IF(CallPut=1,UndTree!CE25-Strike,Strike-UndTree!CE25),(UpProb*CF25+DownProb*CF26)*StepDiscount)))</f>
        <v>179.28121153719172</v>
      </c>
      <c r="CF25" s="17">
        <f>IF(CF$3="","",IF(CF$3=Steps,MAX(IF(CallPut=1,UndTree!CF25-Strike,Strike-UndTree!CF25),0),MAX((2-AmEur)*IF(CallPut=1,UndTree!CF25-Strike,Strike-UndTree!CF25),(UpProb*CG25+DownProb*CG26)*StepDiscount)))</f>
        <v>187.647352957474</v>
      </c>
      <c r="CG25" s="17">
        <f>IF(CG$3="","",IF(CG$3=Steps,MAX(IF(CallPut=1,UndTree!CG25-Strike,Strike-UndTree!CG25),0),MAX((2-AmEur)*IF(CallPut=1,UndTree!CG25-Strike,Strike-UndTree!CG25),(UpProb*CH25+DownProb*CH26)*StepDiscount)))</f>
        <v>196.26830569401608</v>
      </c>
      <c r="CH25" s="17">
        <f>IF(CH$3="","",IF(CH$3=Steps,MAX(IF(CallPut=1,UndTree!CH25-Strike,Strike-UndTree!CH25),0),MAX((2-AmEur)*IF(CallPut=1,UndTree!CH25-Strike,Strike-UndTree!CH25),(UpProb*CI25+DownProb*CI26)*StepDiscount)))</f>
        <v>205.15178435187801</v>
      </c>
      <c r="CI25" s="17">
        <f>IF(CI$3="","",IF(CI$3=Steps,MAX(IF(CallPut=1,UndTree!CI25-Strike,Strike-UndTree!CI25),0),MAX((2-AmEur)*IF(CallPut=1,UndTree!CI25-Strike,Strike-UndTree!CI25),(UpProb*CJ25+DownProb*CJ26)*StepDiscount)))</f>
        <v>214.30573707739686</v>
      </c>
      <c r="CJ25" s="17">
        <f>IF(CJ$3="","",IF(CJ$3=Steps,MAX(IF(CallPut=1,UndTree!CJ25-Strike,Strike-UndTree!CJ25),0),MAX((2-AmEur)*IF(CallPut=1,UndTree!CJ25-Strike,Strike-UndTree!CJ25),(UpProb*CK25+DownProb*CK26)*StepDiscount)))</f>
        <v>223.73835262807961</v>
      </c>
      <c r="CK25" s="17">
        <f>IF(CK$3="","",IF(CK$3=Steps,MAX(IF(CallPut=1,UndTree!CK25-Strike,Strike-UndTree!CK25),0),MAX((2-AmEur)*IF(CallPut=1,UndTree!CK25-Strike,Strike-UndTree!CK25),(UpProb*CL25+DownProb*CL26)*StepDiscount)))</f>
        <v>233.45806765651886</v>
      </c>
      <c r="CL25" s="17">
        <f>IF(CL$3="","",IF(CL$3=Steps,MAX(IF(CallPut=1,UndTree!CL25-Strike,Strike-UndTree!CL25),0),MAX((2-AmEur)*IF(CallPut=1,UndTree!CL25-Strike,Strike-UndTree!CL25),(UpProb*CM25+DownProb*CM26)*StepDiscount)))</f>
        <v>243.47357421481013</v>
      </c>
      <c r="CM25" s="17">
        <f>IF(CM$3="","",IF(CM$3=Steps,MAX(IF(CallPut=1,UndTree!CM25-Strike,Strike-UndTree!CM25),0),MAX((2-AmEur)*IF(CallPut=1,UndTree!CM25-Strike,Strike-UndTree!CM25),(UpProb*CN25+DownProb*CN26)*StepDiscount)))</f>
        <v>253.79382748614623</v>
      </c>
      <c r="CN25" s="17">
        <f>IF(CN$3="","",IF(CN$3=Steps,MAX(IF(CallPut=1,UndTree!CN25-Strike,Strike-UndTree!CN25),0),MAX((2-AmEur)*IF(CallPut=1,UndTree!CN25-Strike,Strike-UndTree!CN25),(UpProb*CO25+DownProb*CO26)*StepDiscount)))</f>
        <v>264.4280537504668</v>
      </c>
      <c r="CO25" s="17">
        <f>IF(CO$3="","",IF(CO$3=Steps,MAX(IF(CallPut=1,UndTree!CO25-Strike,Strike-UndTree!CO25),0),MAX((2-AmEur)*IF(CallPut=1,UndTree!CO25-Strike,Strike-UndTree!CO25),(UpProb*CP25+DownProb*CP26)*StepDiscount)))</f>
        <v>275.3857585912499</v>
      </c>
      <c r="CP25" s="17">
        <f>IF(CP$3="","",IF(CP$3=Steps,MAX(IF(CallPut=1,UndTree!CP25-Strike,Strike-UndTree!CP25),0),MAX((2-AmEur)*IF(CallPut=1,UndTree!CP25-Strike,Strike-UndTree!CP25),(UpProb*CQ25+DownProb*CQ26)*StepDiscount)))</f>
        <v>286.67673535074636</v>
      </c>
      <c r="CQ25" s="17">
        <f>IF(CQ$3="","",IF(CQ$3=Steps,MAX(IF(CallPut=1,UndTree!CQ25-Strike,Strike-UndTree!CQ25),0),MAX((2-AmEur)*IF(CallPut=1,UndTree!CQ25-Strike,Strike-UndTree!CQ25),(UpProb*CR25+DownProb*CR26)*StepDiscount)))</f>
        <v>298.31107384117894</v>
      </c>
      <c r="CR25" s="17">
        <f>IF(CR$3="","",IF(CR$3=Steps,MAX(IF(CallPut=1,UndTree!CR25-Strike,Strike-UndTree!CR25),0),MAX((2-AmEur)*IF(CallPut=1,UndTree!CR25-Strike,Strike-UndTree!CR25),(UpProb*CS25+DownProb*CS26)*StepDiscount)))</f>
        <v>310.29916931965619</v>
      </c>
      <c r="CS25" s="17">
        <f>IF(CS$3="","",IF(CS$3=Steps,MAX(IF(CallPut=1,UndTree!CS25-Strike,Strike-UndTree!CS25),0),MAX((2-AmEur)*IF(CallPut=1,UndTree!CS25-Strike,Strike-UndTree!CS25),(UpProb*CT25+DownProb*CT26)*StepDiscount)))</f>
        <v>322.65173173478132</v>
      </c>
      <c r="CT25" s="17">
        <f>IF(CT$3="","",IF(CT$3=Steps,MAX(IF(CallPut=1,UndTree!CT25-Strike,Strike-UndTree!CT25),0),MAX((2-AmEur)*IF(CallPut=1,UndTree!CT25-Strike,Strike-UndTree!CT25),(UpProb*CU25+DownProb*CU26)*StepDiscount)))</f>
        <v>335.37979525317797</v>
      </c>
      <c r="CU25" s="17">
        <f>IF(CU$3="","",IF(CU$3=Steps,MAX(IF(CallPut=1,UndTree!CU25-Strike,Strike-UndTree!CU25),0),MAX((2-AmEur)*IF(CallPut=1,UndTree!CU25-Strike,Strike-UndTree!CU25),(UpProb*CV25+DownProb*CV26)*StepDiscount)))</f>
        <v>348.49472807439707</v>
      </c>
      <c r="CV25" s="17">
        <f>IF(CV$3="","",IF(CV$3=Steps,MAX(IF(CallPut=1,UndTree!CV25-Strike,Strike-UndTree!CV25),0),MAX((2-AmEur)*IF(CallPut=1,UndTree!CV25-Strike,Strike-UndTree!CV25),(UpProb*CW25+DownProb*CW26)*StepDiscount)))</f>
        <v>362.00824254292525</v>
      </c>
      <c r="CW25" s="17">
        <f>IF(CW$3="","",IF(CW$3=Steps,MAX(IF(CallPut=1,UndTree!CW25-Strike,Strike-UndTree!CW25),0),MAX((2-AmEur)*IF(CallPut=1,UndTree!CW25-Strike,Strike-UndTree!CW25),(UpProb*CX25+DownProb*CX26)*StepDiscount)))</f>
        <v>375.93240556628979</v>
      </c>
      <c r="CX25" s="17">
        <f>IF(CX$3="","",IF(CX$3=Steps,MAX(IF(CallPut=1,UndTree!CX25-Strike,Strike-UndTree!CX25),0),MAX((2-AmEur)*IF(CallPut=1,UndTree!CX25-Strike,Strike-UndTree!CX25),(UpProb*CY25+DownProb*CY26)*StepDiscount)))</f>
        <v>390.27964934855356</v>
      </c>
      <c r="CY25" s="17">
        <f>IF(CY$3="","",IF(CY$3=Steps,MAX(IF(CallPut=1,UndTree!CY25-Strike,Strike-UndTree!CY25),0),MAX((2-AmEur)*IF(CallPut=1,UndTree!CY25-Strike,Strike-UndTree!CY25),(UpProb*CZ25+DownProb*CZ26)*StepDiscount)))</f>
        <v>405.0627824487936</v>
      </c>
      <c r="CZ25" s="17">
        <f>IF(CZ$3="","",IF(CZ$3=Steps,MAX(IF(CallPut=1,UndTree!CZ25-Strike,Strike-UndTree!CZ25),0),MAX((2-AmEur)*IF(CallPut=1,UndTree!CZ25-Strike,Strike-UndTree!CZ25),(UpProb*DA25+DownProb*DA26)*StepDiscount)))</f>
        <v>420.29500117437476</v>
      </c>
      <c r="DA25" s="17">
        <f>IF(DA$3="","",IF(DA$3=Steps,MAX(IF(CallPut=1,UndTree!DA25-Strike,Strike-UndTree!DA25),0),MAX((2-AmEur)*IF(CallPut=1,UndTree!DA25-Strike,Strike-UndTree!DA25),(UpProb*DB25+DownProb*DB26)*StepDiscount)))</f>
        <v>435.98990131896772</v>
      </c>
      <c r="DB25" s="17">
        <f>IF(DB$3="","",IF(DB$3=Steps,MAX(IF(CallPut=1,UndTree!DB25-Strike,Strike-UndTree!DB25),0),MAX((2-AmEur)*IF(CallPut=1,UndTree!DB25-Strike,Strike-UndTree!DB25),(UpProb*DC25+DownProb*DC26)*StepDiscount)))</f>
        <v>452.16149025610002</v>
      </c>
    </row>
    <row r="26" spans="1:106" x14ac:dyDescent="0.2">
      <c r="A26">
        <f>ExDivTree!A26</f>
        <v>9.3739082962397928E+21</v>
      </c>
      <c r="B26" s="71">
        <f>ExDivTree!B26</f>
        <v>3.6973548920152377E-9</v>
      </c>
      <c r="C26" s="71">
        <f>ExDivTree!C26</f>
        <v>4.2988198309386987E-9</v>
      </c>
      <c r="D26" s="177">
        <f>ExDivTree!D26</f>
        <v>22</v>
      </c>
      <c r="AA26" s="17">
        <f>IF(AA$3="","",IF(AA$3=Steps,MAX(IF(CallPut=1,UndTree!AA26-Strike,Strike-UndTree!AA26),0),MAX((2-AmEur)*IF(CallPut=1,UndTree!AA26-Strike,Strike-UndTree!AA26),(UpProb*AB26+DownProb*AB27)*StepDiscount)))</f>
        <v>3.3165155603043096E-2</v>
      </c>
      <c r="AB26" s="17">
        <f>IF(AB$3="","",IF(AB$3=Steps,MAX(IF(CallPut=1,UndTree!AB26-Strike,Strike-UndTree!AB26),0),MAX((2-AmEur)*IF(CallPut=1,UndTree!AB26-Strike,Strike-UndTree!AB26),(UpProb*AC26+DownProb*AC27)*StepDiscount)))</f>
        <v>4.5153182238424544E-2</v>
      </c>
      <c r="AC26" s="17">
        <f>IF(AC$3="","",IF(AC$3=Steps,MAX(IF(CallPut=1,UndTree!AC26-Strike,Strike-UndTree!AC26),0),MAX((2-AmEur)*IF(CallPut=1,UndTree!AC26-Strike,Strike-UndTree!AC26),(UpProb*AD26+DownProb*AD27)*StepDiscount)))</f>
        <v>6.1163961552547531E-2</v>
      </c>
      <c r="AD26" s="17">
        <f>IF(AD$3="","",IF(AD$3=Steps,MAX(IF(CallPut=1,UndTree!AD26-Strike,Strike-UndTree!AD26),0),MAX((2-AmEur)*IF(CallPut=1,UndTree!AD26-Strike,Strike-UndTree!AD26),(UpProb*AE26+DownProb*AE27)*StepDiscount)))</f>
        <v>8.2424281813317735E-2</v>
      </c>
      <c r="AE26" s="17">
        <f>IF(AE$3="","",IF(AE$3=Steps,MAX(IF(CallPut=1,UndTree!AE26-Strike,Strike-UndTree!AE26),0),MAX((2-AmEur)*IF(CallPut=1,UndTree!AE26-Strike,Strike-UndTree!AE26),(UpProb*AF26+DownProb*AF27)*StepDiscount)))</f>
        <v>0.11048865362189078</v>
      </c>
      <c r="AF26" s="17">
        <f>IF(AF$3="","",IF(AF$3=Steps,MAX(IF(CallPut=1,UndTree!AF26-Strike,Strike-UndTree!AF26),0),MAX((2-AmEur)*IF(CallPut=1,UndTree!AF26-Strike,Strike-UndTree!AF26),(UpProb*AG26+DownProb*AG27)*StepDiscount)))</f>
        <v>0.14731028415116282</v>
      </c>
      <c r="AG26" s="17">
        <f>IF(AG$3="","",IF(AG$3=Steps,MAX(IF(CallPut=1,UndTree!AG26-Strike,Strike-UndTree!AG26),0),MAX((2-AmEur)*IF(CallPut=1,UndTree!AG26-Strike,Strike-UndTree!AG26),(UpProb*AH26+DownProb*AH27)*StepDiscount)))</f>
        <v>0.19532178158692348</v>
      </c>
      <c r="AH26" s="17">
        <f>IF(AH$3="","",IF(AH$3=Steps,MAX(IF(CallPut=1,UndTree!AH26-Strike,Strike-UndTree!AH26),0),MAX((2-AmEur)*IF(CallPut=1,UndTree!AH26-Strike,Strike-UndTree!AH26),(UpProb*AI26+DownProb*AI27)*StepDiscount)))</f>
        <v>0.25752500626761482</v>
      </c>
      <c r="AI26" s="17">
        <f>IF(AI$3="","",IF(AI$3=Steps,MAX(IF(CallPut=1,UndTree!AI26-Strike,Strike-UndTree!AI26),0),MAX((2-AmEur)*IF(CallPut=1,UndTree!AI26-Strike,Strike-UndTree!AI26),(UpProb*AJ26+DownProb*AJ27)*StepDiscount)))</f>
        <v>0.33758866619278888</v>
      </c>
      <c r="AJ26" s="17">
        <f>IF(AJ$3="","",IF(AJ$3=Steps,MAX(IF(CallPut=1,UndTree!AJ26-Strike,Strike-UndTree!AJ26),0),MAX((2-AmEur)*IF(CallPut=1,UndTree!AJ26-Strike,Strike-UndTree!AJ26),(UpProb*AK26+DownProb*AK27)*StepDiscount)))</f>
        <v>0.43995122189679764</v>
      </c>
      <c r="AK26" s="17">
        <f>IF(AK$3="","",IF(AK$3=Steps,MAX(IF(CallPut=1,UndTree!AK26-Strike,Strike-UndTree!AK26),0),MAX((2-AmEur)*IF(CallPut=1,UndTree!AK26-Strike,Strike-UndTree!AK26),(UpProb*AL26+DownProb*AL27)*StepDiscount)))</f>
        <v>0.56992542878411201</v>
      </c>
      <c r="AL26" s="17">
        <f>IF(AL$3="","",IF(AL$3=Steps,MAX(IF(CallPut=1,UndTree!AL26-Strike,Strike-UndTree!AL26),0),MAX((2-AmEur)*IF(CallPut=1,UndTree!AL26-Strike,Strike-UndTree!AL26),(UpProb*AM26+DownProb*AM27)*StepDiscount)))</f>
        <v>0.7337994407877424</v>
      </c>
      <c r="AM26" s="17">
        <f>IF(AM$3="","",IF(AM$3=Steps,MAX(IF(CallPut=1,UndTree!AM26-Strike,Strike-UndTree!AM26),0),MAX((2-AmEur)*IF(CallPut=1,UndTree!AM26-Strike,Strike-UndTree!AM26),(UpProb*AN26+DownProb*AN27)*StepDiscount)))</f>
        <v>0.93892789974746382</v>
      </c>
      <c r="AN26" s="17">
        <f>IF(AN$3="","",IF(AN$3=Steps,MAX(IF(CallPut=1,UndTree!AN26-Strike,Strike-UndTree!AN26),0),MAX((2-AmEur)*IF(CallPut=1,UndTree!AN26-Strike,Strike-UndTree!AN26),(UpProb*AO26+DownProb*AO27)*StepDiscount)))</f>
        <v>1.1938049542166773</v>
      </c>
      <c r="AO26" s="17">
        <f>IF(AO$3="","",IF(AO$3=Steps,MAX(IF(CallPut=1,UndTree!AO26-Strike,Strike-UndTree!AO26),0),MAX((2-AmEur)*IF(CallPut=1,UndTree!AO26-Strike,Strike-UndTree!AO26),(UpProb*AP26+DownProb*AP27)*StepDiscount)))</f>
        <v>1.5081098491092304</v>
      </c>
      <c r="AP26" s="17">
        <f>IF(AP$3="","",IF(AP$3=Steps,MAX(IF(CallPut=1,UndTree!AP26-Strike,Strike-UndTree!AP26),0),MAX((2-AmEur)*IF(CallPut=1,UndTree!AP26-Strike,Strike-UndTree!AP26),(UpProb*AQ26+DownProb*AQ27)*StepDiscount)))</f>
        <v>1.8927148075164433</v>
      </c>
      <c r="AQ26" s="17">
        <f>IF(AQ$3="","",IF(AQ$3=Steps,MAX(IF(CallPut=1,UndTree!AQ26-Strike,Strike-UndTree!AQ26),0),MAX((2-AmEur)*IF(CallPut=1,UndTree!AQ26-Strike,Strike-UndTree!AQ26),(UpProb*AR26+DownProb*AR27)*StepDiscount)))</f>
        <v>2.3596446274103364</v>
      </c>
      <c r="AR26" s="17">
        <f>IF(AR$3="","",IF(AR$3=Steps,MAX(IF(CallPut=1,UndTree!AR26-Strike,Strike-UndTree!AR26),0),MAX((2-AmEur)*IF(CallPut=1,UndTree!AR26-Strike,Strike-UndTree!AR26),(UpProb*AS26+DownProb*AS27)*StepDiscount)))</f>
        <v>2.9219779951835179</v>
      </c>
      <c r="AS26" s="17">
        <f>IF(AS$3="","",IF(AS$3=Steps,MAX(IF(CallPut=1,UndTree!AS26-Strike,Strike-UndTree!AS26),0),MAX((2-AmEur)*IF(CallPut=1,UndTree!AS26-Strike,Strike-UndTree!AS26),(UpProb*AT26+DownProb*AT27)*StepDiscount)))</f>
        <v>3.5936822193828308</v>
      </c>
      <c r="AT26" s="17">
        <f>IF(AT$3="","",IF(AT$3=Steps,MAX(IF(CallPut=1,UndTree!AT26-Strike,Strike-UndTree!AT26),0),MAX((2-AmEur)*IF(CallPut=1,UndTree!AT26-Strike,Strike-UndTree!AT26),(UpProb*AU26+DownProb*AU27)*StepDiscount)))</f>
        <v>4.3893761037533556</v>
      </c>
      <c r="AU26" s="17">
        <f>IF(AU$3="","",IF(AU$3=Steps,MAX(IF(CallPut=1,UndTree!AU26-Strike,Strike-UndTree!AU26),0),MAX((2-AmEur)*IF(CallPut=1,UndTree!AU26-Strike,Strike-UndTree!AU26),(UpProb*AV26+DownProb*AV27)*StepDiscount)))</f>
        <v>5.3240201000152139</v>
      </c>
      <c r="AV26" s="17">
        <f>IF(AV$3="","",IF(AV$3=Steps,MAX(IF(CallPut=1,UndTree!AV26-Strike,Strike-UndTree!AV26),0),MAX((2-AmEur)*IF(CallPut=1,UndTree!AV26-Strike,Strike-UndTree!AV26),(UpProb*AW26+DownProb*AW27)*StepDiscount)))</f>
        <v>6.4125386451708994</v>
      </c>
      <c r="AW26" s="17">
        <f>IF(AW$3="","",IF(AW$3=Steps,MAX(IF(CallPut=1,UndTree!AW26-Strike,Strike-UndTree!AW26),0),MAX((2-AmEur)*IF(CallPut=1,UndTree!AW26-Strike,Strike-UndTree!AW26),(UpProb*AX26+DownProb*AX27)*StepDiscount)))</f>
        <v>7.6693864309744129</v>
      </c>
      <c r="AX26" s="17">
        <f>IF(AX$3="","",IF(AX$3=Steps,MAX(IF(CallPut=1,UndTree!AX26-Strike,Strike-UndTree!AX26),0),MAX((2-AmEur)*IF(CallPut=1,UndTree!AX26-Strike,Strike-UndTree!AX26),(UpProb*AY26+DownProb*AY27)*StepDiscount)))</f>
        <v>9.1080777744814352</v>
      </c>
      <c r="AY26" s="17">
        <f>IF(AY$3="","",IF(AY$3=Steps,MAX(IF(CallPut=1,UndTree!AY26-Strike,Strike-UndTree!AY26),0),MAX((2-AmEur)*IF(CallPut=1,UndTree!AY26-Strike,Strike-UndTree!AY26),(UpProb*AZ26+DownProb*AZ27)*StepDiscount)))</f>
        <v>10.740705517763701</v>
      </c>
      <c r="AZ26" s="17">
        <f>IF(AZ$3="","",IF(AZ$3=Steps,MAX(IF(CallPut=1,UndTree!AZ26-Strike,Strike-UndTree!AZ26),0),MAX((2-AmEur)*IF(CallPut=1,UndTree!AZ26-Strike,Strike-UndTree!AZ26),(UpProb*BA26+DownProb*BA27)*StepDiscount)))</f>
        <v>12.577482036356578</v>
      </c>
      <c r="BA26" s="17">
        <f>IF(BA$3="","",IF(BA$3=Steps,MAX(IF(CallPut=1,UndTree!BA26-Strike,Strike-UndTree!BA26),0),MAX((2-AmEur)*IF(CallPut=1,UndTree!BA26-Strike,Strike-UndTree!BA26),(UpProb*BB26+DownProb*BB27)*StepDiscount)))</f>
        <v>14.626338915126425</v>
      </c>
      <c r="BB26" s="17">
        <f>IF(BB$3="","",IF(BB$3=Steps,MAX(IF(CallPut=1,UndTree!BB26-Strike,Strike-UndTree!BB26),0),MAX((2-AmEur)*IF(CallPut=1,UndTree!BB26-Strike,Strike-UndTree!BB26),(UpProb*BC26+DownProb*BC27)*StepDiscount)))</f>
        <v>16.89262261167713</v>
      </c>
      <c r="BC26" s="17">
        <f>IF(BC$3="","",IF(BC$3=Steps,MAX(IF(CallPut=1,UndTree!BC26-Strike,Strike-UndTree!BC26),0),MAX((2-AmEur)*IF(CallPut=1,UndTree!BC26-Strike,Strike-UndTree!BC26),(UpProb*BD26+DownProb*BD27)*StepDiscount)))</f>
        <v>19.378920127966765</v>
      </c>
      <c r="BD26" s="17">
        <f>IF(BD$3="","",IF(BD$3=Steps,MAX(IF(CallPut=1,UndTree!BD26-Strike,Strike-UndTree!BD26),0),MAX((2-AmEur)*IF(CallPut=1,UndTree!BD26-Strike,Strike-UndTree!BD26),(UpProb*BE26+DownProb*BE27)*StepDiscount)))</f>
        <v>22.085040914310273</v>
      </c>
      <c r="BE26" s="17">
        <f>IF(BE$3="","",IF(BE$3=Steps,MAX(IF(CallPut=1,UndTree!BE26-Strike,Strike-UndTree!BE26),0),MAX((2-AmEur)*IF(CallPut=1,UndTree!BE26-Strike,Strike-UndTree!BE26),(UpProb*BF26+DownProb*BF27)*StepDiscount)))</f>
        <v>25.008169098262051</v>
      </c>
      <c r="BF26" s="17">
        <f>IF(BF$3="","",IF(BF$3=Steps,MAX(IF(CallPut=1,UndTree!BF26-Strike,Strike-UndTree!BF26),0),MAX((2-AmEur)*IF(CallPut=1,UndTree!BF26-Strike,Strike-UndTree!BF26),(UpProb*BG26+DownProb*BG27)*StepDiscount)))</f>
        <v>28.143184554230317</v>
      </c>
      <c r="BG26" s="17">
        <f>IF(BG$3="","",IF(BG$3=Steps,MAX(IF(CallPut=1,UndTree!BG26-Strike,Strike-UndTree!BG26),0),MAX((2-AmEur)*IF(CallPut=1,UndTree!BG26-Strike,Strike-UndTree!BG26),(UpProb*BH26+DownProb*BH27)*StepDiscount)))</f>
        <v>31.483133946922763</v>
      </c>
      <c r="BH26" s="17">
        <f>IF(BH$3="","",IF(BH$3=Steps,MAX(IF(CallPut=1,UndTree!BH26-Strike,Strike-UndTree!BH26),0),MAX((2-AmEur)*IF(CallPut=1,UndTree!BH26-Strike,Strike-UndTree!BH26),(UpProb*BI26+DownProb*BI27)*StepDiscount)))</f>
        <v>35.019815950617861</v>
      </c>
      <c r="BI26" s="17">
        <f>IF(BI$3="","",IF(BI$3=Steps,MAX(IF(CallPut=1,UndTree!BI26-Strike,Strike-UndTree!BI26),0),MAX((2-AmEur)*IF(CallPut=1,UndTree!BI26-Strike,Strike-UndTree!BI26),(UpProb*BJ26+DownProb*BJ27)*StepDiscount)))</f>
        <v>38.744430948200375</v>
      </c>
      <c r="BJ26" s="17">
        <f>IF(BJ$3="","",IF(BJ$3=Steps,MAX(IF(CallPut=1,UndTree!BJ26-Strike,Strike-UndTree!BJ26),0),MAX((2-AmEur)*IF(CallPut=1,UndTree!BJ26-Strike,Strike-UndTree!BJ26),(UpProb*BK26+DownProb*BK27)*StepDiscount)))</f>
        <v>42.648237115445184</v>
      </c>
      <c r="BK26" s="17">
        <f>IF(BK$3="","",IF(BK$3=Steps,MAX(IF(CallPut=1,UndTree!BK26-Strike,Strike-UndTree!BK26),0),MAX((2-AmEur)*IF(CallPut=1,UndTree!BK26-Strike,Strike-UndTree!BK26),(UpProb*BL26+DownProb*BL27)*StepDiscount)))</f>
        <v>46.72315373473608</v>
      </c>
      <c r="BL26" s="17">
        <f>IF(BL$3="","",IF(BL$3=Steps,MAX(IF(CallPut=1,UndTree!BL26-Strike,Strike-UndTree!BL26),0),MAX((2-AmEur)*IF(CallPut=1,UndTree!BL26-Strike,Strike-UndTree!BL26),(UpProb*BM26+DownProb*BM27)*StepDiscount)))</f>
        <v>50.962259585784061</v>
      </c>
      <c r="BM26" s="17">
        <f>IF(BM$3="","",IF(BM$3=Steps,MAX(IF(CallPut=1,UndTree!BM26-Strike,Strike-UndTree!BM26),0),MAX((2-AmEur)*IF(CallPut=1,UndTree!BM26-Strike,Strike-UndTree!BM26),(UpProb*BN26+DownProb*BN27)*StepDiscount)))</f>
        <v>55.360148629428835</v>
      </c>
      <c r="BN26" s="17">
        <f>IF(BN$3="","",IF(BN$3=Steps,MAX(IF(CallPut=1,UndTree!BN26-Strike,Strike-UndTree!BN26),0),MAX((2-AmEur)*IF(CallPut=1,UndTree!BN26-Strike,Strike-UndTree!BN26),(UpProb*BO26+DownProb*BO27)*StepDiscount)))</f>
        <v>59.913124774342393</v>
      </c>
      <c r="BO26" s="17">
        <f>IF(BO$3="","",IF(BO$3=Steps,MAX(IF(CallPut=1,UndTree!BO26-Strike,Strike-UndTree!BO26),0),MAX((2-AmEur)*IF(CallPut=1,UndTree!BO26-Strike,Strike-UndTree!BO26),(UpProb*BP26+DownProb*BP27)*StepDiscount)))</f>
        <v>64.619238992564746</v>
      </c>
      <c r="BP26" s="17">
        <f>IF(BP$3="","",IF(BP$3=Steps,MAX(IF(CallPut=1,UndTree!BP26-Strike,Strike-UndTree!BP26),0),MAX((2-AmEur)*IF(CallPut=1,UndTree!BP26-Strike,Strike-UndTree!BP26),(UpProb*BQ26+DownProb*BQ27)*StepDiscount)))</f>
        <v>69.478191628592029</v>
      </c>
      <c r="BQ26" s="17">
        <f>IF(BQ$3="","",IF(BQ$3=Steps,MAX(IF(CallPut=1,UndTree!BQ26-Strike,Strike-UndTree!BQ26),0),MAX((2-AmEur)*IF(CallPut=1,UndTree!BQ26-Strike,Strike-UndTree!BQ26),(UpProb*BR26+DownProb*BR27)*StepDiscount)))</f>
        <v>74.491136978284601</v>
      </c>
      <c r="BR26" s="17">
        <f>IF(BR$3="","",IF(BR$3=Steps,MAX(IF(CallPut=1,UndTree!BR26-Strike,Strike-UndTree!BR26),0),MAX((2-AmEur)*IF(CallPut=1,UndTree!BR26-Strike,Strike-UndTree!BR26),(UpProb*BS26+DownProb*BS27)*StepDiscount)))</f>
        <v>79.660433828876336</v>
      </c>
      <c r="BS26" s="17">
        <f>IF(BS$3="","",IF(BS$3=Steps,MAX(IF(CallPut=1,UndTree!BS26-Strike,Strike-UndTree!BS26),0),MAX((2-AmEur)*IF(CallPut=1,UndTree!BS26-Strike,Strike-UndTree!BS26),(UpProb*BT26+DownProb*BT27)*StepDiscount)))</f>
        <v>84.989384127481983</v>
      </c>
      <c r="BT26" s="17">
        <f>IF(BT$3="","",IF(BT$3=Steps,MAX(IF(CallPut=1,UndTree!BT26-Strike,Strike-UndTree!BT26),0),MAX((2-AmEur)*IF(CallPut=1,UndTree!BT26-Strike,Strike-UndTree!BT26),(UpProb*BU26+DownProb*BU27)*StepDiscount)))</f>
        <v>90.481993610785963</v>
      </c>
      <c r="BU26" s="17">
        <f>IF(BU$3="","",IF(BU$3=Steps,MAX(IF(CallPut=1,UndTree!BU26-Strike,Strike-UndTree!BU26),0),MAX((2-AmEur)*IF(CallPut=1,UndTree!BU26-Strike,Strike-UndTree!BU26),(UpProb*BV26+DownProb*BV27)*StepDiscount)))</f>
        <v>96.142775837512175</v>
      </c>
      <c r="BV26" s="17">
        <f>IF(BV$3="","",IF(BV$3=Steps,MAX(IF(CallPut=1,UndTree!BV26-Strike,Strike-UndTree!BV26),0),MAX((2-AmEur)*IF(CallPut=1,UndTree!BV26-Strike,Strike-UndTree!BV26),(UpProb*BW26+DownProb*BW27)*StepDiscount)))</f>
        <v>101.97660796183929</v>
      </c>
      <c r="BW26" s="17">
        <f>IF(BW$3="","",IF(BW$3=Steps,MAX(IF(CallPut=1,UndTree!BW26-Strike,Strike-UndTree!BW26),0),MAX((2-AmEur)*IF(CallPut=1,UndTree!BW26-Strike,Strike-UndTree!BW26),(UpProb*BX26+DownProb*BX27)*StepDiscount)))</f>
        <v>107.98863572732466</v>
      </c>
      <c r="BX26" s="17">
        <f>IF(BX$3="","",IF(BX$3=Steps,MAX(IF(CallPut=1,UndTree!BX26-Strike,Strike-UndTree!BX26),0),MAX((2-AmEur)*IF(CallPut=1,UndTree!BX26-Strike,Strike-UndTree!BX26),(UpProb*BY26+DownProb*BY27)*StepDiscount)))</f>
        <v>114.18421833943395</v>
      </c>
      <c r="BY26" s="17">
        <f>IF(BY$3="","",IF(BY$3=Steps,MAX(IF(CallPut=1,UndTree!BY26-Strike,Strike-UndTree!BY26),0),MAX((2-AmEur)*IF(CallPut=1,UndTree!BY26-Strike,Strike-UndTree!BY26),(UpProb*BZ26+DownProb*BZ27)*StepDiscount)))</f>
        <v>120.56890140418609</v>
      </c>
      <c r="BZ26" s="17">
        <f>IF(BZ$3="","",IF(BZ$3=Steps,MAX(IF(CallPut=1,UndTree!BZ26-Strike,Strike-UndTree!BZ26),0),MAX((2-AmEur)*IF(CallPut=1,UndTree!BZ26-Strike,Strike-UndTree!BZ26),(UpProb*CA26+DownProb*CA27)*StepDiscount)))</f>
        <v>127.14840706230115</v>
      </c>
      <c r="CA26" s="17">
        <f>IF(CA$3="","",IF(CA$3=Steps,MAX(IF(CallPut=1,UndTree!CA26-Strike,Strike-UndTree!CA26),0),MAX((2-AmEur)*IF(CallPut=1,UndTree!CA26-Strike,Strike-UndTree!CA26),(UpProb*CB26+DownProb*CB27)*StepDiscount)))</f>
        <v>133.92863322697934</v>
      </c>
      <c r="CB26" s="17">
        <f>IF(CB$3="","",IF(CB$3=Steps,MAX(IF(CallPut=1,UndTree!CB26-Strike,Strike-UndTree!CB26),0),MAX((2-AmEur)*IF(CallPut=1,UndTree!CB26-Strike,Strike-UndTree!CB26),(UpProb*CC26+DownProb*CC27)*StepDiscount)))</f>
        <v>140.91565693578119</v>
      </c>
      <c r="CC26" s="17">
        <f>IF(CC$3="","",IF(CC$3=Steps,MAX(IF(CallPut=1,UndTree!CC26-Strike,Strike-UndTree!CC26),0),MAX((2-AmEur)*IF(CallPut=1,UndTree!CC26-Strike,Strike-UndTree!CC26),(UpProb*CD26+DownProb*CD27)*StepDiscount)))</f>
        <v>148.11573928454419</v>
      </c>
      <c r="CD26" s="17">
        <f>IF(CD$3="","",IF(CD$3=Steps,MAX(IF(CallPut=1,UndTree!CD26-Strike,Strike-UndTree!CD26),0),MAX((2-AmEur)*IF(CallPut=1,UndTree!CD26-Strike,Strike-UndTree!CD26),(UpProb*CE26+DownProb*CE27)*StepDiscount)))</f>
        <v>155.53533091620847</v>
      </c>
      <c r="CE26" s="17">
        <f>IF(CE$3="","",IF(CE$3=Steps,MAX(IF(CallPut=1,UndTree!CE26-Strike,Strike-UndTree!CE26),0),MAX((2-AmEur)*IF(CallPut=1,UndTree!CE26-Strike,Strike-UndTree!CE26),(UpProb*CF26+DownProb*CF27)*StepDiscount)))</f>
        <v>163.18107775161823</v>
      </c>
      <c r="CF26" s="17">
        <f>IF(CF$3="","",IF(CF$3=Steps,MAX(IF(CallPut=1,UndTree!CF26-Strike,Strike-UndTree!CF26),0),MAX((2-AmEur)*IF(CallPut=1,UndTree!CF26-Strike,Strike-UndTree!CF26),(UpProb*CG26+DownProb*CG27)*StepDiscount)))</f>
        <v>171.0598269010838</v>
      </c>
      <c r="CG26" s="17">
        <f>IF(CG$3="","",IF(CG$3=Steps,MAX(IF(CallPut=1,UndTree!CG26-Strike,Strike-UndTree!CG26),0),MAX((2-AmEur)*IF(CallPut=1,UndTree!CG26-Strike,Strike-UndTree!CG26),(UpProb*CH26+DownProb*CH27)*StepDiscount)))</f>
        <v>179.17863275490174</v>
      </c>
      <c r="CH26" s="17">
        <f>IF(CH$3="","",IF(CH$3=Steps,MAX(IF(CallPut=1,UndTree!CH26-Strike,Strike-UndTree!CH26),0),MAX((2-AmEur)*IF(CallPut=1,UndTree!CH26-Strike,Strike-UndTree!CH26),(UpProb*CI26+DownProb*CI27)*StepDiscount)))</f>
        <v>187.54476325825158</v>
      </c>
      <c r="CI26" s="17">
        <f>IF(CI$3="","",IF(CI$3=Steps,MAX(IF(CallPut=1,UndTree!CI26-Strike,Strike-UndTree!CI26),0),MAX((2-AmEur)*IF(CallPut=1,UndTree!CI26-Strike,Strike-UndTree!CI26),(UpProb*CJ26+DownProb*CJ27)*StepDiscount)))</f>
        <v>196.1657063760502</v>
      </c>
      <c r="CJ26" s="17">
        <f>IF(CJ$3="","",IF(CJ$3=Steps,MAX(IF(CallPut=1,UndTree!CJ26-Strike,Strike-UndTree!CJ26),0),MAX((2-AmEur)*IF(CallPut=1,UndTree!CJ26-Strike,Strike-UndTree!CJ26),(UpProb*CK26+DownProb*CK27)*StepDiscount)))</f>
        <v>205.04917675351399</v>
      </c>
      <c r="CK26" s="17">
        <f>IF(CK$3="","",IF(CK$3=Steps,MAX(IF(CallPut=1,UndTree!CK26-Strike,Strike-UndTree!CK26),0),MAX((2-AmEur)*IF(CallPut=1,UndTree!CK26-Strike,Strike-UndTree!CK26),(UpProb*CL26+DownProb*CL27)*StepDiscount)))</f>
        <v>214.20312257835354</v>
      </c>
      <c r="CL26" s="17">
        <f>IF(CL$3="","",IF(CL$3=Steps,MAX(IF(CallPut=1,UndTree!CL26-Strike,Strike-UndTree!CL26),0),MAX((2-AmEur)*IF(CallPut=1,UndTree!CL26-Strike,Strike-UndTree!CL26),(UpProb*CM26+DownProb*CM27)*StepDiscount)))</f>
        <v>223.63573265070355</v>
      </c>
      <c r="CM26" s="17">
        <f>IF(CM$3="","",IF(CM$3=Steps,MAX(IF(CallPut=1,UndTree!CM26-Strike,Strike-UndTree!CM26),0),MAX((2-AmEur)*IF(CallPut=1,UndTree!CM26-Strike,Strike-UndTree!CM26),(UpProb*CN26+DownProb*CN27)*StepDiscount)))</f>
        <v>233.35544366707586</v>
      </c>
      <c r="CN26" s="17">
        <f>IF(CN$3="","",IF(CN$3=Steps,MAX(IF(CallPut=1,UndTree!CN26-Strike,Strike-UndTree!CN26),0),MAX((2-AmEur)*IF(CallPut=1,UndTree!CN26-Strike,Strike-UndTree!CN26),(UpProb*CO26+DownProb*CO27)*StepDiscount)))</f>
        <v>243.3709477248153</v>
      </c>
      <c r="CO26" s="17">
        <f>IF(CO$3="","",IF(CO$3=Steps,MAX(IF(CallPut=1,UndTree!CO26-Strike,Strike-UndTree!CO26),0),MAX((2-AmEur)*IF(CallPut=1,UndTree!CO26-Strike,Strike-UndTree!CO26),(UpProb*CP26+DownProb*CP27)*StepDiscount)))</f>
        <v>253.69120005373304</v>
      </c>
      <c r="CP26" s="17">
        <f>IF(CP$3="","",IF(CP$3=Steps,MAX(IF(CallPut=1,UndTree!CP26-Strike,Strike-UndTree!CP26),0),MAX((2-AmEur)*IF(CallPut=1,UndTree!CP26-Strike,Strike-UndTree!CP26),(UpProb*CQ26+DownProb*CQ27)*StepDiscount)))</f>
        <v>264.32542698179651</v>
      </c>
      <c r="CQ26" s="17">
        <f>IF(CQ$3="","",IF(CQ$3=Steps,MAX(IF(CallPut=1,UndTree!CQ26-Strike,Strike-UndTree!CQ26),0),MAX((2-AmEur)*IF(CallPut=1,UndTree!CQ26-Strike,Strike-UndTree!CQ26),(UpProb*CR26+DownProb*CR27)*StepDiscount)))</f>
        <v>275.28313414196231</v>
      </c>
      <c r="CR26" s="17">
        <f>IF(CR$3="","",IF(CR$3=Steps,MAX(IF(CallPut=1,UndTree!CR26-Strike,Strike-UndTree!CR26),0),MAX((2-AmEur)*IF(CallPut=1,UndTree!CR26-Strike,Strike-UndTree!CR26),(UpProb*CS26+DownProb*CS27)*StepDiscount)))</f>
        <v>286.57411492745433</v>
      </c>
      <c r="CS26" s="17">
        <f>IF(CS$3="","",IF(CS$3=Steps,MAX(IF(CallPut=1,UndTree!CS26-Strike,Strike-UndTree!CS26),0),MAX((2-AmEur)*IF(CallPut=1,UndTree!CS26-Strike,Strike-UndTree!CS26),(UpProb*CT26+DownProb*CT27)*StepDiscount)))</f>
        <v>298.20845920300985</v>
      </c>
      <c r="CT26" s="17">
        <f>IF(CT$3="","",IF(CT$3=Steps,MAX(IF(CallPut=1,UndTree!CT26-Strike,Strike-UndTree!CT26),0),MAX((2-AmEur)*IF(CallPut=1,UndTree!CT26-Strike,Strike-UndTree!CT26),(UpProb*CU26+DownProb*CU27)*StepDiscount)))</f>
        <v>310.19656227984416</v>
      </c>
      <c r="CU26" s="17">
        <f>IF(CU$3="","",IF(CU$3=Steps,MAX(IF(CallPut=1,UndTree!CU26-Strike,Strike-UndTree!CU26),0),MAX((2-AmEur)*IF(CallPut=1,UndTree!CU26-Strike,Strike-UndTree!CU26),(UpProb*CV26+DownProb*CV27)*StepDiscount)))</f>
        <v>322.54913416231682</v>
      </c>
      <c r="CV26" s="17">
        <f>IF(CV$3="","",IF(CV$3=Steps,MAX(IF(CallPut=1,UndTree!CV26-Strike,Strike-UndTree!CV26),0),MAX((2-AmEur)*IF(CallPut=1,UndTree!CV26-Strike,Strike-UndTree!CV26),(UpProb*CW26+DownProb*CW27)*StepDiscount)))</f>
        <v>335.27720907451686</v>
      </c>
      <c r="CW26" s="17">
        <f>IF(CW$3="","",IF(CW$3=Steps,MAX(IF(CallPut=1,UndTree!CW26-Strike,Strike-UndTree!CW26),0),MAX((2-AmEur)*IF(CallPut=1,UndTree!CW26-Strike,Strike-UndTree!CW26),(UpProb*CX26+DownProb*CX27)*StepDiscount)))</f>
        <v>348.39215527522106</v>
      </c>
      <c r="CX26" s="17">
        <f>IF(CX$3="","",IF(CX$3=Steps,MAX(IF(CallPut=1,UndTree!CX26-Strike,Strike-UndTree!CX26),0),MAX((2-AmEur)*IF(CallPut=1,UndTree!CX26-Strike,Strike-UndTree!CX26),(UpProb*CY26+DownProb*CY27)*StepDiscount)))</f>
        <v>361.90568516992812</v>
      </c>
      <c r="CY26" s="17">
        <f>IF(CY$3="","",IF(CY$3=Steps,MAX(IF(CallPut=1,UndTree!CY26-Strike,Strike-UndTree!CY26),0),MAX((2-AmEur)*IF(CallPut=1,UndTree!CY26-Strike,Strike-UndTree!CY26),(UpProb*CZ26+DownProb*CZ27)*StepDiscount)))</f>
        <v>375.82986572897119</v>
      </c>
      <c r="CZ26" s="17">
        <f>IF(CZ$3="","",IF(CZ$3=Steps,MAX(IF(CallPut=1,UndTree!CZ26-Strike,Strike-UndTree!CZ26),0),MAX((2-AmEur)*IF(CallPut=1,UndTree!CZ26-Strike,Strike-UndTree!CZ26),(UpProb*DA26+DownProb*DA27)*StepDiscount)))</f>
        <v>390.17712922109394</v>
      </c>
      <c r="DA26" s="17">
        <f>IF(DA$3="","",IF(DA$3=Steps,MAX(IF(CallPut=1,UndTree!DA26-Strike,Strike-UndTree!DA26),0),MAX((2-AmEur)*IF(CallPut=1,UndTree!DA26-Strike,Strike-UndTree!DA26),(UpProb*DB26+DownProb*DB27)*StepDiscount)))</f>
        <v>404.9602842721726</v>
      </c>
      <c r="DB26" s="17">
        <f>IF(DB$3="","",IF(DB$3=Steps,MAX(IF(CallPut=1,UndTree!DB26-Strike,Strike-UndTree!DB26),0),MAX((2-AmEur)*IF(CallPut=1,UndTree!DB26-Strike,Strike-UndTree!DB26),(UpProb*DC26+DownProb*DC27)*StepDiscount)))</f>
        <v>420.19252725820002</v>
      </c>
    </row>
    <row r="27" spans="1:106" x14ac:dyDescent="0.2">
      <c r="A27">
        <f>ExDivTree!A27</f>
        <v>3.2197337191432325E+22</v>
      </c>
      <c r="B27" s="71">
        <f>ExDivTree!B27</f>
        <v>1.2699610281269727E-8</v>
      </c>
      <c r="C27" s="71">
        <f>ExDivTree!C27</f>
        <v>1.4687447162153431E-8</v>
      </c>
      <c r="D27" s="177">
        <f>ExDivTree!D27</f>
        <v>23</v>
      </c>
      <c r="AB27" s="17">
        <f>IF(AB$3="","",IF(AB$3=Steps,MAX(IF(CallPut=1,UndTree!AB27-Strike,Strike-UndTree!AB27),0),MAX((2-AmEur)*IF(CallPut=1,UndTree!AB27-Strike,Strike-UndTree!AB27),(UpProb*AC27+DownProb*AC28)*StepDiscount)))</f>
        <v>2.1148416395105358E-2</v>
      </c>
      <c r="AC27" s="17">
        <f>IF(AC$3="","",IF(AC$3=Steps,MAX(IF(CallPut=1,UndTree!AC27-Strike,Strike-UndTree!AC27),0),MAX((2-AmEur)*IF(CallPut=1,UndTree!AC27-Strike,Strike-UndTree!AC27),(UpProb*AD27+DownProb*AD28)*StepDiscount)))</f>
        <v>2.9104962062340718E-2</v>
      </c>
      <c r="AD27" s="17">
        <f>IF(AD$3="","",IF(AD$3=Steps,MAX(IF(CallPut=1,UndTree!AD27-Strike,Strike-UndTree!AD27),0),MAX((2-AmEur)*IF(CallPut=1,UndTree!AD27-Strike,Strike-UndTree!AD27),(UpProb*AE27+DownProb*AE28)*StepDiscount)))</f>
        <v>3.9855197539711354E-2</v>
      </c>
      <c r="AE27" s="17">
        <f>IF(AE$3="","",IF(AE$3=Steps,MAX(IF(CallPut=1,UndTree!AE27-Strike,Strike-UndTree!AE27),0),MAX((2-AmEur)*IF(CallPut=1,UndTree!AE27-Strike,Strike-UndTree!AE27),(UpProb*AF27+DownProb*AF28)*StepDiscount)))</f>
        <v>5.429774172261382E-2</v>
      </c>
      <c r="AF27" s="17">
        <f>IF(AF$3="","",IF(AF$3=Steps,MAX(IF(CallPut=1,UndTree!AF27-Strike,Strike-UndTree!AF27),0),MAX((2-AmEur)*IF(CallPut=1,UndTree!AF27-Strike,Strike-UndTree!AF27),(UpProb*AG27+DownProb*AG28)*StepDiscount)))</f>
        <v>7.358793026606239E-2</v>
      </c>
      <c r="AG27" s="17">
        <f>IF(AG$3="","",IF(AG$3=Steps,MAX(IF(CallPut=1,UndTree!AG27-Strike,Strike-UndTree!AG27),0),MAX((2-AmEur)*IF(CallPut=1,UndTree!AG27-Strike,Strike-UndTree!AG27),(UpProb*AH27+DownProb*AH28)*StepDiscount)))</f>
        <v>9.9199082814152614E-2</v>
      </c>
      <c r="AH27" s="17">
        <f>IF(AH$3="","",IF(AH$3=Steps,MAX(IF(CallPut=1,UndTree!AH27-Strike,Strike-UndTree!AH27),0),MAX((2-AmEur)*IF(CallPut=1,UndTree!AH27-Strike,Strike-UndTree!AH27),(UpProb*AI27+DownProb*AI28)*StepDiscount)))</f>
        <v>0.13299409730738221</v>
      </c>
      <c r="AI27" s="17">
        <f>IF(AI$3="","",IF(AI$3=Steps,MAX(IF(CallPut=1,UndTree!AI27-Strike,Strike-UndTree!AI27),0),MAX((2-AmEur)*IF(CallPut=1,UndTree!AI27-Strike,Strike-UndTree!AI27),(UpProb*AJ27+DownProb*AJ28)*StepDiscount)))</f>
        <v>0.17730761042585591</v>
      </c>
      <c r="AJ27" s="17">
        <f>IF(AJ$3="","",IF(AJ$3=Steps,MAX(IF(CallPut=1,UndTree!AJ27-Strike,Strike-UndTree!AJ27),0),MAX((2-AmEur)*IF(CallPut=1,UndTree!AJ27-Strike,Strike-UndTree!AJ27),(UpProb*AK27+DownProb*AK28)*StepDiscount)))</f>
        <v>0.23503835852063673</v>
      </c>
      <c r="AK27" s="17">
        <f>IF(AK$3="","",IF(AK$3=Steps,MAX(IF(CallPut=1,UndTree!AK27-Strike,Strike-UndTree!AK27),0),MAX((2-AmEur)*IF(CallPut=1,UndTree!AK27-Strike,Strike-UndTree!AK27),(UpProb*AL27+DownProb*AL28)*StepDiscount)))</f>
        <v>0.3097505449340584</v>
      </c>
      <c r="AL27" s="17">
        <f>IF(AL$3="","",IF(AL$3=Steps,MAX(IF(CallPut=1,UndTree!AL27-Strike,Strike-UndTree!AL27),0),MAX((2-AmEur)*IF(CallPut=1,UndTree!AL27-Strike,Strike-UndTree!AL27),(UpProb*AM27+DownProb*AM28)*StepDiscount)))</f>
        <v>0.40578194962835995</v>
      </c>
      <c r="AM27" s="17">
        <f>IF(AM$3="","",IF(AM$3=Steps,MAX(IF(CallPut=1,UndTree!AM27-Strike,Strike-UndTree!AM27),0),MAX((2-AmEur)*IF(CallPut=1,UndTree!AM27-Strike,Strike-UndTree!AM27),(UpProb*AN27+DownProb*AN28)*StepDiscount)))</f>
        <v>0.52835520706097427</v>
      </c>
      <c r="AN27" s="17">
        <f>IF(AN$3="","",IF(AN$3=Steps,MAX(IF(CallPut=1,UndTree!AN27-Strike,Strike-UndTree!AN27),0),MAX((2-AmEur)*IF(CallPut=1,UndTree!AN27-Strike,Strike-UndTree!AN27),(UpProb*AO27+DownProb*AO28)*StepDiscount)))</f>
        <v>0.68368715832071525</v>
      </c>
      <c r="AO27" s="17">
        <f>IF(AO$3="","",IF(AO$3=Steps,MAX(IF(CallPut=1,UndTree!AO27-Strike,Strike-UndTree!AO27),0),MAX((2-AmEur)*IF(CallPut=1,UndTree!AO27-Strike,Strike-UndTree!AO27),(UpProb*AP27+DownProb*AP28)*StepDiscount)))</f>
        <v>0.87908952194991963</v>
      </c>
      <c r="AP27" s="17">
        <f>IF(AP$3="","",IF(AP$3=Steps,MAX(IF(CallPut=1,UndTree!AP27-Strike,Strike-UndTree!AP27),0),MAX((2-AmEur)*IF(CallPut=1,UndTree!AP27-Strike,Strike-UndTree!AP27),(UpProb*AQ27+DownProb*AQ28)*StepDiscount)))</f>
        <v>1.1230524399576522</v>
      </c>
      <c r="AQ27" s="17">
        <f>IF(AQ$3="","",IF(AQ$3=Steps,MAX(IF(CallPut=1,UndTree!AQ27-Strike,Strike-UndTree!AQ27),0),MAX((2-AmEur)*IF(CallPut=1,UndTree!AQ27-Strike,Strike-UndTree!AQ27),(UpProb*AR27+DownProb*AR28)*StepDiscount)))</f>
        <v>1.4253009097069436</v>
      </c>
      <c r="AR27" s="17">
        <f>IF(AR$3="","",IF(AR$3=Steps,MAX(IF(CallPut=1,UndTree!AR27-Strike,Strike-UndTree!AR27),0),MAX((2-AmEur)*IF(CallPut=1,UndTree!AR27-Strike,Strike-UndTree!AR27),(UpProb*AS27+DownProb*AS28)*StepDiscount)))</f>
        <v>1.7968129309151022</v>
      </c>
      <c r="AS27" s="17">
        <f>IF(AS$3="","",IF(AS$3=Steps,MAX(IF(CallPut=1,UndTree!AS27-Strike,Strike-UndTree!AS27),0),MAX((2-AmEur)*IF(CallPut=1,UndTree!AS27-Strike,Strike-UndTree!AS27),(UpProb*AT27+DownProb*AT28)*StepDiscount)))</f>
        <v>2.2497876487153676</v>
      </c>
      <c r="AT27" s="17">
        <f>IF(AT$3="","",IF(AT$3=Steps,MAX(IF(CallPut=1,UndTree!AT27-Strike,Strike-UndTree!AT27),0),MAX((2-AmEur)*IF(CallPut=1,UndTree!AT27-Strike,Strike-UndTree!AT27),(UpProb*AU27+DownProb*AU28)*StepDiscount)))</f>
        <v>2.7975521555918874</v>
      </c>
      <c r="AU27" s="17">
        <f>IF(AU$3="","",IF(AU$3=Steps,MAX(IF(CallPut=1,UndTree!AU27-Strike,Strike-UndTree!AU27),0),MAX((2-AmEur)*IF(CallPut=1,UndTree!AU27-Strike,Strike-UndTree!AU27),(UpProb*AV27+DownProb*AV28)*StepDiscount)))</f>
        <v>3.4543972209255966</v>
      </c>
      <c r="AV27" s="17">
        <f>IF(AV$3="","",IF(AV$3=Steps,MAX(IF(CallPut=1,UndTree!AV27-Strike,Strike-UndTree!AV27),0),MAX((2-AmEur)*IF(CallPut=1,UndTree!AV27-Strike,Strike-UndTree!AV27),(UpProb*AW27+DownProb*AW28)*StepDiscount)))</f>
        <v>4.235335292653013</v>
      </c>
      <c r="AW27" s="17">
        <f>IF(AW$3="","",IF(AW$3=Steps,MAX(IF(CallPut=1,UndTree!AW27-Strike,Strike-UndTree!AW27),0),MAX((2-AmEur)*IF(CallPut=1,UndTree!AW27-Strike,Strike-UndTree!AW27),(UpProb*AX27+DownProb*AX28)*StepDiscount)))</f>
        <v>5.1557788018089292</v>
      </c>
      <c r="AX27" s="17">
        <f>IF(AX$3="","",IF(AX$3=Steps,MAX(IF(CallPut=1,UndTree!AX27-Strike,Strike-UndTree!AX27),0),MAX((2-AmEur)*IF(CallPut=1,UndTree!AX27-Strike,Strike-UndTree!AX27),(UpProb*AY27+DownProb*AY28)*StepDiscount)))</f>
        <v>6.2311430692509884</v>
      </c>
      <c r="AY27" s="17">
        <f>IF(AY$3="","",IF(AY$3=Steps,MAX(IF(CallPut=1,UndTree!AY27-Strike,Strike-UndTree!AY27),0),MAX((2-AmEur)*IF(CallPut=1,UndTree!AY27-Strike,Strike-UndTree!AY27),(UpProb*AZ27+DownProb*AZ28)*StepDiscount)))</f>
        <v>7.4763857059705376</v>
      </c>
      <c r="AZ27" s="17">
        <f>IF(AZ$3="","",IF(AZ$3=Steps,MAX(IF(CallPut=1,UndTree!AZ27-Strike,Strike-UndTree!AZ27),0),MAX((2-AmEur)*IF(CallPut=1,UndTree!AZ27-Strike,Strike-UndTree!AZ27),(UpProb*BA27+DownProb*BA28)*StepDiscount)))</f>
        <v>8.9055027787853582</v>
      </c>
      <c r="BA27" s="17">
        <f>IF(BA$3="","",IF(BA$3=Steps,MAX(IF(CallPut=1,UndTree!BA27-Strike,Strike-UndTree!BA27),0),MAX((2-AmEur)*IF(CallPut=1,UndTree!BA27-Strike,Strike-UndTree!BA27),(UpProb*BB27+DownProb*BB28)*StepDiscount)))</f>
        <v>10.531010355102747</v>
      </c>
      <c r="BB27" s="17">
        <f>IF(BB$3="","",IF(BB$3=Steps,MAX(IF(CallPut=1,UndTree!BB27-Strike,Strike-UndTree!BB27),0),MAX((2-AmEur)*IF(CallPut=1,UndTree!BB27-Strike,Strike-UndTree!BB27),(UpProb*BC27+DownProb*BC28)*StepDiscount)))</f>
        <v>12.36344725854568</v>
      </c>
      <c r="BC27" s="17">
        <f>IF(BC$3="","",IF(BC$3=Steps,MAX(IF(CallPut=1,UndTree!BC27-Strike,Strike-UndTree!BC27),0),MAX((2-AmEur)*IF(CallPut=1,UndTree!BC27-Strike,Strike-UndTree!BC27),(UpProb*BD27+DownProb*BD28)*StepDiscount)))</f>
        <v>14.41093971193639</v>
      </c>
      <c r="BD27" s="17">
        <f>IF(BD$3="","",IF(BD$3=Steps,MAX(IF(CallPut=1,UndTree!BD27-Strike,Strike-UndTree!BD27),0),MAX((2-AmEur)*IF(CallPut=1,UndTree!BD27-Strike,Strike-UndTree!BD27),(UpProb*BE27+DownProb*BE28)*StepDiscount)))</f>
        <v>16.678869762149233</v>
      </c>
      <c r="BE27" s="17">
        <f>IF(BE$3="","",IF(BE$3=Steps,MAX(IF(CallPut=1,UndTree!BE27-Strike,Strike-UndTree!BE27),0),MAX((2-AmEur)*IF(CallPut=1,UndTree!BE27-Strike,Strike-UndTree!BE27),(UpProb*BF27+DownProb*BF28)*StepDiscount)))</f>
        <v>19.169685934849671</v>
      </c>
      <c r="BF27" s="17">
        <f>IF(BF$3="","",IF(BF$3=Steps,MAX(IF(CallPut=1,UndTree!BF27-Strike,Strike-UndTree!BF27),0),MAX((2-AmEur)*IF(CallPut=1,UndTree!BF27-Strike,Strike-UndTree!BF27),(UpProb*BG27+DownProb*BG28)*StepDiscount)))</f>
        <v>21.882885885919865</v>
      </c>
      <c r="BG27" s="17">
        <f>IF(BG$3="","",IF(BG$3=Steps,MAX(IF(CallPut=1,UndTree!BG27-Strike,Strike-UndTree!BG27),0),MAX((2-AmEur)*IF(CallPut=1,UndTree!BG27-Strike,Strike-UndTree!BG27),(UpProb*BH27+DownProb*BH28)*StepDiscount)))</f>
        <v>24.815187038998602</v>
      </c>
      <c r="BH27" s="17">
        <f>IF(BH$3="","",IF(BH$3=Steps,MAX(IF(CallPut=1,UndTree!BH27-Strike,Strike-UndTree!BH27),0),MAX((2-AmEur)*IF(CallPut=1,UndTree!BH27-Strike,Strike-UndTree!BH27),(UpProb*BI27+DownProb*BI28)*StepDiscount)))</f>
        <v>27.960883343416729</v>
      </c>
      <c r="BI27" s="17">
        <f>IF(BI$3="","",IF(BI$3=Steps,MAX(IF(CallPut=1,UndTree!BI27-Strike,Strike-UndTree!BI27),0),MAX((2-AmEur)*IF(CallPut=1,UndTree!BI27-Strike,Strike-UndTree!BI27),(UpProb*BJ27+DownProb*BJ28)*StepDiscount)))</f>
        <v>31.31236628866397</v>
      </c>
      <c r="BJ27" s="17">
        <f>IF(BJ$3="","",IF(BJ$3=Steps,MAX(IF(CallPut=1,UndTree!BJ27-Strike,Strike-UndTree!BJ27),0),MAX((2-AmEur)*IF(CallPut=1,UndTree!BJ27-Strike,Strike-UndTree!BJ27),(UpProb*BK27+DownProb*BK28)*StepDiscount)))</f>
        <v>34.860768869966002</v>
      </c>
      <c r="BK27" s="17">
        <f>IF(BK$3="","",IF(BK$3=Steps,MAX(IF(CallPut=1,UndTree!BK27-Strike,Strike-UndTree!BK27),0),MAX((2-AmEur)*IF(CallPut=1,UndTree!BK27-Strike,Strike-UndTree!BK27),(UpProb*BL27+DownProb*BL28)*StepDiscount)))</f>
        <v>38.596675416078575</v>
      </c>
      <c r="BL27" s="17">
        <f>IF(BL$3="","",IF(BL$3=Steps,MAX(IF(CallPut=1,UndTree!BL27-Strike,Strike-UndTree!BL27),0),MAX((2-AmEur)*IF(CallPut=1,UndTree!BL27-Strike,Strike-UndTree!BL27),(UpProb*BM27+DownProb*BM28)*StepDiscount)))</f>
        <v>42.510831020447384</v>
      </c>
      <c r="BM27" s="17">
        <f>IF(BM$3="","",IF(BM$3=Steps,MAX(IF(CallPut=1,UndTree!BM27-Strike,Strike-UndTree!BM27),0),MAX((2-AmEur)*IF(CallPut=1,UndTree!BM27-Strike,Strike-UndTree!BM27),(UpProb*BN27+DownProb*BN28)*StepDiscount)))</f>
        <v>46.594783923365632</v>
      </c>
      <c r="BN27" s="17">
        <f>IF(BN$3="","",IF(BN$3=Steps,MAX(IF(CallPut=1,UndTree!BN27-Strike,Strike-UndTree!BN27),0),MAX((2-AmEur)*IF(CallPut=1,UndTree!BN27-Strike,Strike-UndTree!BN27),(UpProb*BO27+DownProb*BO28)*StepDiscount)))</f>
        <v>50.841403343562966</v>
      </c>
      <c r="BO27" s="17">
        <f>IF(BO$3="","",IF(BO$3=Steps,MAX(IF(CallPut=1,UndTree!BO27-Strike,Strike-UndTree!BO27),0),MAX((2-AmEur)*IF(CallPut=1,UndTree!BO27-Strike,Strike-UndTree!BO27),(UpProb*BP27+DownProb*BP28)*StepDiscount)))</f>
        <v>55.24523293956743</v>
      </c>
      <c r="BP27" s="17">
        <f>IF(BP$3="","",IF(BP$3=Steps,MAX(IF(CallPut=1,UndTree!BP27-Strike,Strike-UndTree!BP27),0),MAX((2-AmEur)*IF(CallPut=1,UndTree!BP27-Strike,Strike-UndTree!BP27),(UpProb*BQ27+DownProb*BQ28)*StepDiscount)))</f>
        <v>59.802663487364647</v>
      </c>
      <c r="BQ27" s="17">
        <f>IF(BQ$3="","",IF(BQ$3=Steps,MAX(IF(CallPut=1,UndTree!BQ27-Strike,Strike-UndTree!BQ27),0),MAX((2-AmEur)*IF(CallPut=1,UndTree!BQ27-Strike,Strike-UndTree!BQ27),(UpProb*BR27+DownProb*BR28)*StepDiscount)))</f>
        <v>64.511933335997938</v>
      </c>
      <c r="BR27" s="17">
        <f>IF(BR$3="","",IF(BR$3=Steps,MAX(IF(CallPut=1,UndTree!BR27-Strike,Strike-UndTree!BR27),0),MAX((2-AmEur)*IF(CallPut=1,UndTree!BR27-Strike,Strike-UndTree!BR27),(UpProb*BS27+DownProb*BS28)*StepDiscount)))</f>
        <v>69.372987106336254</v>
      </c>
      <c r="BS27" s="17">
        <f>IF(BS$3="","",IF(BS$3=Steps,MAX(IF(CallPut=1,UndTree!BS27-Strike,Strike-UndTree!BS27),0),MAX((2-AmEur)*IF(CallPut=1,UndTree!BS27-Strike,Strike-UndTree!BS27),(UpProb*BT27+DownProb*BT28)*StepDiscount)))</f>
        <v>74.387237902389103</v>
      </c>
      <c r="BT27" s="17">
        <f>IF(BT$3="","",IF(BT$3=Steps,MAX(IF(CallPut=1,UndTree!BT27-Strike,Strike-UndTree!BT27),0),MAX((2-AmEur)*IF(CallPut=1,UndTree!BT27-Strike,Strike-UndTree!BT27),(UpProb*BU27+DownProb*BU28)*StepDiscount)))</f>
        <v>79.557283626084541</v>
      </c>
      <c r="BU27" s="17">
        <f>IF(BU$3="","",IF(BU$3=Steps,MAX(IF(CallPut=1,UndTree!BU27-Strike,Strike-UndTree!BU27),0),MAX((2-AmEur)*IF(CallPut=1,UndTree!BU27-Strike,Strike-UndTree!BU27),(UpProb*BV27+DownProb*BV28)*StepDiscount)))</f>
        <v>84.886623720844426</v>
      </c>
      <c r="BV27" s="17">
        <f>IF(BV$3="","",IF(BV$3=Steps,MAX(IF(CallPut=1,UndTree!BV27-Strike,Strike-UndTree!BV27),0),MAX((2-AmEur)*IF(CallPut=1,UndTree!BV27-Strike,Strike-UndTree!BV27),(UpProb*BW27+DownProb*BW28)*StepDiscount)))</f>
        <v>90.379410981268734</v>
      </c>
      <c r="BW27" s="17">
        <f>IF(BW$3="","",IF(BW$3=Steps,MAX(IF(CallPut=1,UndTree!BW27-Strike,Strike-UndTree!BW27),0),MAX((2-AmEur)*IF(CallPut=1,UndTree!BW27-Strike,Strike-UndTree!BW27),(UpProb*BX27+DownProb*BX28)*StepDiscount)))</f>
        <v>96.040257692208286</v>
      </c>
      <c r="BX27" s="17">
        <f>IF(BX$3="","",IF(BX$3=Steps,MAX(IF(CallPut=1,UndTree!BX27-Strike,Strike-UndTree!BX27),0),MAX((2-AmEur)*IF(CallPut=1,UndTree!BX27-Strike,Strike-UndTree!BX27),(UpProb*BY27+DownProb*BY28)*StepDiscount)))</f>
        <v>101.87410043185176</v>
      </c>
      <c r="BY27" s="17">
        <f>IF(BY$3="","",IF(BY$3=Steps,MAX(IF(CallPut=1,UndTree!BY27-Strike,Strike-UndTree!BY27),0),MAX((2-AmEur)*IF(CallPut=1,UndTree!BY27-Strike,Strike-UndTree!BY27),(UpProb*BZ27+DownProb*BZ28)*StepDiscount)))</f>
        <v>107.88611667078301</v>
      </c>
      <c r="BZ27" s="17">
        <f>IF(BZ$3="","",IF(BZ$3=Steps,MAX(IF(CallPut=1,UndTree!BZ27-Strike,Strike-UndTree!BZ27),0),MAX((2-AmEur)*IF(CallPut=1,UndTree!BZ27-Strike,Strike-UndTree!BZ27),(UpProb*CA27+DownProb*CA28)*StepDiscount)))</f>
        <v>114.08168039516589</v>
      </c>
      <c r="CA27" s="17">
        <f>IF(CA$3="","",IF(CA$3=Steps,MAX(IF(CallPut=1,UndTree!CA27-Strike,Strike-UndTree!CA27),0),MAX((2-AmEur)*IF(CallPut=1,UndTree!CA27-Strike,Strike-UndTree!CA27),(UpProb*CB27+DownProb*CB28)*StepDiscount)))</f>
        <v>120.46634307846212</v>
      </c>
      <c r="CB27" s="17">
        <f>IF(CB$3="","",IF(CB$3=Steps,MAX(IF(CallPut=1,UndTree!CB27-Strike,Strike-UndTree!CB27),0),MAX((2-AmEur)*IF(CallPut=1,UndTree!CB27-Strike,Strike-UndTree!CB27),(UpProb*CC27+DownProb*CC28)*StepDiscount)))</f>
        <v>127.04582878243785</v>
      </c>
      <c r="CC27" s="17">
        <f>IF(CC$3="","",IF(CC$3=Steps,MAX(IF(CallPut=1,UndTree!CC27-Strike,Strike-UndTree!CC27),0),MAX((2-AmEur)*IF(CallPut=1,UndTree!CC27-Strike,Strike-UndTree!CC27),(UpProb*CD27+DownProb*CD28)*StepDiscount)))</f>
        <v>133.82603592213664</v>
      </c>
      <c r="CD27" s="17">
        <f>IF(CD$3="","",IF(CD$3=Steps,MAX(IF(CallPut=1,UndTree!CD27-Strike,Strike-UndTree!CD27),0),MAX((2-AmEur)*IF(CallPut=1,UndTree!CD27-Strike,Strike-UndTree!CD27),(UpProb*CE27+DownProb*CE28)*StepDiscount)))</f>
        <v>140.81304164714504</v>
      </c>
      <c r="CE27" s="17">
        <f>IF(CE$3="","",IF(CE$3=Steps,MAX(IF(CallPut=1,UndTree!CE27-Strike,Strike-UndTree!CE27),0),MAX((2-AmEur)*IF(CallPut=1,UndTree!CE27-Strike,Strike-UndTree!CE27),(UpProb*CF27+DownProb*CF28)*StepDiscount)))</f>
        <v>148.01310709294964</v>
      </c>
      <c r="CF27" s="17">
        <f>IF(CF$3="","",IF(CF$3=Steps,MAX(IF(CallPut=1,UndTree!CF27-Strike,Strike-UndTree!CF27),0),MAX((2-AmEur)*IF(CallPut=1,UndTree!CF27-Strike,Strike-UndTree!CF27),(UpProb*CG27+DownProb*CG28)*StepDiscount)))</f>
        <v>155.43268293606613</v>
      </c>
      <c r="CG27" s="17">
        <f>IF(CG$3="","",IF(CG$3=Steps,MAX(IF(CallPut=1,UndTree!CG27-Strike,Strike-UndTree!CG27),0),MAX((2-AmEur)*IF(CallPut=1,UndTree!CG27-Strike,Strike-UndTree!CG27),(UpProb*CH27+DownProb*CH28)*StepDiscount)))</f>
        <v>163.07841513193088</v>
      </c>
      <c r="CH27" s="17">
        <f>IF(CH$3="","",IF(CH$3=Steps,MAX(IF(CallPut=1,UndTree!CH27-Strike,Strike-UndTree!CH27),0),MAX((2-AmEur)*IF(CallPut=1,UndTree!CH27-Strike,Strike-UndTree!CH27),(UpProb*CI27+DownProb*CI28)*StepDiscount)))</f>
        <v>170.95715082649323</v>
      </c>
      <c r="CI27" s="17">
        <f>IF(CI$3="","",IF(CI$3=Steps,MAX(IF(CallPut=1,UndTree!CI27-Strike,Strike-UndTree!CI27),0),MAX((2-AmEur)*IF(CallPut=1,UndTree!CI27-Strike,Strike-UndTree!CI27),(UpProb*CJ27+DownProb*CJ28)*StepDiscount)))</f>
        <v>179.07594444676761</v>
      </c>
      <c r="CJ27" s="17">
        <f>IF(CJ$3="","",IF(CJ$3=Steps,MAX(IF(CallPut=1,UndTree!CJ27-Strike,Strike-UndTree!CJ27),0),MAX((2-AmEur)*IF(CallPut=1,UndTree!CJ27-Strike,Strike-UndTree!CJ27),(UpProb*CK27+DownProb*CK28)*StepDiscount)))</f>
        <v>187.44206397576309</v>
      </c>
      <c r="CK27" s="17">
        <f>IF(CK$3="","",IF(CK$3=Steps,MAX(IF(CallPut=1,UndTree!CK27-Strike,Strike-UndTree!CK27),0),MAX((2-AmEur)*IF(CallPut=1,UndTree!CK27-Strike,Strike-UndTree!CK27),(UpProb*CL27+DownProb*CL28)*StepDiscount)))</f>
        <v>196.06299741737183</v>
      </c>
      <c r="CL27" s="17">
        <f>IF(CL$3="","",IF(CL$3=Steps,MAX(IF(CallPut=1,UndTree!CL27-Strike,Strike-UndTree!CL27),0),MAX((2-AmEur)*IF(CallPut=1,UndTree!CL27-Strike,Strike-UndTree!CL27),(UpProb*CM27+DownProb*CM28)*StepDiscount)))</f>
        <v>204.94645945696664</v>
      </c>
      <c r="CM27" s="17">
        <f>IF(CM$3="","",IF(CM$3=Steps,MAX(IF(CallPut=1,UndTree!CM27-Strike,Strike-UndTree!CM27),0),MAX((2-AmEur)*IF(CallPut=1,UndTree!CM27-Strike,Strike-UndTree!CM27),(UpProb*CN27+DownProb*CN28)*StepDiscount)))</f>
        <v>214.10039832363225</v>
      </c>
      <c r="CN27" s="17">
        <f>IF(CN$3="","",IF(CN$3=Steps,MAX(IF(CallPut=1,UndTree!CN27-Strike,Strike-UndTree!CN27),0),MAX((2-AmEur)*IF(CallPut=1,UndTree!CN27-Strike,Strike-UndTree!CN27),(UpProb*CO27+DownProb*CO28)*StepDiscount)))</f>
        <v>223.53300286013186</v>
      </c>
      <c r="CO27" s="17">
        <f>IF(CO$3="","",IF(CO$3=Steps,MAX(IF(CallPut=1,UndTree!CO27-Strike,Strike-UndTree!CO27),0),MAX((2-AmEur)*IF(CallPut=1,UndTree!CO27-Strike,Strike-UndTree!CO27),(UpProb*CP27+DownProb*CP28)*StepDiscount)))</f>
        <v>233.25270980689805</v>
      </c>
      <c r="CP27" s="17">
        <f>IF(CP$3="","",IF(CP$3=Steps,MAX(IF(CallPut=1,UndTree!CP27-Strike,Strike-UndTree!CP27),0),MAX((2-AmEur)*IF(CallPut=1,UndTree!CP27-Strike,Strike-UndTree!CP27),(UpProb*CQ27+DownProb*CQ28)*StepDiscount)))</f>
        <v>243.26821130652644</v>
      </c>
      <c r="CQ27" s="17">
        <f>IF(CQ$3="","",IF(CQ$3=Steps,MAX(IF(CallPut=1,UndTree!CQ27-Strike,Strike-UndTree!CQ27),0),MAX((2-AmEur)*IF(CallPut=1,UndTree!CQ27-Strike,Strike-UndTree!CQ27),(UpProb*CR27+DownProb*CR28)*StepDiscount)))</f>
        <v>253.58846263544808</v>
      </c>
      <c r="CR27" s="17">
        <f>IF(CR$3="","",IF(CR$3=Steps,MAX(IF(CallPut=1,UndTree!CR27-Strike,Strike-UndTree!CR27),0),MAX((2-AmEur)*IF(CallPut=1,UndTree!CR27-Strike,Strike-UndTree!CR27),(UpProb*CS27+DownProb*CS28)*StepDiscount)))</f>
        <v>264.22269016965862</v>
      </c>
      <c r="CS27" s="17">
        <f>IF(CS$3="","",IF(CS$3=Steps,MAX(IF(CallPut=1,UndTree!CS27-Strike,Strike-UndTree!CS27),0),MAX((2-AmEur)*IF(CallPut=1,UndTree!CS27-Strike,Strike-UndTree!CS27),(UpProb*CT27+DownProb*CT28)*StepDiscount)))</f>
        <v>275.18039959159205</v>
      </c>
      <c r="CT27" s="17">
        <f>IF(CT$3="","",IF(CT$3=Steps,MAX(IF(CallPut=1,UndTree!CT27-Strike,Strike-UndTree!CT27),0),MAX((2-AmEur)*IF(CallPut=1,UndTree!CT27-Strike,Strike-UndTree!CT27),(UpProb*CU27+DownProb*CU28)*StepDiscount)))</f>
        <v>286.47138434544127</v>
      </c>
      <c r="CU27" s="17">
        <f>IF(CU$3="","",IF(CU$3=Steps,MAX(IF(CallPut=1,UndTree!CU27-Strike,Strike-UndTree!CU27),0),MAX((2-AmEur)*IF(CallPut=1,UndTree!CU27-Strike,Strike-UndTree!CU27),(UpProb*CV27+DownProb*CV28)*StepDiscount)))</f>
        <v>298.10573434844935</v>
      </c>
      <c r="CV27" s="17">
        <f>IF(CV$3="","",IF(CV$3=Steps,MAX(IF(CallPut=1,UndTree!CV27-Strike,Strike-UndTree!CV27),0),MAX((2-AmEur)*IF(CallPut=1,UndTree!CV27-Strike,Strike-UndTree!CV27),(UpProb*CW27+DownProb*CW28)*StepDiscount)))</f>
        <v>310.0938449659285</v>
      </c>
      <c r="CW27" s="17">
        <f>IF(CW$3="","",IF(CW$3=Steps,MAX(IF(CallPut=1,UndTree!CW27-Strike,Strike-UndTree!CW27),0),MAX((2-AmEur)*IF(CallPut=1,UndTree!CW27-Strike,Strike-UndTree!CW27),(UpProb*CX27+DownProb*CX28)*StepDiscount)))</f>
        <v>322.44642625799446</v>
      </c>
      <c r="CX27" s="17">
        <f>IF(CX$3="","",IF(CX$3=Steps,MAX(IF(CallPut=1,UndTree!CX27-Strike,Strike-UndTree!CX27),0),MAX((2-AmEur)*IF(CallPut=1,UndTree!CX27-Strike,Strike-UndTree!CX27),(UpProb*CY27+DownProb*CY28)*StepDiscount)))</f>
        <v>335.17451250622901</v>
      </c>
      <c r="CY27" s="17">
        <f>IF(CY$3="","",IF(CY$3=Steps,MAX(IF(CallPut=1,UndTree!CY27-Strike,Strike-UndTree!CY27),0),MAX((2-AmEur)*IF(CallPut=1,UndTree!CY27-Strike,Strike-UndTree!CY27),(UpProb*CZ27+DownProb*CZ28)*StepDiscount)))</f>
        <v>348.28947202868204</v>
      </c>
      <c r="CZ27" s="17">
        <f>IF(CZ$3="","",IF(CZ$3=Steps,MAX(IF(CallPut=1,UndTree!CZ27-Strike,Strike-UndTree!CZ27),0),MAX((2-AmEur)*IF(CallPut=1,UndTree!CZ27-Strike,Strike-UndTree!CZ27),(UpProb*DA27+DownProb*DA28)*StepDiscount)))</f>
        <v>361.80301729183947</v>
      </c>
      <c r="DA27" s="17">
        <f>IF(DA$3="","",IF(DA$3=Steps,MAX(IF(CallPut=1,UndTree!DA27-Strike,Strike-UndTree!DA27),0),MAX((2-AmEur)*IF(CallPut=1,UndTree!DA27-Strike,Strike-UndTree!DA27),(UpProb*DB27+DownProb*DB28)*StepDiscount)))</f>
        <v>375.7272153286537</v>
      </c>
      <c r="DB27" s="17">
        <f>IF(DB$3="","",IF(DB$3=Steps,MAX(IF(CallPut=1,UndTree!DB27-Strike,Strike-UndTree!DB27),0),MAX((2-AmEur)*IF(CallPut=1,UndTree!DB27-Strike,Strike-UndTree!DB27),(UpProb*DC27+DownProb*DC28)*StepDiscount)))</f>
        <v>390.07449847290002</v>
      </c>
    </row>
    <row r="28" spans="1:106" x14ac:dyDescent="0.2">
      <c r="A28">
        <f>ExDivTree!A28</f>
        <v>1.0464134587215499E+23</v>
      </c>
      <c r="B28" s="71">
        <f>ExDivTree!B28</f>
        <v>4.1273733414126584E-8</v>
      </c>
      <c r="C28" s="71">
        <f>ExDivTree!C28</f>
        <v>4.7481835223381936E-8</v>
      </c>
      <c r="D28" s="177">
        <f>ExDivTree!D28</f>
        <v>24</v>
      </c>
      <c r="AC28" s="17">
        <f>IF(AC$3="","",IF(AC$3=Steps,MAX(IF(CallPut=1,UndTree!AC28-Strike,Strike-UndTree!AC28),0),MAX((2-AmEur)*IF(CallPut=1,UndTree!AC28-Strike,Strike-UndTree!AC28),(UpProb*AD28+DownProb*AD29)*StepDiscount)))</f>
        <v>1.3171902531142957E-2</v>
      </c>
      <c r="AD28" s="17">
        <f>IF(AD$3="","",IF(AD$3=Steps,MAX(IF(CallPut=1,UndTree!AD28-Strike,Strike-UndTree!AD28),0),MAX((2-AmEur)*IF(CallPut=1,UndTree!AD28-Strike,Strike-UndTree!AD28),(UpProb*AE28+DownProb*AE29)*StepDiscount)))</f>
        <v>1.8328307576828375E-2</v>
      </c>
      <c r="AE28" s="17">
        <f>IF(AE$3="","",IF(AE$3=Steps,MAX(IF(CallPut=1,UndTree!AE28-Strike,Strike-UndTree!AE28),0),MAX((2-AmEur)*IF(CallPut=1,UndTree!AE28-Strike,Strike-UndTree!AE28),(UpProb*AF28+DownProb*AF29)*StepDiscount)))</f>
        <v>2.5377955951106552E-2</v>
      </c>
      <c r="AF28" s="17">
        <f>IF(AF$3="","",IF(AF$3=Steps,MAX(IF(CallPut=1,UndTree!AF28-Strike,Strike-UndTree!AF28),0),MAX((2-AmEur)*IF(CallPut=1,UndTree!AF28-Strike,Strike-UndTree!AF28),(UpProb*AG28+DownProb*AG29)*StepDiscount)))</f>
        <v>3.4962333780356833E-2</v>
      </c>
      <c r="AG28" s="17">
        <f>IF(AG$3="","",IF(AG$3=Steps,MAX(IF(CallPut=1,UndTree!AG28-Strike,Strike-UndTree!AG28),0),MAX((2-AmEur)*IF(CallPut=1,UndTree!AG28-Strike,Strike-UndTree!AG28),(UpProb*AH28+DownProb*AH29)*StepDiscount)))</f>
        <v>4.7918322035987421E-2</v>
      </c>
      <c r="AH28" s="17">
        <f>IF(AH$3="","",IF(AH$3=Steps,MAX(IF(CallPut=1,UndTree!AH28-Strike,Strike-UndTree!AH28),0),MAX((2-AmEur)*IF(CallPut=1,UndTree!AH28-Strike,Strike-UndTree!AH28),(UpProb*AI28+DownProb*AI29)*StepDiscount)))</f>
        <v>6.5329146461950927E-2</v>
      </c>
      <c r="AI28" s="17">
        <f>IF(AI$3="","",IF(AI$3=Steps,MAX(IF(CallPut=1,UndTree!AI28-Strike,Strike-UndTree!AI28),0),MAX((2-AmEur)*IF(CallPut=1,UndTree!AI28-Strike,Strike-UndTree!AI28),(UpProb*AJ28+DownProb*AJ29)*StepDiscount)))</f>
        <v>8.858542515124937E-2</v>
      </c>
      <c r="AJ28" s="17">
        <f>IF(AJ$3="","",IF(AJ$3=Steps,MAX(IF(CallPut=1,UndTree!AJ28-Strike,Strike-UndTree!AJ28),0),MAX((2-AmEur)*IF(CallPut=1,UndTree!AJ28-Strike,Strike-UndTree!AJ28),(UpProb*AK28+DownProb*AK29)*StepDiscount)))</f>
        <v>0.11945716100157232</v>
      </c>
      <c r="AK28" s="17">
        <f>IF(AK$3="","",IF(AK$3=Steps,MAX(IF(CallPut=1,UndTree!AK28-Strike,Strike-UndTree!AK28),0),MAX((2-AmEur)*IF(CallPut=1,UndTree!AK28-Strike,Strike-UndTree!AK28),(UpProb*AL28+DownProb*AL29)*StepDiscount)))</f>
        <v>0.16017714587110973</v>
      </c>
      <c r="AL28" s="17">
        <f>IF(AL$3="","",IF(AL$3=Steps,MAX(IF(CallPut=1,UndTree!AL28-Strike,Strike-UndTree!AL28),0),MAX((2-AmEur)*IF(CallPut=1,UndTree!AL28-Strike,Strike-UndTree!AL28),(UpProb*AM28+DownProb*AM29)*StepDiscount)))</f>
        <v>0.21353565674348904</v>
      </c>
      <c r="AM28" s="17">
        <f>IF(AM$3="","",IF(AM$3=Steps,MAX(IF(CallPut=1,UndTree!AM28-Strike,Strike-UndTree!AM28),0),MAX((2-AmEur)*IF(CallPut=1,UndTree!AM28-Strike,Strike-UndTree!AM28),(UpProb*AN28+DownProb*AN29)*StepDiscount)))</f>
        <v>0.2829854943751996</v>
      </c>
      <c r="AN28" s="17">
        <f>IF(AN$3="","",IF(AN$3=Steps,MAX(IF(CallPut=1,UndTree!AN28-Strike,Strike-UndTree!AN28),0),MAX((2-AmEur)*IF(CallPut=1,UndTree!AN28-Strike,Strike-UndTree!AN28),(UpProb*AO28+DownProb*AO29)*StepDiscount)))</f>
        <v>0.37275531459412647</v>
      </c>
      <c r="AO28" s="17">
        <f>IF(AO$3="","",IF(AO$3=Steps,MAX(IF(CallPut=1,UndTree!AO28-Strike,Strike-UndTree!AO28),0),MAX((2-AmEur)*IF(CallPut=1,UndTree!AO28-Strike,Strike-UndTree!AO28),(UpProb*AP28+DownProb*AP29)*StepDiscount)))</f>
        <v>0.48796782330757588</v>
      </c>
      <c r="AP28" s="17">
        <f>IF(AP$3="","",IF(AP$3=Steps,MAX(IF(CallPut=1,UndTree!AP28-Strike,Strike-UndTree!AP28),0),MAX((2-AmEur)*IF(CallPut=1,UndTree!AP28-Strike,Strike-UndTree!AP28),(UpProb*AQ28+DownProb*AQ29)*StepDiscount)))</f>
        <v>0.63475776940596162</v>
      </c>
      <c r="AQ28" s="17">
        <f>IF(AQ$3="","",IF(AQ$3=Steps,MAX(IF(CallPut=1,UndTree!AQ28-Strike,Strike-UndTree!AQ28),0),MAX((2-AmEur)*IF(CallPut=1,UndTree!AQ28-Strike,Strike-UndTree!AQ28),(UpProb*AR28+DownProb*AR29)*StepDiscount)))</f>
        <v>0.82038283719378957</v>
      </c>
      <c r="AR28" s="17">
        <f>IF(AR$3="","",IF(AR$3=Steps,MAX(IF(CallPut=1,UndTree!AR28-Strike,Strike-UndTree!AR28),0),MAX((2-AmEur)*IF(CallPut=1,UndTree!AR28-Strike,Strike-UndTree!AR28),(UpProb*AS28+DownProb*AS29)*StepDiscount)))</f>
        <v>1.0533186262109835</v>
      </c>
      <c r="AS28" s="17">
        <f>IF(AS$3="","",IF(AS$3=Steps,MAX(IF(CallPut=1,UndTree!AS28-Strike,Strike-UndTree!AS28),0),MAX((2-AmEur)*IF(CallPut=1,UndTree!AS28-Strike,Strike-UndTree!AS28),(UpProb*AT28+DownProb*AT29)*StepDiscount)))</f>
        <v>1.3433270870983436</v>
      </c>
      <c r="AT28" s="17">
        <f>IF(AT$3="","",IF(AT$3=Steps,MAX(IF(CallPut=1,UndTree!AT28-Strike,Strike-UndTree!AT28),0),MAX((2-AmEur)*IF(CallPut=1,UndTree!AT28-Strike,Strike-UndTree!AT28),(UpProb*AU28+DownProb*AU29)*StepDiscount)))</f>
        <v>1.701486298193116</v>
      </c>
      <c r="AU28" s="17">
        <f>IF(AU$3="","",IF(AU$3=Steps,MAX(IF(CallPut=1,UndTree!AU28-Strike,Strike-UndTree!AU28),0),MAX((2-AmEur)*IF(CallPut=1,UndTree!AU28-Strike,Strike-UndTree!AU28),(UpProb*AV28+DownProb*AV29)*StepDiscount)))</f>
        <v>2.1401686192396254</v>
      </c>
      <c r="AV28" s="17">
        <f>IF(AV$3="","",IF(AV$3=Steps,MAX(IF(CallPut=1,UndTree!AV28-Strike,Strike-UndTree!AV28),0),MAX((2-AmEur)*IF(CallPut=1,UndTree!AV28-Strike,Strike-UndTree!AV28),(UpProb*AW28+DownProb*AW29)*StepDiscount)))</f>
        <v>2.6729543885693743</v>
      </c>
      <c r="AW28" s="17">
        <f>IF(AW$3="","",IF(AW$3=Steps,MAX(IF(CallPut=1,UndTree!AW28-Strike,Strike-UndTree!AW28),0),MAX((2-AmEur)*IF(CallPut=1,UndTree!AW28-Strike,Strike-UndTree!AW28),(UpProb*AX28+DownProb*AX29)*StepDiscount)))</f>
        <v>3.3144697900513518</v>
      </c>
      <c r="AX28" s="17">
        <f>IF(AX$3="","",IF(AX$3=Steps,MAX(IF(CallPut=1,UndTree!AX28-Strike,Strike-UndTree!AX28),0),MAX((2-AmEur)*IF(CallPut=1,UndTree!AX28-Strike,Strike-UndTree!AX28),(UpProb*AY28+DownProb*AY29)*StepDiscount)))</f>
        <v>4.0801406166605991</v>
      </c>
      <c r="AY28" s="17">
        <f>IF(AY$3="","",IF(AY$3=Steps,MAX(IF(CallPut=1,UndTree!AY28-Strike,Strike-UndTree!AY28),0),MAX((2-AmEur)*IF(CallPut=1,UndTree!AY28-Strike,Strike-UndTree!AY28),(UpProb*AZ28+DownProb*AZ29)*StepDiscount)))</f>
        <v>4.9858586020419455</v>
      </c>
      <c r="AZ28" s="17">
        <f>IF(AZ$3="","",IF(AZ$3=Steps,MAX(IF(CallPut=1,UndTree!AZ28-Strike,Strike-UndTree!AZ28),0),MAX((2-AmEur)*IF(CallPut=1,UndTree!AZ28-Strike,Strike-UndTree!AZ28),(UpProb*BA28+DownProb*BA29)*StepDiscount)))</f>
        <v>6.0475637990907902</v>
      </c>
      <c r="BA28" s="17">
        <f>IF(BA$3="","",IF(BA$3=Steps,MAX(IF(CallPut=1,UndTree!BA28-Strike,Strike-UndTree!BA28),0),MAX((2-AmEur)*IF(CallPut=1,UndTree!BA28-Strike,Strike-UndTree!BA28),(UpProb*BB28+DownProb*BB29)*StepDiscount)))</f>
        <v>7.2807549125120827</v>
      </c>
      <c r="BB28" s="17">
        <f>IF(BB$3="","",IF(BB$3=Steps,MAX(IF(CallPut=1,UndTree!BB28-Strike,Strike-UndTree!BB28),0),MAX((2-AmEur)*IF(CallPut=1,UndTree!BB28-Strike,Strike-UndTree!BB28),(UpProb*BC28+DownProb*BC29)*StepDiscount)))</f>
        <v>8.6999489727776336</v>
      </c>
      <c r="BC28" s="17">
        <f>IF(BC$3="","",IF(BC$3=Steps,MAX(IF(CallPut=1,UndTree!BC28-Strike,Strike-UndTree!BC28),0),MAX((2-AmEur)*IF(CallPut=1,UndTree!BC28-Strike,Strike-UndTree!BC28),(UpProb*BD28+DownProb*BD29)*StepDiscount)))</f>
        <v>10.318121350641917</v>
      </c>
      <c r="BD28" s="17">
        <f>IF(BD$3="","",IF(BD$3=Steps,MAX(IF(CallPut=1,UndTree!BD28-Strike,Strike-UndTree!BD28),0),MAX((2-AmEur)*IF(CallPut=1,UndTree!BD28-Strike,Strike-UndTree!BD28),(UpProb*BE28+DownProb*BE29)*StepDiscount)))</f>
        <v>12.146165607151545</v>
      </c>
      <c r="BE28" s="17">
        <f>IF(BE$3="","",IF(BE$3=Steps,MAX(IF(CallPut=1,UndTree!BE28-Strike,Strike-UndTree!BE28),0),MAX((2-AmEur)*IF(CallPut=1,UndTree!BE28-Strike,Strike-UndTree!BE28),(UpProb*BF28+DownProb*BF29)*StepDiscount)))</f>
        <v>14.192418582691321</v>
      </c>
      <c r="BF28" s="17">
        <f>IF(BF$3="","",IF(BF$3=Steps,MAX(IF(CallPut=1,UndTree!BF28-Strike,Strike-UndTree!BF28),0),MAX((2-AmEur)*IF(CallPut=1,UndTree!BF28-Strike,Strike-UndTree!BF28),(UpProb*BG28+DownProb*BG29)*StepDiscount)))</f>
        <v>16.462297941021273</v>
      </c>
      <c r="BG28" s="17">
        <f>IF(BG$3="","",IF(BG$3=Steps,MAX(IF(CallPut=1,UndTree!BG28-Strike,Strike-UndTree!BG28),0),MAX((2-AmEur)*IF(CallPut=1,UndTree!BG28-Strike,Strike-UndTree!BG28),(UpProb*BH28+DownProb*BH29)*StepDiscount)))</f>
        <v>18.958095817122789</v>
      </c>
      <c r="BH28" s="17">
        <f>IF(BH$3="","",IF(BH$3=Steps,MAX(IF(CallPut=1,UndTree!BH28-Strike,Strike-UndTree!BH28),0),MAX((2-AmEur)*IF(CallPut=1,UndTree!BH28-Strike,Strike-UndTree!BH28),(UpProb*BI28+DownProb*BI29)*StepDiscount)))</f>
        <v>21.678962525205062</v>
      </c>
      <c r="BI28" s="17">
        <f>IF(BI$3="","",IF(BI$3=Steps,MAX(IF(CallPut=1,UndTree!BI28-Strike,Strike-UndTree!BI28),0),MAX((2-AmEur)*IF(CallPut=1,UndTree!BI28-Strike,Strike-UndTree!BI28),(UpProb*BJ28+DownProb*BJ29)*StepDiscount)))</f>
        <v>24.621098563620301</v>
      </c>
      <c r="BJ28" s="17">
        <f>IF(BJ$3="","",IF(BJ$3=Steps,MAX(IF(CallPut=1,UndTree!BJ28-Strike,Strike-UndTree!BJ28),0),MAX((2-AmEur)*IF(CallPut=1,UndTree!BJ28-Strike,Strike-UndTree!BJ28),(UpProb*BK28+DownProb*BK29)*StepDiscount)))</f>
        <v>27.778152574636813</v>
      </c>
      <c r="BK28" s="17">
        <f>IF(BK$3="","",IF(BK$3=Steps,MAX(IF(CallPut=1,UndTree!BK28-Strike,Strike-UndTree!BK28),0),MAX((2-AmEur)*IF(CallPut=1,UndTree!BK28-Strike,Strike-UndTree!BK28),(UpProb*BL28+DownProb*BL29)*StepDiscount)))</f>
        <v>31.141799777414981</v>
      </c>
      <c r="BL28" s="17">
        <f>IF(BL$3="","",IF(BL$3=Steps,MAX(IF(CallPut=1,UndTree!BL28-Strike,Strike-UndTree!BL28),0),MAX((2-AmEur)*IF(CallPut=1,UndTree!BL28-Strike,Strike-UndTree!BL28),(UpProb*BM28+DownProb*BM29)*StepDiscount)))</f>
        <v>34.702452943734791</v>
      </c>
      <c r="BM28" s="17">
        <f>IF(BM$3="","",IF(BM$3=Steps,MAX(IF(CallPut=1,UndTree!BM28-Strike,Strike-UndTree!BM28),0),MAX((2-AmEur)*IF(CallPut=1,UndTree!BM28-Strike,Strike-UndTree!BM28),(UpProb*BN28+DownProb*BN29)*StepDiscount)))</f>
        <v>38.450039983298865</v>
      </c>
      <c r="BN28" s="17">
        <f>IF(BN$3="","",IF(BN$3=Steps,MAX(IF(CallPut=1,UndTree!BN28-Strike,Strike-UndTree!BN28),0),MAX((2-AmEur)*IF(CallPut=1,UndTree!BN28-Strike,Strike-UndTree!BN28),(UpProb*BO28+DownProb*BO29)*StepDiscount)))</f>
        <v>42.374772216455739</v>
      </c>
      <c r="BO28" s="17">
        <f>IF(BO$3="","",IF(BO$3=Steps,MAX(IF(CallPut=1,UndTree!BO28-Strike,Strike-UndTree!BO28),0),MAX((2-AmEur)*IF(CallPut=1,UndTree!BO28-Strike,Strike-UndTree!BO28),(UpProb*BP28+DownProb*BP29)*StepDiscount)))</f>
        <v>46.467827996198587</v>
      </c>
      <c r="BP28" s="17">
        <f>IF(BP$3="","",IF(BP$3=Steps,MAX(IF(CallPut=1,UndTree!BP28-Strike,Strike-UndTree!BP28),0),MAX((2-AmEur)*IF(CallPut=1,UndTree!BP28-Strike,Strike-UndTree!BP28),(UpProb*BQ28+DownProb*BQ29)*StepDiscount)))</f>
        <v>50.721888287165683</v>
      </c>
      <c r="BQ28" s="17">
        <f>IF(BQ$3="","",IF(BQ$3=Steps,MAX(IF(CallPut=1,UndTree!BQ28-Strike,Strike-UndTree!BQ28),0),MAX((2-AmEur)*IF(CallPut=1,UndTree!BQ28-Strike,Strike-UndTree!BQ28),(UpProb*BR28+DownProb*BR29)*StepDiscount)))</f>
        <v>55.131482662980069</v>
      </c>
      <c r="BR28" s="17">
        <f>IF(BR$3="","",IF(BR$3=Steps,MAX(IF(CallPut=1,UndTree!BR28-Strike,Strike-UndTree!BR28),0),MAX((2-AmEur)*IF(CallPut=1,UndTree!BR28-Strike,Strike-UndTree!BR28),(UpProb*BS28+DownProb*BS29)*StepDiscount)))</f>
        <v>59.693132272606455</v>
      </c>
      <c r="BS28" s="17">
        <f>IF(BS$3="","",IF(BS$3=Steps,MAX(IF(CallPut=1,UndTree!BS28-Strike,Strike-UndTree!BS28),0),MAX((2-AmEur)*IF(CallPut=1,UndTree!BS28-Strike,Strike-UndTree!BS28),(UpProb*BT28+DownProb*BT29)*StepDiscount)))</f>
        <v>64.405305390270243</v>
      </c>
      <c r="BT28" s="17">
        <f>IF(BT$3="","",IF(BT$3=Steps,MAX(IF(CallPut=1,UndTree!BT28-Strike,Strike-UndTree!BT28),0),MAX((2-AmEur)*IF(CallPut=1,UndTree!BT28-Strike,Strike-UndTree!BT28),(UpProb*BU28+DownProb*BU29)*StepDiscount)))</f>
        <v>69.268225516276345</v>
      </c>
      <c r="BU28" s="17">
        <f>IF(BU$3="","",IF(BU$3=Steps,MAX(IF(CallPut=1,UndTree!BU28-Strike,Strike-UndTree!BU28),0),MAX((2-AmEur)*IF(CallPut=1,UndTree!BU28-Strike,Strike-UndTree!BU28),(UpProb*BV28+DownProb*BV29)*StepDiscount)))</f>
        <v>74.283586961293864</v>
      </c>
      <c r="BV28" s="17">
        <f>IF(BV$3="","",IF(BV$3=Steps,MAX(IF(CallPut=1,UndTree!BV28-Strike,Strike-UndTree!BV28),0),MAX((2-AmEur)*IF(CallPut=1,UndTree!BV28-Strike,Strike-UndTree!BV28),(UpProb*BW28+DownProb*BW29)*StepDiscount)))</f>
        <v>79.454236038480147</v>
      </c>
      <c r="BW28" s="17">
        <f>IF(BW$3="","",IF(BW$3=Steps,MAX(IF(CallPut=1,UndTree!BW28-Strike,Strike-UndTree!BW28),0),MAX((2-AmEur)*IF(CallPut=1,UndTree!BW28-Strike,Strike-UndTree!BW28),(UpProb*BX28+DownProb*BX29)*StepDiscount)))</f>
        <v>84.783867993059857</v>
      </c>
      <c r="BX28" s="17">
        <f>IF(BX$3="","",IF(BX$3=Steps,MAX(IF(CallPut=1,UndTree!BX28-Strike,Strike-UndTree!BX28),0),MAX((2-AmEur)*IF(CallPut=1,UndTree!BX28-Strike,Strike-UndTree!BX28),(UpProb*BY28+DownProb*BY29)*StepDiscount)))</f>
        <v>90.276773960970232</v>
      </c>
      <c r="BY28" s="17">
        <f>IF(BY$3="","",IF(BY$3=Steps,MAX(IF(CallPut=1,UndTree!BY28-Strike,Strike-UndTree!BY28),0),MAX((2-AmEur)*IF(CallPut=1,UndTree!BY28-Strike,Strike-UndTree!BY28),(UpProb*BZ28+DownProb*BZ29)*StepDiscount)))</f>
        <v>95.937653557985556</v>
      </c>
      <c r="BZ28" s="17">
        <f>IF(BZ$3="","",IF(BZ$3=Steps,MAX(IF(CallPut=1,UndTree!BZ28-Strike,Strike-UndTree!BZ28),0),MAX((2-AmEur)*IF(CallPut=1,UndTree!BZ28-Strike,Strike-UndTree!BZ28),(UpProb*CA28+DownProb*CA29)*StepDiscount)))</f>
        <v>101.77149215920647</v>
      </c>
      <c r="CA28" s="17">
        <f>IF(CA$3="","",IF(CA$3=Steps,MAX(IF(CallPut=1,UndTree!CA28-Strike,Strike-UndTree!CA28),0),MAX((2-AmEur)*IF(CallPut=1,UndTree!CA28-Strike,Strike-UndTree!CA28),(UpProb*CB28+DownProb*CB29)*StepDiscount)))</f>
        <v>107.78349099214488</v>
      </c>
      <c r="CB28" s="17">
        <f>IF(CB$3="","",IF(CB$3=Steps,MAX(IF(CallPut=1,UndTree!CB28-Strike,Strike-UndTree!CB28),0),MAX((2-AmEur)*IF(CallPut=1,UndTree!CB28-Strike,Strike-UndTree!CB28),(UpProb*CC28+DownProb*CC29)*StepDiscount)))</f>
        <v>113.97903388397239</v>
      </c>
      <c r="CC28" s="17">
        <f>IF(CC$3="","",IF(CC$3=Steps,MAX(IF(CallPut=1,UndTree!CC28-Strike,Strike-UndTree!CC28),0),MAX((2-AmEur)*IF(CallPut=1,UndTree!CC28-Strike,Strike-UndTree!CC28),(UpProb*CD28+DownProb*CD29)*StepDiscount)))</f>
        <v>120.36367565797015</v>
      </c>
      <c r="CD28" s="17">
        <f>IF(CD$3="","",IF(CD$3=Steps,MAX(IF(CallPut=1,UndTree!CD28-Strike,Strike-UndTree!CD28),0),MAX((2-AmEur)*IF(CallPut=1,UndTree!CD28-Strike,Strike-UndTree!CD28),(UpProb*CE28+DownProb*CE29)*StepDiscount)))</f>
        <v>126.94314127016663</v>
      </c>
      <c r="CE28" s="17">
        <f>IF(CE$3="","",IF(CE$3=Steps,MAX(IF(CallPut=1,UndTree!CE28-Strike,Strike-UndTree!CE28),0),MAX((2-AmEur)*IF(CallPut=1,UndTree!CE28-Strike,Strike-UndTree!CE28),(UpProb*CF28+DownProb*CF29)*StepDiscount)))</f>
        <v>133.72332932051114</v>
      </c>
      <c r="CF28" s="17">
        <f>IF(CF$3="","",IF(CF$3=Steps,MAX(IF(CallPut=1,UndTree!CF28-Strike,Strike-UndTree!CF28),0),MAX((2-AmEur)*IF(CallPut=1,UndTree!CF28-Strike,Strike-UndTree!CF28),(UpProb*CG28+DownProb*CG29)*StepDiscount)))</f>
        <v>140.71031700438698</v>
      </c>
      <c r="CG28" s="17">
        <f>IF(CG$3="","",IF(CG$3=Steps,MAX(IF(CallPut=1,UndTree!CG28-Strike,Strike-UndTree!CG28),0),MAX((2-AmEur)*IF(CallPut=1,UndTree!CG28-Strike,Strike-UndTree!CG28),(UpProb*CH28+DownProb*CH29)*StepDiscount)))</f>
        <v>147.91036548986997</v>
      </c>
      <c r="CH28" s="17">
        <f>IF(CH$3="","",IF(CH$3=Steps,MAX(IF(CallPut=1,UndTree!CH28-Strike,Strike-UndTree!CH28),0),MAX((2-AmEur)*IF(CallPut=1,UndTree!CH28-Strike,Strike-UndTree!CH28),(UpProb*CI28+DownProb*CI29)*StepDiscount)))</f>
        <v>155.32992548705184</v>
      </c>
      <c r="CI28" s="17">
        <f>IF(CI$3="","",IF(CI$3=Steps,MAX(IF(CallPut=1,UndTree!CI28-Strike,Strike-UndTree!CI28),0),MAX((2-AmEur)*IF(CallPut=1,UndTree!CI28-Strike,Strike-UndTree!CI28),(UpProb*CJ28+DownProb*CJ29)*StepDiscount)))</f>
        <v>162.97564298596109</v>
      </c>
      <c r="CJ28" s="17">
        <f>IF(CJ$3="","",IF(CJ$3=Steps,MAX(IF(CallPut=1,UndTree!CJ28-Strike,Strike-UndTree!CJ28),0),MAX((2-AmEur)*IF(CallPut=1,UndTree!CJ28-Strike,Strike-UndTree!CJ28),(UpProb*CK28+DownProb*CK29)*StepDiscount)))</f>
        <v>170.85436516818612</v>
      </c>
      <c r="CK28" s="17">
        <f>IF(CK$3="","",IF(CK$3=Steps,MAX(IF(CallPut=1,UndTree!CK28-Strike,Strike-UndTree!CK28),0),MAX((2-AmEur)*IF(CallPut=1,UndTree!CK28-Strike,Strike-UndTree!CK28),(UpProb*CL28+DownProb*CL29)*StepDiscount)))</f>
        <v>178.97314649745891</v>
      </c>
      <c r="CL28" s="17">
        <f>IF(CL$3="","",IF(CL$3=Steps,MAX(IF(CallPut=1,UndTree!CL28-Strike,Strike-UndTree!CL28),0),MAX((2-AmEur)*IF(CallPut=1,UndTree!CL28-Strike,Strike-UndTree!CL28),(UpProb*CM28+DownProb*CM29)*StepDiscount)))</f>
        <v>187.33925499461756</v>
      </c>
      <c r="CM28" s="17">
        <f>IF(CM$3="","",IF(CM$3=Steps,MAX(IF(CallPut=1,UndTree!CM28-Strike,Strike-UndTree!CM28),0),MAX((2-AmEur)*IF(CallPut=1,UndTree!CM28-Strike,Strike-UndTree!CM28),(UpProb*CN28+DownProb*CN29)*StepDiscount)))</f>
        <v>195.96017870252894</v>
      </c>
      <c r="CN28" s="17">
        <f>IF(CN$3="","",IF(CN$3=Steps,MAX(IF(CallPut=1,UndTree!CN28-Strike,Strike-UndTree!CN28),0),MAX((2-AmEur)*IF(CallPut=1,UndTree!CN28-Strike,Strike-UndTree!CN28),(UpProb*CO28+DownProb*CO29)*StepDiscount)))</f>
        <v>204.8436323467225</v>
      </c>
      <c r="CO28" s="17">
        <f>IF(CO$3="","",IF(CO$3=Steps,MAX(IF(CallPut=1,UndTree!CO28-Strike,Strike-UndTree!CO28),0),MAX((2-AmEur)*IF(CallPut=1,UndTree!CO28-Strike,Strike-UndTree!CO28),(UpProb*CP28+DownProb*CP29)*StepDiscount)))</f>
        <v>213.99756419765745</v>
      </c>
      <c r="CP28" s="17">
        <f>IF(CP$3="","",IF(CP$3=Steps,MAX(IF(CallPut=1,UndTree!CP28-Strike,Strike-UndTree!CP28),0),MAX((2-AmEur)*IF(CallPut=1,UndTree!CP28-Strike,Strike-UndTree!CP28),(UpProb*CQ28+DownProb*CQ29)*StepDiscount)))</f>
        <v>223.43016314072685</v>
      </c>
      <c r="CQ28" s="17">
        <f>IF(CQ$3="","",IF(CQ$3=Steps,MAX(IF(CallPut=1,UndTree!CQ28-Strike,Strike-UndTree!CQ28),0),MAX((2-AmEur)*IF(CallPut=1,UndTree!CQ28-Strike,Strike-UndTree!CQ28),(UpProb*CR28+DownProb*CR29)*StepDiscount)))</f>
        <v>233.14986596028569</v>
      </c>
      <c r="CR28" s="17">
        <f>IF(CR$3="","",IF(CR$3=Steps,MAX(IF(CallPut=1,UndTree!CR28-Strike,Strike-UndTree!CR28),0),MAX((2-AmEur)*IF(CallPut=1,UndTree!CR28-Strike,Strike-UndTree!CR28),(UpProb*CS28+DownProb*CS29)*StepDiscount)))</f>
        <v>243.16536484418268</v>
      </c>
      <c r="CS28" s="17">
        <f>IF(CS$3="","",IF(CS$3=Steps,MAX(IF(CallPut=1,UndTree!CS28-Strike,Strike-UndTree!CS28),0),MAX((2-AmEur)*IF(CallPut=1,UndTree!CS28-Strike,Strike-UndTree!CS28),(UpProb*CT28+DownProb*CT29)*StepDiscount)))</f>
        <v>253.48561511547075</v>
      </c>
      <c r="CT28" s="17">
        <f>IF(CT$3="","",IF(CT$3=Steps,MAX(IF(CallPut=1,UndTree!CT28-Strike,Strike-UndTree!CT28),0),MAX((2-AmEur)*IF(CallPut=1,UndTree!CT28-Strike,Strike-UndTree!CT28),(UpProb*CU28+DownProb*CU29)*StepDiscount)))</f>
        <v>264.119843198176</v>
      </c>
      <c r="CU28" s="17">
        <f>IF(CU$3="","",IF(CU$3=Steps,MAX(IF(CallPut=1,UndTree!CU28-Strike,Strike-UndTree!CU28),0),MAX((2-AmEur)*IF(CallPut=1,UndTree!CU28-Strike,Strike-UndTree!CU28),(UpProb*CV28+DownProb*CV29)*StepDiscount)))</f>
        <v>275.07755482421004</v>
      </c>
      <c r="CV28" s="17">
        <f>IF(CV$3="","",IF(CV$3=Steps,MAX(IF(CallPut=1,UndTree!CV28-Strike,Strike-UndTree!CV28),0),MAX((2-AmEur)*IF(CallPut=1,UndTree!CV28-Strike,Strike-UndTree!CV28),(UpProb*CW28+DownProb*CW29)*StepDiscount)))</f>
        <v>286.36854348872743</v>
      </c>
      <c r="CW28" s="17">
        <f>IF(CW$3="","",IF(CW$3=Steps,MAX(IF(CallPut=1,UndTree!CW28-Strike,Strike-UndTree!CW28),0),MAX((2-AmEur)*IF(CallPut=1,UndTree!CW28-Strike,Strike-UndTree!CW28),(UpProb*CX28+DownProb*CX29)*StepDiscount)))</f>
        <v>298.00289916145721</v>
      </c>
      <c r="CX28" s="17">
        <f>IF(CX$3="","",IF(CX$3=Steps,MAX(IF(CallPut=1,UndTree!CX28-Strike,Strike-UndTree!CX28),0),MAX((2-AmEur)*IF(CallPut=1,UndTree!CX28-Strike,Strike-UndTree!CX28),(UpProb*CY28+DownProb*CY29)*StepDiscount)))</f>
        <v>309.99101726178071</v>
      </c>
      <c r="CY28" s="17">
        <f>IF(CY$3="","",IF(CY$3=Steps,MAX(IF(CallPut=1,UndTree!CY28-Strike,Strike-UndTree!CY28),0),MAX((2-AmEur)*IF(CallPut=1,UndTree!CY28-Strike,Strike-UndTree!CY28),(UpProb*CZ28+DownProb*CZ29)*StepDiscount)))</f>
        <v>322.34360790557736</v>
      </c>
      <c r="CZ28" s="17">
        <f>IF(CZ$3="","",IF(CZ$3=Steps,MAX(IF(CallPut=1,UndTree!CZ28-Strike,Strike-UndTree!CZ28),0),MAX((2-AmEur)*IF(CallPut=1,UndTree!CZ28-Strike,Strike-UndTree!CZ28),(UpProb*DA28+DownProb*DA29)*StepDiscount)))</f>
        <v>335.07170543204143</v>
      </c>
      <c r="DA28" s="17">
        <f>IF(DA$3="","",IF(DA$3=Steps,MAX(IF(CallPut=1,UndTree!DA28-Strike,Strike-UndTree!DA28),0),MAX((2-AmEur)*IF(CallPut=1,UndTree!DA28-Strike,Strike-UndTree!DA28),(UpProb*DB28+DownProb*DB29)*StepDiscount)))</f>
        <v>348.18667821863357</v>
      </c>
      <c r="DB28" s="17">
        <f>IF(DB$3="","",IF(DB$3=Steps,MAX(IF(CallPut=1,UndTree!DB28-Strike,Strike-UndTree!DB28),0),MAX((2-AmEur)*IF(CallPut=1,UndTree!DB28-Strike,Strike-UndTree!DB28),(UpProb*DC28+DownProb*DC29)*StepDiscount)))</f>
        <v>361.70023879209998</v>
      </c>
    </row>
    <row r="29" spans="1:106" x14ac:dyDescent="0.2">
      <c r="A29">
        <f>ExDivTree!A29</f>
        <v>3.2229534528623754E+23</v>
      </c>
      <c r="B29" s="71">
        <f>ExDivTree!B29</f>
        <v>1.2712309891550995E-7</v>
      </c>
      <c r="C29" s="71">
        <f>ExDivTree!C29</f>
        <v>1.4547086839054137E-7</v>
      </c>
      <c r="D29" s="177">
        <f>ExDivTree!D29</f>
        <v>25</v>
      </c>
      <c r="AD29" s="17">
        <f>IF(AD$3="","",IF(AD$3=Steps,MAX(IF(CallPut=1,UndTree!AD29-Strike,Strike-UndTree!AD29),0),MAX((2-AmEur)*IF(CallPut=1,UndTree!AD29-Strike,Strike-UndTree!AD29),(UpProb*AE29+DownProb*AE30)*StepDiscount)))</f>
        <v>8.0019933109661458E-3</v>
      </c>
      <c r="AE29" s="17">
        <f>IF(AE$3="","",IF(AE$3=Steps,MAX(IF(CallPut=1,UndTree!AE29-Strike,Strike-UndTree!AE29),0),MAX((2-AmEur)*IF(CallPut=1,UndTree!AE29-Strike,Strike-UndTree!AE29),(UpProb*AF29+DownProb*AF30)*StepDiscount)))</f>
        <v>1.1260534707952121E-2</v>
      </c>
      <c r="AF29" s="17">
        <f>IF(AF$3="","",IF(AF$3=Steps,MAX(IF(CallPut=1,UndTree!AF29-Strike,Strike-UndTree!AF29),0),MAX((2-AmEur)*IF(CallPut=1,UndTree!AF29-Strike,Strike-UndTree!AF29),(UpProb*AG29+DownProb*AG30)*StepDiscount)))</f>
        <v>1.5769422012578988E-2</v>
      </c>
      <c r="AG29" s="17">
        <f>IF(AG$3="","",IF(AG$3=Steps,MAX(IF(CallPut=1,UndTree!AG29-Strike,Strike-UndTree!AG29),0),MAX((2-AmEur)*IF(CallPut=1,UndTree!AG29-Strike,Strike-UndTree!AG29),(UpProb*AH29+DownProb*AH30)*StepDiscount)))</f>
        <v>2.1974385033497877E-2</v>
      </c>
      <c r="AH29" s="17">
        <f>IF(AH$3="","",IF(AH$3=Steps,MAX(IF(CallPut=1,UndTree!AH29-Strike,Strike-UndTree!AH29),0),MAX((2-AmEur)*IF(CallPut=1,UndTree!AH29-Strike,Strike-UndTree!AH29),(UpProb*AI29+DownProb*AI30)*StepDiscount)))</f>
        <v>3.0465533926161487E-2</v>
      </c>
      <c r="AI29" s="17">
        <f>IF(AI$3="","",IF(AI$3=Steps,MAX(IF(CallPut=1,UndTree!AI29-Strike,Strike-UndTree!AI29),0),MAX((2-AmEur)*IF(CallPut=1,UndTree!AI29-Strike,Strike-UndTree!AI29),(UpProb*AJ29+DownProb*AJ30)*StepDiscount)))</f>
        <v>4.201821157723943E-2</v>
      </c>
      <c r="AJ29" s="17">
        <f>IF(AJ$3="","",IF(AJ$3=Steps,MAX(IF(CallPut=1,UndTree!AJ29-Strike,Strike-UndTree!AJ29),0),MAX((2-AmEur)*IF(CallPut=1,UndTree!AJ29-Strike,Strike-UndTree!AJ29),(UpProb*AK29+DownProb*AK30)*StepDiscount)))</f>
        <v>5.7643102562424504E-2</v>
      </c>
      <c r="AK29" s="17">
        <f>IF(AK$3="","",IF(AK$3=Steps,MAX(IF(CallPut=1,UndTree!AK29-Strike,Strike-UndTree!AK29),0),MAX((2-AmEur)*IF(CallPut=1,UndTree!AK29-Strike,Strike-UndTree!AK29),(UpProb*AL29+DownProb*AL30)*StepDiscount)))</f>
        <v>7.8646829232980137E-2</v>
      </c>
      <c r="AL29" s="17">
        <f>IF(AL$3="","",IF(AL$3=Steps,MAX(IF(CallPut=1,UndTree!AL29-Strike,Strike-UndTree!AL29),0),MAX((2-AmEur)*IF(CallPut=1,UndTree!AL29-Strike,Strike-UndTree!AL29),(UpProb*AM29+DownProb*AM30)*StepDiscount)))</f>
        <v>0.10670409187420879</v>
      </c>
      <c r="AM29" s="17">
        <f>IF(AM$3="","",IF(AM$3=Steps,MAX(IF(CallPut=1,UndTree!AM29-Strike,Strike-UndTree!AM29),0),MAX((2-AmEur)*IF(CallPut=1,UndTree!AM29-Strike,Strike-UndTree!AM29),(UpProb*AN29+DownProb*AN30)*StepDiscount)))</f>
        <v>0.14394206736466153</v>
      </c>
      <c r="AN29" s="17">
        <f>IF(AN$3="","",IF(AN$3=Steps,MAX(IF(CallPut=1,UndTree!AN29-Strike,Strike-UndTree!AN29),0),MAX((2-AmEur)*IF(CallPut=1,UndTree!AN29-Strike,Strike-UndTree!AN29),(UpProb*AO29+DownProb*AO30)*StepDiscount)))</f>
        <v>0.19303722196017881</v>
      </c>
      <c r="AO29" s="17">
        <f>IF(AO$3="","",IF(AO$3=Steps,MAX(IF(CallPut=1,UndTree!AO29-Strike,Strike-UndTree!AO29),0),MAX((2-AmEur)*IF(CallPut=1,UndTree!AO29-Strike,Strike-UndTree!AO29),(UpProb*AP29+DownProb*AP30)*StepDiscount)))</f>
        <v>0.25732387264815226</v>
      </c>
      <c r="AP29" s="17">
        <f>IF(AP$3="","",IF(AP$3=Steps,MAX(IF(CallPut=1,UndTree!AP29-Strike,Strike-UndTree!AP29),0),MAX((2-AmEur)*IF(CallPut=1,UndTree!AP29-Strike,Strike-UndTree!AP29),(UpProb*AQ29+DownProb*AQ30)*StepDiscount)))</f>
        <v>0.34091271008355878</v>
      </c>
      <c r="AQ29" s="17">
        <f>IF(AQ$3="","",IF(AQ$3=Steps,MAX(IF(CallPut=1,UndTree!AQ29-Strike,Strike-UndTree!AQ29),0),MAX((2-AmEur)*IF(CallPut=1,UndTree!AQ29-Strike,Strike-UndTree!AQ29),(UpProb*AR29+DownProb*AR30)*StepDiscount)))</f>
        <v>0.44881605424083826</v>
      </c>
      <c r="AR29" s="17">
        <f>IF(AR$3="","",IF(AR$3=Steps,MAX(IF(CallPut=1,UndTree!AR29-Strike,Strike-UndTree!AR29),0),MAX((2-AmEur)*IF(CallPut=1,UndTree!AR29-Strike,Strike-UndTree!AR29),(UpProb*AS29+DownProb*AS30)*StepDiscount)))</f>
        <v>0.58707486107269757</v>
      </c>
      <c r="AS29" s="17">
        <f>IF(AS$3="","",IF(AS$3=Steps,MAX(IF(CallPut=1,UndTree!AS29-Strike,Strike-UndTree!AS29),0),MAX((2-AmEur)*IF(CallPut=1,UndTree!AS29-Strike,Strike-UndTree!AS29),(UpProb*AT29+DownProb*AT30)*StepDiscount)))</f>
        <v>0.76288048761650074</v>
      </c>
      <c r="AT29" s="17">
        <f>IF(AT$3="","",IF(AT$3=Steps,MAX(IF(CallPut=1,UndTree!AT29-Strike,Strike-UndTree!AT29),0),MAX((2-AmEur)*IF(CallPut=1,UndTree!AT29-Strike,Strike-UndTree!AT29),(UpProb*AU29+DownProb*AU30)*StepDiscount)))</f>
        <v>0.9846820648363015</v>
      </c>
      <c r="AU29" s="17">
        <f>IF(AU$3="","",IF(AU$3=Steps,MAX(IF(CallPut=1,UndTree!AU29-Strike,Strike-UndTree!AU29),0),MAX((2-AmEur)*IF(CallPut=1,UndTree!AU29-Strike,Strike-UndTree!AU29),(UpProb*AV29+DownProb*AV30)*StepDiscount)))</f>
        <v>1.2622682029091095</v>
      </c>
      <c r="AV29" s="17">
        <f>IF(AV$3="","",IF(AV$3=Steps,MAX(IF(CallPut=1,UndTree!AV29-Strike,Strike-UndTree!AV29),0),MAX((2-AmEur)*IF(CallPut=1,UndTree!AV29-Strike,Strike-UndTree!AV29),(UpProb*AW29+DownProb*AW30)*StepDiscount)))</f>
        <v>1.6068099209976019</v>
      </c>
      <c r="AW29" s="17">
        <f>IF(AW$3="","",IF(AW$3=Steps,MAX(IF(CallPut=1,UndTree!AW29-Strike,Strike-UndTree!AW29),0),MAX((2-AmEur)*IF(CallPut=1,UndTree!AW29-Strike,Strike-UndTree!AW29),(UpProb*AX29+DownProb*AX30)*StepDiscount)))</f>
        <v>2.0308504866123198</v>
      </c>
      <c r="AX29" s="17">
        <f>IF(AX$3="","",IF(AX$3=Steps,MAX(IF(CallPut=1,UndTree!AX29-Strike,Strike-UndTree!AX29),0),MAX((2-AmEur)*IF(CallPut=1,UndTree!AX29-Strike,Strike-UndTree!AX29),(UpProb*AY29+DownProb*AY30)*StepDiscount)))</f>
        <v>2.5482276618328212</v>
      </c>
      <c r="AY29" s="17">
        <f>IF(AY$3="","",IF(AY$3=Steps,MAX(IF(CallPut=1,UndTree!AY29-Strike,Strike-UndTree!AY29),0),MAX((2-AmEur)*IF(CallPut=1,UndTree!AY29-Strike,Strike-UndTree!AY29),(UpProb*AZ29+DownProb*AZ30)*StepDiscount)))</f>
        <v>3.1739151036946582</v>
      </c>
      <c r="AZ29" s="17">
        <f>IF(AZ$3="","",IF(AZ$3=Steps,MAX(IF(CallPut=1,UndTree!AZ29-Strike,Strike-UndTree!AZ29),0),MAX((2-AmEur)*IF(CallPut=1,UndTree!AZ29-Strike,Strike-UndTree!AZ29),(UpProb*BA29+DownProb*BA30)*StepDiscount)))</f>
        <v>3.9237727427779587</v>
      </c>
      <c r="BA29" s="17">
        <f>IF(BA$3="","",IF(BA$3=Steps,MAX(IF(CallPut=1,UndTree!BA29-Strike,Strike-UndTree!BA29),0),MAX((2-AmEur)*IF(CallPut=1,UndTree!BA29-Strike,Strike-UndTree!BA29),(UpProb*BB29+DownProb*BB30)*StepDiscount)))</f>
        <v>4.8142011499573254</v>
      </c>
      <c r="BB29" s="17">
        <f>IF(BB$3="","",IF(BB$3=Steps,MAX(IF(CallPut=1,UndTree!BB29-Strike,Strike-UndTree!BB29),0),MAX((2-AmEur)*IF(CallPut=1,UndTree!BB29-Strike,Strike-UndTree!BB29),(UpProb*BC29+DownProb*BC30)*StepDiscount)))</f>
        <v>5.8617022799933816</v>
      </c>
      <c r="BC29" s="17">
        <f>IF(BC$3="","",IF(BC$3=Steps,MAX(IF(CallPut=1,UndTree!BC29-Strike,Strike-UndTree!BC29),0),MAX((2-AmEur)*IF(CallPut=1,UndTree!BC29-Strike,Strike-UndTree!BC29),(UpProb*BD29+DownProb*BD30)*StepDiscount)))</f>
        <v>7.0823583391327549</v>
      </c>
      <c r="BD29" s="17">
        <f>IF(BD$3="","",IF(BD$3=Steps,MAX(IF(CallPut=1,UndTree!BD29-Strike,Strike-UndTree!BD29),0),MAX((2-AmEur)*IF(CallPut=1,UndTree!BD29-Strike,Strike-UndTree!BD29),(UpProb*BE29+DownProb*BE30)*StepDiscount)))</f>
        <v>8.4912512676643477</v>
      </c>
      <c r="BE29" s="17">
        <f>IF(BE$3="","",IF(BE$3=Steps,MAX(IF(CallPut=1,UndTree!BE29-Strike,Strike-UndTree!BE29),0),MAX((2-AmEur)*IF(CallPut=1,UndTree!BE29-Strike,Strike-UndTree!BE29),(UpProb*BF29+DownProb*BF30)*StepDiscount)))</f>
        <v>10.101856434040057</v>
      </c>
      <c r="BF29" s="17">
        <f>IF(BF$3="","",IF(BF$3=Steps,MAX(IF(CallPut=1,UndTree!BF29-Strike,Strike-UndTree!BF29),0),MAX((2-AmEur)*IF(CallPut=1,UndTree!BF29-Strike,Strike-UndTree!BF29),(UpProb*BG29+DownProb*BG30)*StepDiscount)))</f>
        <v>11.925454169979586</v>
      </c>
      <c r="BG29" s="17">
        <f>IF(BG$3="","",IF(BG$3=Steps,MAX(IF(CallPut=1,UndTree!BG29-Strike,Strike-UndTree!BG29),0),MAX((2-AmEur)*IF(CallPut=1,UndTree!BG29-Strike,Strike-UndTree!BG29),(UpProb*BH29+DownProb*BH30)*StepDiscount)))</f>
        <v>13.970609998443887</v>
      </c>
      <c r="BH29" s="17">
        <f>IF(BH$3="","",IF(BH$3=Steps,MAX(IF(CallPut=1,UndTree!BH29-Strike,Strike-UndTree!BH29),0),MAX((2-AmEur)*IF(CallPut=1,UndTree!BH29-Strike,Strike-UndTree!BH29),(UpProb*BI29+DownProb*BI30)*StepDiscount)))</f>
        <v>16.242776993347476</v>
      </c>
      <c r="BI29" s="17">
        <f>IF(BI$3="","",IF(BI$3=Steps,MAX(IF(CallPut=1,UndTree!BI29-Strike,Strike-UndTree!BI29),0),MAX((2-AmEur)*IF(CallPut=1,UndTree!BI29-Strike,Strike-UndTree!BI29),(UpProb*BJ29+DownProb*BJ30)*StepDiscount)))</f>
        <v>18.744070066353384</v>
      </c>
      <c r="BJ29" s="17">
        <f>IF(BJ$3="","",IF(BJ$3=Steps,MAX(IF(CallPut=1,UndTree!BJ29-Strike,Strike-UndTree!BJ29),0),MAX((2-AmEur)*IF(CallPut=1,UndTree!BJ29-Strike,Strike-UndTree!BJ29),(UpProb*BK29+DownProb*BK30)*StepDiscount)))</f>
        <v>21.473251124923809</v>
      </c>
      <c r="BK29" s="17">
        <f>IF(BK$3="","",IF(BK$3=Steps,MAX(IF(CallPut=1,UndTree!BK29-Strike,Strike-UndTree!BK29),0),MAX((2-AmEur)*IF(CallPut=1,UndTree!BK29-Strike,Strike-UndTree!BK29),(UpProb*BL29+DownProb*BL30)*StepDiscount)))</f>
        <v>24.425946019695729</v>
      </c>
      <c r="BL29" s="17">
        <f>IF(BL$3="","",IF(BL$3=Steps,MAX(IF(CallPut=1,UndTree!BL29-Strike,Strike-UndTree!BL29),0),MAX((2-AmEur)*IF(CallPut=1,UndTree!BL29-Strike,Strike-UndTree!BL29),(UpProb*BM29+DownProb*BM30)*StepDiscount)))</f>
        <v>27.595090340744584</v>
      </c>
      <c r="BM29" s="17">
        <f>IF(BM$3="","",IF(BM$3=Steps,MAX(IF(CallPut=1,UndTree!BM29-Strike,Strike-UndTree!BM29),0),MAX((2-AmEur)*IF(CallPut=1,UndTree!BM29-Strike,Strike-UndTree!BM29),(UpProb*BN29+DownProb*BN30)*StepDiscount)))</f>
        <v>30.971574180106131</v>
      </c>
      <c r="BN29" s="17">
        <f>IF(BN$3="","",IF(BN$3=Steps,MAX(IF(CallPut=1,UndTree!BN29-Strike,Strike-UndTree!BN29),0),MAX((2-AmEur)*IF(CallPut=1,UndTree!BN29-Strike,Strike-UndTree!BN29),(UpProb*BO29+DownProb*BO30)*StepDiscount)))</f>
        <v>34.545029899861952</v>
      </c>
      <c r="BO29" s="17">
        <f>IF(BO$3="","",IF(BO$3=Steps,MAX(IF(CallPut=1,UndTree!BO29-Strike,Strike-UndTree!BO29),0),MAX((2-AmEur)*IF(CallPut=1,UndTree!BO29-Strike,Strike-UndTree!BO29),(UpProb*BP29+DownProb*BP30)*StepDiscount)))</f>
        <v>38.304686316386878</v>
      </c>
      <c r="BP29" s="17">
        <f>IF(BP$3="","",IF(BP$3=Steps,MAX(IF(CallPut=1,UndTree!BP29-Strike,Strike-UndTree!BP29),0),MAX((2-AmEur)*IF(CallPut=1,UndTree!BP29-Strike,Strike-UndTree!BP29),(UpProb*BQ29+DownProb*BQ30)*StepDiscount)))</f>
        <v>42.240201873732914</v>
      </c>
      <c r="BQ29" s="17">
        <f>IF(BQ$3="","",IF(BQ$3=Steps,MAX(IF(CallPut=1,UndTree!BQ29-Strike,Strike-UndTree!BQ29),0),MAX((2-AmEur)*IF(CallPut=1,UndTree!BQ29-Strike,Strike-UndTree!BQ29),(UpProb*BR29+DownProb*BR30)*StepDiscount)))</f>
        <v>46.342391377204898</v>
      </c>
      <c r="BR29" s="17">
        <f>IF(BR$3="","",IF(BR$3=Steps,MAX(IF(CallPut=1,UndTree!BR29-Strike,Strike-UndTree!BR29),0),MAX((2-AmEur)*IF(CallPut=1,UndTree!BR29-Strike,Strike-UndTree!BR29),(UpProb*BS29+DownProb*BS30)*StepDiscount)))</f>
        <v>50.603776465985966</v>
      </c>
      <c r="BS29" s="17">
        <f>IF(BS$3="","",IF(BS$3=Steps,MAX(IF(CallPut=1,UndTree!BS29-Strike,Strike-UndTree!BS29),0),MAX((2-AmEur)*IF(CallPut=1,UndTree!BS29-Strike,Strike-UndTree!BS29),(UpProb*BT29+DownProb*BT30)*StepDiscount)))</f>
        <v>55.01891714295369</v>
      </c>
      <c r="BT29" s="17">
        <f>IF(BT$3="","",IF(BT$3=Steps,MAX(IF(CallPut=1,UndTree!BT29-Strike,Strike-UndTree!BT29),0),MAX((2-AmEur)*IF(CallPut=1,UndTree!BT29-Strike,Strike-UndTree!BT29),(UpProb*BU29+DownProb*BU30)*StepDiscount)))</f>
        <v>59.584515510482561</v>
      </c>
      <c r="BU29" s="17">
        <f>IF(BU$3="","",IF(BU$3=Steps,MAX(IF(CallPut=1,UndTree!BU29-Strike,Strike-UndTree!BU29),0),MAX((2-AmEur)*IF(CallPut=1,UndTree!BU29-Strike,Strike-UndTree!BU29),(UpProb*BV29+DownProb*BV30)*StepDiscount)))</f>
        <v>64.299316676985626</v>
      </c>
      <c r="BV29" s="17">
        <f>IF(BV$3="","",IF(BV$3=Steps,MAX(IF(CallPut=1,UndTree!BV29-Strike,Strike-UndTree!BV29),0),MAX((2-AmEur)*IF(CallPut=1,UndTree!BV29-Strike,Strike-UndTree!BV29),(UpProb*BW29+DownProb*BW30)*StepDiscount)))</f>
        <v>69.163858615967783</v>
      </c>
      <c r="BW29" s="17">
        <f>IF(BW$3="","",IF(BW$3=Steps,MAX(IF(CallPut=1,UndTree!BW29-Strike,Strike-UndTree!BW29),0),MAX((2-AmEur)*IF(CallPut=1,UndTree!BW29-Strike,Strike-UndTree!BW29),(UpProb*BX29+DownProb*BX30)*StepDiscount)))</f>
        <v>74.180137200562072</v>
      </c>
      <c r="BX29" s="17">
        <f>IF(BX$3="","",IF(BX$3=Steps,MAX(IF(CallPut=1,UndTree!BX29-Strike,Strike-UndTree!BX29),0),MAX((2-AmEur)*IF(CallPut=1,UndTree!BX29-Strike,Strike-UndTree!BX29),(UpProb*BY29+DownProb*BY30)*StepDiscount)))</f>
        <v>79.351252518259059</v>
      </c>
      <c r="BY29" s="17">
        <f>IF(BY$3="","",IF(BY$3=Steps,MAX(IF(CallPut=1,UndTree!BY29-Strike,Strike-UndTree!BY29),0),MAX((2-AmEur)*IF(CallPut=1,UndTree!BY29-Strike,Strike-UndTree!BY29),(UpProb*BZ29+DownProb*BZ30)*StepDiscount)))</f>
        <v>84.681089583170092</v>
      </c>
      <c r="BZ29" s="17">
        <f>IF(BZ$3="","",IF(BZ$3=Steps,MAX(IF(CallPut=1,UndTree!BZ29-Strike,Strike-UndTree!BZ29),0),MAX((2-AmEur)*IF(CallPut=1,UndTree!BZ29-Strike,Strike-UndTree!BZ29),(UpProb*CA29+DownProb*CA30)*StepDiscount)))</f>
        <v>90.174065693151178</v>
      </c>
      <c r="CA29" s="17">
        <f>IF(CA$3="","",IF(CA$3=Steps,MAX(IF(CallPut=1,UndTree!CA29-Strike,Strike-UndTree!CA29),0),MAX((2-AmEur)*IF(CallPut=1,UndTree!CA29-Strike,Strike-UndTree!CA29),(UpProb*CB29+DownProb*CB30)*StepDiscount)))</f>
        <v>95.834954485464095</v>
      </c>
      <c r="CB29" s="17">
        <f>IF(CB$3="","",IF(CB$3=Steps,MAX(IF(CallPut=1,UndTree!CB29-Strike,Strike-UndTree!CB29),0),MAX((2-AmEur)*IF(CallPut=1,UndTree!CB29-Strike,Strike-UndTree!CB29),(UpProb*CC29+DownProb*CC30)*StepDiscount)))</f>
        <v>101.66877910709572</v>
      </c>
      <c r="CC29" s="17">
        <f>IF(CC$3="","",IF(CC$3=Steps,MAX(IF(CallPut=1,UndTree!CC29-Strike,Strike-UndTree!CC29),0),MAX((2-AmEur)*IF(CallPut=1,UndTree!CC29-Strike,Strike-UndTree!CC29),(UpProb*CD29+DownProb*CD30)*StepDiscount)))</f>
        <v>107.68075716264195</v>
      </c>
      <c r="CD29" s="17">
        <f>IF(CD$3="","",IF(CD$3=Steps,MAX(IF(CallPut=1,UndTree!CD29-Strike,Strike-UndTree!CD29),0),MAX((2-AmEur)*IF(CallPut=1,UndTree!CD29-Strike,Strike-UndTree!CD29),(UpProb*CE29+DownProb*CE30)*StepDiscount)))</f>
        <v>113.87627830123778</v>
      </c>
      <c r="CE29" s="17">
        <f>IF(CE$3="","",IF(CE$3=Steps,MAX(IF(CallPut=1,UndTree!CE29-Strike,Strike-UndTree!CE29),0),MAX((2-AmEur)*IF(CallPut=1,UndTree!CE29-Strike,Strike-UndTree!CE29),(UpProb*CF29+DownProb*CF30)*StepDiscount)))</f>
        <v>120.26089895449745</v>
      </c>
      <c r="CF29" s="17">
        <f>IF(CF$3="","",IF(CF$3=Steps,MAX(IF(CallPut=1,UndTree!CF29-Strike,Strike-UndTree!CF29),0),MAX((2-AmEur)*IF(CallPut=1,UndTree!CF29-Strike,Strike-UndTree!CF29),(UpProb*CG29+DownProb*CG30)*StepDiscount)))</f>
        <v>126.84034440339857</v>
      </c>
      <c r="CG29" s="17">
        <f>IF(CG$3="","",IF(CG$3=Steps,MAX(IF(CallPut=1,UndTree!CG29-Strike,Strike-UndTree!CG29),0),MAX((2-AmEur)*IF(CallPut=1,UndTree!CG29-Strike,Strike-UndTree!CG29),(UpProb*CH29+DownProb*CH30)*StepDiscount)))</f>
        <v>133.62051330701343</v>
      </c>
      <c r="CH29" s="17">
        <f>IF(CH$3="","",IF(CH$3=Steps,MAX(IF(CallPut=1,UndTree!CH29-Strike,Strike-UndTree!CH29),0),MAX((2-AmEur)*IF(CallPut=1,UndTree!CH29-Strike,Strike-UndTree!CH29),(UpProb*CI29+DownProb*CI30)*StepDiscount)))</f>
        <v>140.60748289235693</v>
      </c>
      <c r="CI29" s="17">
        <f>IF(CI$3="","",IF(CI$3=Steps,MAX(IF(CallPut=1,UndTree!CI29-Strike,Strike-UndTree!CI29),0),MAX((2-AmEur)*IF(CallPut=1,UndTree!CI29-Strike,Strike-UndTree!CI29),(UpProb*CJ29+DownProb*CJ30)*StepDiscount)))</f>
        <v>147.80751436009459</v>
      </c>
      <c r="CJ29" s="17">
        <f>IF(CJ$3="","",IF(CJ$3=Steps,MAX(IF(CallPut=1,UndTree!CJ29-Strike,Strike-UndTree!CJ29),0),MAX((2-AmEur)*IF(CallPut=1,UndTree!CJ29-Strike,Strike-UndTree!CJ29),(UpProb*CK29+DownProb*CK30)*StepDiscount)))</f>
        <v>155.22705845389447</v>
      </c>
      <c r="CK29" s="17">
        <f>IF(CK$3="","",IF(CK$3=Steps,MAX(IF(CallPut=1,UndTree!CK29-Strike,Strike-UndTree!CK29),0),MAX((2-AmEur)*IF(CallPut=1,UndTree!CK29-Strike,Strike-UndTree!CK29),(UpProb*CL29+DownProb*CL30)*StepDiscount)))</f>
        <v>162.87276119837759</v>
      </c>
      <c r="CL29" s="17">
        <f>IF(CL$3="","",IF(CL$3=Steps,MAX(IF(CallPut=1,UndTree!CL29-Strike,Strike-UndTree!CL29),0),MAX((2-AmEur)*IF(CallPut=1,UndTree!CL29-Strike,Strike-UndTree!CL29),(UpProb*CM29+DownProb*CM30)*StepDiscount)))</f>
        <v>170.7514698107712</v>
      </c>
      <c r="CM29" s="17">
        <f>IF(CM$3="","",IF(CM$3=Steps,MAX(IF(CallPut=1,UndTree!CM29-Strike,Strike-UndTree!CM29),0),MAX((2-AmEur)*IF(CallPut=1,UndTree!CM29-Strike,Strike-UndTree!CM29),(UpProb*CN29+DownProb*CN30)*StepDiscount)))</f>
        <v>178.87023879152429</v>
      </c>
      <c r="CN29" s="17">
        <f>IF(CN$3="","",IF(CN$3=Steps,MAX(IF(CallPut=1,UndTree!CN29-Strike,Strike-UndTree!CN29),0),MAX((2-AmEur)*IF(CallPut=1,UndTree!CN29-Strike,Strike-UndTree!CN29),(UpProb*CO29+DownProb*CO30)*StepDiscount)))</f>
        <v>187.23633619930297</v>
      </c>
      <c r="CO29" s="17">
        <f>IF(CO$3="","",IF(CO$3=Steps,MAX(IF(CallPut=1,UndTree!CO29-Strike,Strike-UndTree!CO29),0),MAX((2-AmEur)*IF(CallPut=1,UndTree!CO29-Strike,Strike-UndTree!CO29),(UpProb*CP29+DownProb*CP30)*StepDiscount)))</f>
        <v>195.85725011594846</v>
      </c>
      <c r="CP29" s="17">
        <f>IF(CP$3="","",IF(CP$3=Steps,MAX(IF(CallPut=1,UndTree!CP29-Strike,Strike-UndTree!CP29),0),MAX((2-AmEur)*IF(CallPut=1,UndTree!CP29-Strike,Strike-UndTree!CP29),(UpProb*CQ29+DownProb*CQ30)*StepDiscount)))</f>
        <v>204.74069530714658</v>
      </c>
      <c r="CQ29" s="17">
        <f>IF(CQ$3="","",IF(CQ$3=Steps,MAX(IF(CallPut=1,UndTree!CQ29-Strike,Strike-UndTree!CQ29),0),MAX((2-AmEur)*IF(CallPut=1,UndTree!CQ29-Strike,Strike-UndTree!CQ29),(UpProb*CR29+DownProb*CR30)*StepDiscount)))</f>
        <v>213.8946200847318</v>
      </c>
      <c r="CR29" s="17">
        <f>IF(CR$3="","",IF(CR$3=Steps,MAX(IF(CallPut=1,UndTree!CR29-Strike,Strike-UndTree!CR29),0),MAX((2-AmEur)*IF(CallPut=1,UndTree!CR29-Strike,Strike-UndTree!CR29),(UpProb*CS29+DownProb*CS30)*StepDiscount)))</f>
        <v>223.32721337672834</v>
      </c>
      <c r="CS29" s="17">
        <f>IF(CS$3="","",IF(CS$3=Steps,MAX(IF(CallPut=1,UndTree!CS29-Strike,Strike-UndTree!CS29),0),MAX((2-AmEur)*IF(CallPut=1,UndTree!CS29-Strike,Strike-UndTree!CS29),(UpProb*CT29+DownProb*CT30)*StepDiscount)))</f>
        <v>233.04691201141571</v>
      </c>
      <c r="CT29" s="17">
        <f>IF(CT$3="","",IF(CT$3=Steps,MAX(IF(CallPut=1,UndTree!CT29-Strike,Strike-UndTree!CT29),0),MAX((2-AmEur)*IF(CallPut=1,UndTree!CT29-Strike,Strike-UndTree!CT29),(UpProb*CU29+DownProb*CU30)*StepDiscount)))</f>
        <v>243.06240822189795</v>
      </c>
      <c r="CU29" s="17">
        <f>IF(CU$3="","",IF(CU$3=Steps,MAX(IF(CallPut=1,UndTree!CU29-Strike,Strike-UndTree!CU29),0),MAX((2-AmEur)*IF(CallPut=1,UndTree!CU29-Strike,Strike-UndTree!CU29),(UpProb*CV29+DownProb*CV30)*StepDiscount)))</f>
        <v>253.38265737785426</v>
      </c>
      <c r="CV29" s="17">
        <f>IF(CV$3="","",IF(CV$3=Steps,MAX(IF(CallPut=1,UndTree!CV29-Strike,Strike-UndTree!CV29),0),MAX((2-AmEur)*IF(CallPut=1,UndTree!CV29-Strike,Strike-UndTree!CV29),(UpProb*CW29+DownProb*CW30)*StepDiscount)))</f>
        <v>264.01688595134817</v>
      </c>
      <c r="CW29" s="17">
        <f>IF(CW$3="","",IF(CW$3=Steps,MAX(IF(CallPut=1,UndTree!CW29-Strike,Strike-UndTree!CW29),0),MAX((2-AmEur)*IF(CallPut=1,UndTree!CW29-Strike,Strike-UndTree!CW29),(UpProb*CX29+DownProb*CX30)*StepDiscount)))</f>
        <v>274.97459972377504</v>
      </c>
      <c r="CX29" s="17">
        <f>IF(CX$3="","",IF(CX$3=Steps,MAX(IF(CallPut=1,UndTree!CX29-Strike,Strike-UndTree!CX29),0),MAX((2-AmEur)*IF(CallPut=1,UndTree!CX29-Strike,Strike-UndTree!CX29),(UpProb*CY29+DownProb*CY30)*StepDiscount)))</f>
        <v>286.26559224123883</v>
      </c>
      <c r="CY29" s="17">
        <f>IF(CY$3="","",IF(CY$3=Steps,MAX(IF(CallPut=1,UndTree!CY29-Strike,Strike-UndTree!CY29),0),MAX((2-AmEur)*IF(CallPut=1,UndTree!CY29-Strike,Strike-UndTree!CY29),(UpProb*CZ29+DownProb*CZ30)*StepDiscount)))</f>
        <v>297.89995352589114</v>
      </c>
      <c r="CZ29" s="17">
        <f>IF(CZ$3="","",IF(CZ$3=Steps,MAX(IF(CallPut=1,UndTree!CZ29-Strike,Strike-UndTree!CZ29),0),MAX((2-AmEur)*IF(CallPut=1,UndTree!CZ29-Strike,Strike-UndTree!CZ29),(UpProb*DA29+DownProb*DA30)*StepDiscount)))</f>
        <v>309.88807905107745</v>
      </c>
      <c r="DA29" s="17">
        <f>IF(DA$3="","",IF(DA$3=Steps,MAX(IF(CallPut=1,UndTree!DA29-Strike,Strike-UndTree!DA29),0),MAX((2-AmEur)*IF(CallPut=1,UndTree!DA29-Strike,Strike-UndTree!DA29),(UpProb*DB29+DownProb*DB30)*StepDiscount)))</f>
        <v>322.24067898854241</v>
      </c>
      <c r="DB29" s="17">
        <f>IF(DB$3="","",IF(DB$3=Steps,MAX(IF(CallPut=1,UndTree!DB29-Strike,Strike-UndTree!DB29),0),MAX((2-AmEur)*IF(CallPut=1,UndTree!DB29-Strike,Strike-UndTree!DB29),(UpProb*DC29+DownProb*DC30)*StepDiscount)))</f>
        <v>334.96878773610001</v>
      </c>
    </row>
    <row r="30" spans="1:106" x14ac:dyDescent="0.2">
      <c r="A30">
        <f>ExDivTree!A30</f>
        <v>9.4209408622130929E+23</v>
      </c>
      <c r="B30" s="71">
        <f>ExDivTree!B30</f>
        <v>3.71590596829952E-7</v>
      </c>
      <c r="C30" s="71">
        <f>ExDivTree!C30</f>
        <v>4.2297441067782927E-7</v>
      </c>
      <c r="D30" s="177">
        <f>ExDivTree!D30</f>
        <v>26</v>
      </c>
      <c r="AE30" s="17">
        <f>IF(AE$3="","",IF(AE$3=Steps,MAX(IF(CallPut=1,UndTree!AE30-Strike,Strike-UndTree!AE30),0),MAX((2-AmEur)*IF(CallPut=1,UndTree!AE30-Strike,Strike-UndTree!AE30),(UpProb*AF30+DownProb*AF31)*StepDiscount)))</f>
        <v>4.7345783637568039E-3</v>
      </c>
      <c r="AF30" s="17">
        <f>IF(AF$3="","",IF(AF$3=Steps,MAX(IF(CallPut=1,UndTree!AF30-Strike,Strike-UndTree!AF30),0),MAX((2-AmEur)*IF(CallPut=1,UndTree!AF30-Strike,Strike-UndTree!AF30),(UpProb*AG30+DownProb*AG31)*StepDiscount)))</f>
        <v>6.7395674521222391E-3</v>
      </c>
      <c r="AG30" s="17">
        <f>IF(AG$3="","",IF(AG$3=Steps,MAX(IF(CallPut=1,UndTree!AG30-Strike,Strike-UndTree!AG30),0),MAX((2-AmEur)*IF(CallPut=1,UndTree!AG30-Strike,Strike-UndTree!AG30),(UpProb*AH30+DownProb*AH31)*StepDiscount)))</f>
        <v>9.5481232492901896E-3</v>
      </c>
      <c r="AH30" s="17">
        <f>IF(AH$3="","",IF(AH$3=Steps,MAX(IF(CallPut=1,UndTree!AH30-Strike,Strike-UndTree!AH30),0),MAX((2-AmEur)*IF(CallPut=1,UndTree!AH30-Strike,Strike-UndTree!AH30),(UpProb*AI30+DownProb*AI31)*StepDiscount)))</f>
        <v>1.3461298276800692E-2</v>
      </c>
      <c r="AI30" s="17">
        <f>IF(AI$3="","",IF(AI$3=Steps,MAX(IF(CallPut=1,UndTree!AI30-Strike,Strike-UndTree!AI30),0),MAX((2-AmEur)*IF(CallPut=1,UndTree!AI30-Strike,Strike-UndTree!AI30),(UpProb*AJ30+DownProb*AJ31)*StepDiscount)))</f>
        <v>1.8883608273264851E-2</v>
      </c>
      <c r="AJ30" s="17">
        <f>IF(AJ$3="","",IF(AJ$3=Steps,MAX(IF(CallPut=1,UndTree!AJ30-Strike,Strike-UndTree!AJ30),0),MAX((2-AmEur)*IF(CallPut=1,UndTree!AJ30-Strike,Strike-UndTree!AJ30),(UpProb*AK30+DownProb*AK31)*StepDiscount)))</f>
        <v>2.6354621924133226E-2</v>
      </c>
      <c r="AK30" s="17">
        <f>IF(AK$3="","",IF(AK$3=Steps,MAX(IF(CallPut=1,UndTree!AK30-Strike,Strike-UndTree!AK30),0),MAX((2-AmEur)*IF(CallPut=1,UndTree!AK30-Strike,Strike-UndTree!AK30),(UpProb*AL30+DownProb*AL31)*StepDiscount)))</f>
        <v>3.6588579838942537E-2</v>
      </c>
      <c r="AL30" s="17">
        <f>IF(AL$3="","",IF(AL$3=Steps,MAX(IF(CallPut=1,UndTree!AL30-Strike,Strike-UndTree!AL30),0),MAX((2-AmEur)*IF(CallPut=1,UndTree!AL30-Strike,Strike-UndTree!AL30),(UpProb*AM30+DownProb*AM31)*StepDiscount)))</f>
        <v>5.052344916511331E-2</v>
      </c>
      <c r="AM30" s="17">
        <f>IF(AM$3="","",IF(AM$3=Steps,MAX(IF(CallPut=1,UndTree!AM30-Strike,Strike-UndTree!AM30),0),MAX((2-AmEur)*IF(CallPut=1,UndTree!AM30-Strike,Strike-UndTree!AM30),(UpProb*AN30+DownProb*AN31)*StepDiscount)))</f>
        <v>6.9380816231872214E-2</v>
      </c>
      <c r="AN30" s="17">
        <f>IF(AN$3="","",IF(AN$3=Steps,MAX(IF(CallPut=1,UndTree!AN30-Strike,Strike-UndTree!AN30),0),MAX((2-AmEur)*IF(CallPut=1,UndTree!AN30-Strike,Strike-UndTree!AN30),(UpProb*AO30+DownProb*AO31)*StepDiscount)))</f>
        <v>9.4737894181969123E-2</v>
      </c>
      <c r="AO30" s="17">
        <f>IF(AO$3="","",IF(AO$3=Steps,MAX(IF(CallPut=1,UndTree!AO30-Strike,Strike-UndTree!AO30),0),MAX((2-AmEur)*IF(CallPut=1,UndTree!AO30-Strike,Strike-UndTree!AO30),(UpProb*AP30+DownProb*AP31)*StepDiscount)))</f>
        <v>0.12861262692283329</v>
      </c>
      <c r="AP30" s="17">
        <f>IF(AP$3="","",IF(AP$3=Steps,MAX(IF(CallPut=1,UndTree!AP30-Strike,Strike-UndTree!AP30),0),MAX((2-AmEur)*IF(CallPut=1,UndTree!AP30-Strike,Strike-UndTree!AP30),(UpProb*AQ30+DownProb*AQ31)*StepDiscount)))</f>
        <v>0.17356235053440627</v>
      </c>
      <c r="AQ30" s="17">
        <f>IF(AQ$3="","",IF(AQ$3=Steps,MAX(IF(CallPut=1,UndTree!AQ30-Strike,Strike-UndTree!AQ30),0),MAX((2-AmEur)*IF(CallPut=1,UndTree!AQ30-Strike,Strike-UndTree!AQ30),(UpProb*AR30+DownProb*AR31)*StepDiscount)))</f>
        <v>0.23279567280023908</v>
      </c>
      <c r="AR30" s="17">
        <f>IF(AR$3="","",IF(AR$3=Steps,MAX(IF(CallPut=1,UndTree!AR30-Strike,Strike-UndTree!AR30),0),MAX((2-AmEur)*IF(CallPut=1,UndTree!AR30-Strike,Strike-UndTree!AR30),(UpProb*AS30+DownProb*AS31)*StepDiscount)))</f>
        <v>0.31029610074742892</v>
      </c>
      <c r="AS30" s="17">
        <f>IF(AS$3="","",IF(AS$3=Steps,MAX(IF(CallPut=1,UndTree!AS30-Strike,Strike-UndTree!AS30),0),MAX((2-AmEur)*IF(CallPut=1,UndTree!AS30-Strike,Strike-UndTree!AS30),(UpProb*AT30+DownProb*AT31)*StepDiscount)))</f>
        <v>0.41095445076669401</v>
      </c>
      <c r="AT30" s="17">
        <f>IF(AT$3="","",IF(AT$3=Steps,MAX(IF(CallPut=1,UndTree!AT30-Strike,Strike-UndTree!AT30),0),MAX((2-AmEur)*IF(CallPut=1,UndTree!AT30-Strike,Strike-UndTree!AT30),(UpProb*AU30+DownProb*AU31)*StepDiscount)))</f>
        <v>0.54070521099619606</v>
      </c>
      <c r="AU30" s="17">
        <f>IF(AU$3="","",IF(AU$3=Steps,MAX(IF(CallPut=1,UndTree!AU30-Strike,Strike-UndTree!AU30),0),MAX((2-AmEur)*IF(CallPut=1,UndTree!AU30-Strike,Strike-UndTree!AU30),(UpProb*AV30+DownProb*AV31)*StepDiscount)))</f>
        <v>0.70665983147070299</v>
      </c>
      <c r="AV30" s="17">
        <f>IF(AV$3="","",IF(AV$3=Steps,MAX(IF(CallPut=1,UndTree!AV30-Strike,Strike-UndTree!AV30),0),MAX((2-AmEur)*IF(CallPut=1,UndTree!AV30-Strike,Strike-UndTree!AV30),(UpProb*AW30+DownProb*AW31)*StepDiscount)))</f>
        <v>0.917227497251204</v>
      </c>
      <c r="AW30" s="17">
        <f>IF(AW$3="","",IF(AW$3=Steps,MAX(IF(CallPut=1,UndTree!AW30-Strike,Strike-UndTree!AW30),0),MAX((2-AmEur)*IF(CallPut=1,UndTree!AW30-Strike,Strike-UndTree!AW30),(UpProb*AX30+DownProb*AX31)*StepDiscount)))</f>
        <v>1.1822114760964495</v>
      </c>
      <c r="AX30" s="17">
        <f>IF(AX$3="","",IF(AX$3=Steps,MAX(IF(CallPut=1,UndTree!AX30-Strike,Strike-UndTree!AX30),0),MAX((2-AmEur)*IF(CallPut=1,UndTree!AX30-Strike,Strike-UndTree!AX30),(UpProb*AY30+DownProb*AY31)*StepDiscount)))</f>
        <v>1.5128668995026271</v>
      </c>
      <c r="AY30" s="17">
        <f>IF(AY$3="","",IF(AY$3=Steps,MAX(IF(CallPut=1,UndTree!AY30-Strike,Strike-UndTree!AY30),0),MAX((2-AmEur)*IF(CallPut=1,UndTree!AY30-Strike,Strike-UndTree!AY30),(UpProb*AZ30+DownProb*AZ31)*StepDiscount)))</f>
        <v>1.9219042023922881</v>
      </c>
      <c r="AZ30" s="17">
        <f>IF(AZ$3="","",IF(AZ$3=Steps,MAX(IF(CallPut=1,UndTree!AZ30-Strike,Strike-UndTree!AZ30),0),MAX((2-AmEur)*IF(CallPut=1,UndTree!AZ30-Strike,Strike-UndTree!AZ30),(UpProb*BA30+DownProb*BA31)*StepDiscount)))</f>
        <v>2.4234218616898913</v>
      </c>
      <c r="BA30" s="17">
        <f>IF(BA$3="","",IF(BA$3=Steps,MAX(IF(CallPut=1,UndTree!BA30-Strike,Strike-UndTree!BA30),0),MAX((2-AmEur)*IF(CallPut=1,UndTree!BA30-Strike,Strike-UndTree!BA30),(UpProb*BB30+DownProb*BB31)*StepDiscount)))</f>
        <v>3.0327530335921504</v>
      </c>
      <c r="BB30" s="17">
        <f>IF(BB$3="","",IF(BB$3=Steps,MAX(IF(CallPut=1,UndTree!BB30-Strike,Strike-UndTree!BB30),0),MAX((2-AmEur)*IF(CallPut=1,UndTree!BB30-Strike,Strike-UndTree!BB30),(UpProb*BC30+DownProb*BC31)*StepDiscount)))</f>
        <v>3.7662136762872787</v>
      </c>
      <c r="BC30" s="17">
        <f>IF(BC$3="","",IF(BC$3=Steps,MAX(IF(CallPut=1,UndTree!BC30-Strike,Strike-UndTree!BC30),0),MAX((2-AmEur)*IF(CallPut=1,UndTree!BC30-Strike,Strike-UndTree!BC30),(UpProb*BD30+DownProb*BD31)*StepDiscount)))</f>
        <v>4.6407451410973657</v>
      </c>
      <c r="BD30" s="17">
        <f>IF(BD$3="","",IF(BD$3=Steps,MAX(IF(CallPut=1,UndTree!BD30-Strike,Strike-UndTree!BD30),0),MAX((2-AmEur)*IF(CallPut=1,UndTree!BD30-Strike,Strike-UndTree!BD30),(UpProb*BE30+DownProb*BE31)*StepDiscount)))</f>
        <v>5.6734521907245856</v>
      </c>
      <c r="BE30" s="17">
        <f>IF(BE$3="","",IF(BE$3=Steps,MAX(IF(CallPut=1,UndTree!BE30-Strike,Strike-UndTree!BE30),0),MAX((2-AmEur)*IF(CallPut=1,UndTree!BE30-Strike,Strike-UndTree!BE30),(UpProb*BF30+DownProb*BF31)*StepDiscount)))</f>
        <v>6.8810477945998176</v>
      </c>
      <c r="BF30" s="17">
        <f>IF(BF$3="","",IF(BF$3=Steps,MAX(IF(CallPut=1,UndTree!BF30-Strike,Strike-UndTree!BF30),0),MAX((2-AmEur)*IF(CallPut=1,UndTree!BF30-Strike,Strike-UndTree!BF30),(UpProb*BG30+DownProb*BG31)*StepDiscount)))</f>
        <v>8.2792282472652872</v>
      </c>
      <c r="BG30" s="17">
        <f>IF(BG$3="","",IF(BG$3=Steps,MAX(IF(CallPut=1,UndTree!BG30-Strike,Strike-UndTree!BG30),0),MAX((2-AmEur)*IF(CallPut=1,UndTree!BG30-Strike,Strike-UndTree!BG30),(UpProb*BH30+DownProb*BH31)*StepDiscount)))</f>
        <v>9.8820150244070604</v>
      </c>
      <c r="BH30" s="17">
        <f>IF(BH$3="","",IF(BH$3=Steps,MAX(IF(CallPut=1,UndTree!BH30-Strike,Strike-UndTree!BH30),0),MAX((2-AmEur)*IF(CallPut=1,UndTree!BH30-Strike,Strike-UndTree!BH30),(UpProb*BI30+DownProb*BI31)*StepDiscount)))</f>
        <v>11.701111681358226</v>
      </c>
      <c r="BI30" s="17">
        <f>IF(BI$3="","",IF(BI$3=Steps,MAX(IF(CallPut=1,UndTree!BI30-Strike,Strike-UndTree!BI30),0),MAX((2-AmEur)*IF(CallPut=1,UndTree!BI30-Strike,Strike-UndTree!BI30),(UpProb*BJ30+DownProb*BJ31)*StepDiscount)))</f>
        <v>13.745332952237176</v>
      </c>
      <c r="BJ30" s="17">
        <f>IF(BJ$3="","",IF(BJ$3=Steps,MAX(IF(CallPut=1,UndTree!BJ30-Strike,Strike-UndTree!BJ30),0),MAX((2-AmEur)*IF(CallPut=1,UndTree!BJ30-Strike,Strike-UndTree!BJ30),(UpProb*BK30+DownProb*BK31)*StepDiscount)))</f>
        <v>16.020166806466804</v>
      </c>
      <c r="BK30" s="17">
        <f>IF(BK$3="","",IF(BK$3=Steps,MAX(IF(CallPut=1,UndTree!BK30-Strike,Strike-UndTree!BK30),0),MAX((2-AmEur)*IF(CallPut=1,UndTree!BK30-Strike,Strike-UndTree!BK30),(UpProb*BL30+DownProb*BL31)*StepDiscount)))</f>
        <v>18.527526569864634</v>
      </c>
      <c r="BL30" s="17">
        <f>IF(BL$3="","",IF(BL$3=Steps,MAX(IF(CallPut=1,UndTree!BL30-Strike,Strike-UndTree!BL30),0),MAX((2-AmEur)*IF(CallPut=1,UndTree!BL30-Strike,Strike-UndTree!BL30),(UpProb*BM30+DownProb*BM31)*StepDiscount)))</f>
        <v>21.265738035766546</v>
      </c>
      <c r="BM30" s="17">
        <f>IF(BM$3="","",IF(BM$3=Steps,MAX(IF(CallPut=1,UndTree!BM30-Strike,Strike-UndTree!BM30),0),MAX((2-AmEur)*IF(CallPut=1,UndTree!BM30-Strike,Strike-UndTree!BM30),(UpProb*BN30+DownProb*BN31)*StepDiscount)))</f>
        <v>24.229785708035596</v>
      </c>
      <c r="BN30" s="17">
        <f>IF(BN$3="","",IF(BN$3=Steps,MAX(IF(CallPut=1,UndTree!BN30-Strike,Strike-UndTree!BN30),0),MAX((2-AmEur)*IF(CallPut=1,UndTree!BN30-Strike,Strike-UndTree!BN30),(UpProb*BO30+DownProb*BO31)*StepDiscount)))</f>
        <v>27.411814478456943</v>
      </c>
      <c r="BO30" s="17">
        <f>IF(BO$3="","",IF(BO$3=Steps,MAX(IF(CallPut=1,UndTree!BO30-Strike,Strike-UndTree!BO30),0),MAX((2-AmEur)*IF(CallPut=1,UndTree!BO30-Strike,Strike-UndTree!BO30),(UpProb*BP30+DownProb*BP31)*StepDiscount)))</f>
        <v>30.801851457110111</v>
      </c>
      <c r="BP30" s="17">
        <f>IF(BP$3="","",IF(BP$3=Steps,MAX(IF(CallPut=1,UndTree!BP30-Strike,Strike-UndTree!BP30),0),MAX((2-AmEur)*IF(CallPut=1,UndTree!BP30-Strike,Strike-UndTree!BP30),(UpProb*BQ30+DownProb*BQ31)*StepDiscount)))</f>
        <v>34.388682180706368</v>
      </c>
      <c r="BQ30" s="17">
        <f>IF(BQ$3="","",IF(BQ$3=Steps,MAX(IF(CallPut=1,UndTree!BQ30-Strike,Strike-UndTree!BQ30),0),MAX((2-AmEur)*IF(CallPut=1,UndTree!BQ30-Strike,Strike-UndTree!BQ30),(UpProb*BR30+DownProb*BR31)*StepDiscount)))</f>
        <v>38.16079167088995</v>
      </c>
      <c r="BR30" s="17">
        <f>IF(BR$3="","",IF(BR$3=Steps,MAX(IF(CallPut=1,UndTree!BR30-Strike,Strike-UndTree!BR30),0),MAX((2-AmEur)*IF(CallPut=1,UndTree!BR30-Strike,Strike-UndTree!BR30),(UpProb*BS30+DownProb*BS31)*StepDiscount)))</f>
        <v>42.107269132633071</v>
      </c>
      <c r="BS30" s="17">
        <f>IF(BS$3="","",IF(BS$3=Steps,MAX(IF(CallPut=1,UndTree!BS30-Strike,Strike-UndTree!BS30),0),MAX((2-AmEur)*IF(CallPut=1,UndTree!BS30-Strike,Strike-UndTree!BS30),(UpProb*BT30+DownProb*BT31)*StepDiscount)))</f>
        <v>46.218579114360253</v>
      </c>
      <c r="BT30" s="17">
        <f>IF(BT$3="","",IF(BT$3=Steps,MAX(IF(CallPut=1,UndTree!BT30-Strike,Strike-UndTree!BT30),0),MAX((2-AmEur)*IF(CallPut=1,UndTree!BT30-Strike,Strike-UndTree!BT30),(UpProb*BU30+DownProb*BU31)*StepDiscount)))</f>
        <v>50.487122392428091</v>
      </c>
      <c r="BU30" s="17">
        <f>IF(BU$3="","",IF(BU$3=Steps,MAX(IF(CallPut=1,UndTree!BU30-Strike,Strike-UndTree!BU30),0),MAX((2-AmEur)*IF(CallPut=1,UndTree!BU30-Strike,Strike-UndTree!BU30),(UpProb*BV30+DownProb*BV31)*StepDiscount)))</f>
        <v>54.907543723723634</v>
      </c>
      <c r="BV30" s="17">
        <f>IF(BV$3="","",IF(BV$3=Steps,MAX(IF(CallPut=1,UndTree!BV30-Strike,Strike-UndTree!BV30),0),MAX((2-AmEur)*IF(CallPut=1,UndTree!BV30-Strike,Strike-UndTree!BV30),(UpProb*BW30+DownProb*BW31)*StepDiscount)))</f>
        <v>59.476784497929565</v>
      </c>
      <c r="BW30" s="17">
        <f>IF(BW$3="","",IF(BW$3=Steps,MAX(IF(CallPut=1,UndTree!BW30-Strike,Strike-UndTree!BW30),0),MAX((2-AmEur)*IF(CallPut=1,UndTree!BW30-Strike,Strike-UndTree!BW30),(UpProb*BX30+DownProb*BX31)*StepDiscount)))</f>
        <v>64.19391760792837</v>
      </c>
      <c r="BX30" s="17">
        <f>IF(BX$3="","",IF(BX$3=Steps,MAX(IF(CallPut=1,UndTree!BX30-Strike,Strike-UndTree!BX30),0),MAX((2-AmEur)*IF(CallPut=1,UndTree!BX30-Strike,Strike-UndTree!BX30),(UpProb*BY30+DownProb*BY31)*StepDiscount)))</f>
        <v>69.059830950101073</v>
      </c>
      <c r="BY30" s="17">
        <f>IF(BY$3="","",IF(BY$3=Steps,MAX(IF(CallPut=1,UndTree!BY30-Strike,Strike-UndTree!BY30),0),MAX((2-AmEur)*IF(CallPut=1,UndTree!BY30-Strike,Strike-UndTree!BY30),(UpProb*BZ30+DownProb*BZ31)*StepDiscount)))</f>
        <v>74.076838785399644</v>
      </c>
      <c r="BZ30" s="17">
        <f>IF(BZ$3="","",IF(BZ$3=Steps,MAX(IF(CallPut=1,UndTree!BZ30-Strike,Strike-UndTree!BZ30),0),MAX((2-AmEur)*IF(CallPut=1,UndTree!BZ30-Strike,Strike-UndTree!BZ30),(UpProb*CA30+DownProb*CA31)*StepDiscount)))</f>
        <v>79.248295115535527</v>
      </c>
      <c r="CA30" s="17">
        <f>IF(CA$3="","",IF(CA$3=Steps,MAX(IF(CallPut=1,UndTree!CA30-Strike,Strike-UndTree!CA30),0),MAX((2-AmEur)*IF(CallPut=1,UndTree!CA30-Strike,Strike-UndTree!CA30),(UpProb*CB30+DownProb*CB31)*StepDiscount)))</f>
        <v>84.578263667256948</v>
      </c>
      <c r="CB30" s="17">
        <f>IF(CB$3="","",IF(CB$3=Steps,MAX(IF(CallPut=1,UndTree!CB30-Strike,Strike-UndTree!CB30),0),MAX((2-AmEur)*IF(CallPut=1,UndTree!CB30-Strike,Strike-UndTree!CB30),(UpProb*CC30+DownProb*CC31)*StepDiscount)))</f>
        <v>90.071272280303262</v>
      </c>
      <c r="CC30" s="17">
        <f>IF(CC$3="","",IF(CC$3=Steps,MAX(IF(CallPut=1,UndTree!CC30-Strike,Strike-UndTree!CC30),0),MAX((2-AmEur)*IF(CallPut=1,UndTree!CC30-Strike,Strike-UndTree!CC30),(UpProb*CD30+DownProb*CD31)*StepDiscount)))</f>
        <v>95.732153912205547</v>
      </c>
      <c r="CD30" s="17">
        <f>IF(CD$3="","",IF(CD$3=Steps,MAX(IF(CallPut=1,UndTree!CD30-Strike,Strike-UndTree!CD30),0),MAX((2-AmEur)*IF(CallPut=1,UndTree!CD30-Strike,Strike-UndTree!CD30),(UpProb*CE30+DownProb*CE31)*StepDiscount)))</f>
        <v>101.56595871554157</v>
      </c>
      <c r="CE30" s="17">
        <f>IF(CE$3="","",IF(CE$3=Steps,MAX(IF(CallPut=1,UndTree!CE30-Strike,Strike-UndTree!CE30),0),MAX((2-AmEur)*IF(CallPut=1,UndTree!CE30-Strike,Strike-UndTree!CE30),(UpProb*CF30+DownProb*CF31)*StepDiscount)))</f>
        <v>107.57791435904123</v>
      </c>
      <c r="CF30" s="17">
        <f>IF(CF$3="","",IF(CF$3=Steps,MAX(IF(CallPut=1,UndTree!CF30-Strike,Strike-UndTree!CF30),0),MAX((2-AmEur)*IF(CallPut=1,UndTree!CF30-Strike,Strike-UndTree!CF30),(UpProb*CG30+DownProb*CG31)*StepDiscount)))</f>
        <v>113.77341339207543</v>
      </c>
      <c r="CG30" s="17">
        <f>IF(CG$3="","",IF(CG$3=Steps,MAX(IF(CallPut=1,UndTree!CG30-Strike,Strike-UndTree!CG30),0),MAX((2-AmEur)*IF(CallPut=1,UndTree!CG30-Strike,Strike-UndTree!CG30),(UpProb*CH30+DownProb*CH31)*StepDiscount)))</f>
        <v>120.15801283878952</v>
      </c>
      <c r="CH30" s="17">
        <f>IF(CH$3="","",IF(CH$3=Steps,MAX(IF(CallPut=1,UndTree!CH30-Strike,Strike-UndTree!CH30),0),MAX((2-AmEur)*IF(CallPut=1,UndTree!CH30-Strike,Strike-UndTree!CH30),(UpProb*CI30+DownProb*CI31)*StepDiscount)))</f>
        <v>126.73743806698398</v>
      </c>
      <c r="CI30" s="17">
        <f>IF(CI$3="","",IF(CI$3=Steps,MAX(IF(CallPut=1,UndTree!CI30-Strike,Strike-UndTree!CI30),0),MAX((2-AmEur)*IF(CallPut=1,UndTree!CI30-Strike,Strike-UndTree!CI30),(UpProb*CJ30+DownProb*CJ31)*StepDiscount)))</f>
        <v>133.51758776643285</v>
      </c>
      <c r="CJ30" s="17">
        <f>IF(CJ$3="","",IF(CJ$3=Steps,MAX(IF(CallPut=1,UndTree!CJ30-Strike,Strike-UndTree!CJ30),0),MAX((2-AmEur)*IF(CallPut=1,UndTree!CJ30-Strike,Strike-UndTree!CJ30),(UpProb*CK30+DownProb*CK31)*StepDiscount)))</f>
        <v>140.50453919578322</v>
      </c>
      <c r="CK30" s="17">
        <f>IF(CK$3="","",IF(CK$3=Steps,MAX(IF(CallPut=1,UndTree!CK30-Strike,Strike-UndTree!CK30),0),MAX((2-AmEur)*IF(CallPut=1,UndTree!CK30-Strike,Strike-UndTree!CK30),(UpProb*CL30+DownProb*CL31)*StepDiscount)))</f>
        <v>147.70455358829105</v>
      </c>
      <c r="CL30" s="17">
        <f>IF(CL$3="","",IF(CL$3=Steps,MAX(IF(CallPut=1,UndTree!CL30-Strike,Strike-UndTree!CL30),0),MAX((2-AmEur)*IF(CallPut=1,UndTree!CL30-Strike,Strike-UndTree!CL30),(UpProb*CM30+DownProb*CM31)*StepDiscount)))</f>
        <v>155.12408172120132</v>
      </c>
      <c r="CM30" s="17">
        <f>IF(CM$3="","",IF(CM$3=Steps,MAX(IF(CallPut=1,UndTree!CM30-Strike,Strike-UndTree!CM30),0),MAX((2-AmEur)*IF(CallPut=1,UndTree!CM30-Strike,Strike-UndTree!CM30),(UpProb*CN30+DownProb*CN31)*StepDiscount)))</f>
        <v>162.76976965372771</v>
      </c>
      <c r="CN30" s="17">
        <f>IF(CN$3="","",IF(CN$3=Steps,MAX(IF(CallPut=1,UndTree!CN30-Strike,Strike-UndTree!CN30),0),MAX((2-AmEur)*IF(CallPut=1,UndTree!CN30-Strike,Strike-UndTree!CN30),(UpProb*CO30+DownProb*CO31)*StepDiscount)))</f>
        <v>170.64846463873607</v>
      </c>
      <c r="CO30" s="17">
        <f>IF(CO$3="","",IF(CO$3=Steps,MAX(IF(CallPut=1,UndTree!CO30-Strike,Strike-UndTree!CO30),0),MAX((2-AmEur)*IF(CallPut=1,UndTree!CO30-Strike,Strike-UndTree!CO30),(UpProb*CP30+DownProb*CP31)*StepDiscount)))</f>
        <v>178.76722121339125</v>
      </c>
      <c r="CP30" s="17">
        <f>IF(CP$3="","",IF(CP$3=Steps,MAX(IF(CallPut=1,UndTree!CP30-Strike,Strike-UndTree!CP30),0),MAX((2-AmEur)*IF(CallPut=1,UndTree!CP30-Strike,Strike-UndTree!CP30),(UpProb*CQ30+DownProb*CQ31)*StepDiscount)))</f>
        <v>187.13330747418644</v>
      </c>
      <c r="CQ30" s="17">
        <f>IF(CQ$3="","",IF(CQ$3=Steps,MAX(IF(CallPut=1,UndTree!CQ30-Strike,Strike-UndTree!CQ30),0),MAX((2-AmEur)*IF(CallPut=1,UndTree!CQ30-Strike,Strike-UndTree!CQ30),(UpProb*CR30+DownProb*CR31)*StepDiscount)))</f>
        <v>195.7542115419362</v>
      </c>
      <c r="CR30" s="17">
        <f>IF(CR$3="","",IF(CR$3=Steps,MAX(IF(CallPut=1,UndTree!CR30-Strike,Strike-UndTree!CR30),0),MAX((2-AmEur)*IF(CallPut=1,UndTree!CR30-Strike,Strike-UndTree!CR30),(UpProb*CS30+DownProb*CS31)*StepDiscount)))</f>
        <v>204.63764822248251</v>
      </c>
      <c r="CS30" s="17">
        <f>IF(CS$3="","",IF(CS$3=Steps,MAX(IF(CallPut=1,UndTree!CS30-Strike,Strike-UndTree!CS30),0),MAX((2-AmEur)*IF(CallPut=1,UndTree!CS30-Strike,Strike-UndTree!CS30),(UpProb*CT30+DownProb*CT31)*StepDiscount)))</f>
        <v>213.79156586903616</v>
      </c>
      <c r="CT30" s="17">
        <f>IF(CT$3="","",IF(CT$3=Steps,MAX(IF(CallPut=1,UndTree!CT30-Strike,Strike-UndTree!CT30),0),MAX((2-AmEur)*IF(CallPut=1,UndTree!CT30-Strike,Strike-UndTree!CT30),(UpProb*CU30+DownProb*CU31)*StepDiscount)))</f>
        <v>223.22415345225409</v>
      </c>
      <c r="CU30" s="17">
        <f>IF(CU$3="","",IF(CU$3=Steps,MAX(IF(CallPut=1,UndTree!CU30-Strike,Strike-UndTree!CU30),0),MAX((2-AmEur)*IF(CallPut=1,UndTree!CU30-Strike,Strike-UndTree!CU30),(UpProb*CV30+DownProb*CV31)*StepDiscount)))</f>
        <v>232.94384784434084</v>
      </c>
      <c r="CV30" s="17">
        <f>IF(CV$3="","",IF(CV$3=Steps,MAX(IF(CallPut=1,UndTree!CV30-Strike,Strike-UndTree!CV30),0),MAX((2-AmEur)*IF(CallPut=1,UndTree!CV30-Strike,Strike-UndTree!CV30),(UpProb*CW30+DownProb*CW31)*StepDiscount)))</f>
        <v>242.95934132365707</v>
      </c>
      <c r="CW30" s="17">
        <f>IF(CW$3="","",IF(CW$3=Steps,MAX(IF(CallPut=1,UndTree!CW30-Strike,Strike-UndTree!CW30),0),MAX((2-AmEur)*IF(CallPut=1,UndTree!CW30-Strike,Strike-UndTree!CW30),(UpProb*CX30+DownProb*CX31)*StepDiscount)))</f>
        <v>253.2795893065163</v>
      </c>
      <c r="CX30" s="17">
        <f>IF(CX$3="","",IF(CX$3=Steps,MAX(IF(CallPut=1,UndTree!CX30-Strike,Strike-UndTree!CX30),0),MAX((2-AmEur)*IF(CallPut=1,UndTree!CX30-Strike,Strike-UndTree!CX30),(UpProb*CY30+DownProb*CY31)*StepDiscount)))</f>
        <v>263.9138183130446</v>
      </c>
      <c r="CY30" s="17">
        <f>IF(CY$3="","",IF(CY$3=Steps,MAX(IF(CallPut=1,UndTree!CY30-Strike,Strike-UndTree!CY30),0),MAX((2-AmEur)*IF(CallPut=1,UndTree!CY30-Strike,Strike-UndTree!CY30),(UpProb*CZ30+DownProb*CZ31)*StepDiscount)))</f>
        <v>274.87153417415936</v>
      </c>
      <c r="CZ30" s="17">
        <f>IF(CZ$3="","",IF(CZ$3=Steps,MAX(IF(CallPut=1,UndTree!CZ30-Strike,Strike-UndTree!CZ30),0),MAX((2-AmEur)*IF(CallPut=1,UndTree!CZ30-Strike,Strike-UndTree!CZ30),(UpProb*DA30+DownProb*DA31)*StepDiscount)))</f>
        <v>286.16253048689254</v>
      </c>
      <c r="DA30" s="17">
        <f>IF(DA$3="","",IF(DA$3=Steps,MAX(IF(CallPut=1,UndTree!DA30-Strike,Strike-UndTree!DA30),0),MAX((2-AmEur)*IF(CallPut=1,UndTree!DA30-Strike,Strike-UndTree!DA30),(UpProb*DB30+DownProb*DB31)*StepDiscount)))</f>
        <v>297.796897325506</v>
      </c>
      <c r="DB30" s="17">
        <f>IF(DB$3="","",IF(DB$3=Steps,MAX(IF(CallPut=1,UndTree!DB30-Strike,Strike-UndTree!DB30),0),MAX((2-AmEur)*IF(CallPut=1,UndTree!DB30-Strike,Strike-UndTree!DB30),(UpProb*DC30+DownProb*DC31)*StepDiscount)))</f>
        <v>309.78503021649999</v>
      </c>
    </row>
    <row r="31" spans="1:106" x14ac:dyDescent="0.2">
      <c r="A31">
        <f>ExDivTree!A31</f>
        <v>2.6169280172814157E+24</v>
      </c>
      <c r="B31" s="71">
        <f>ExDivTree!B31</f>
        <v>1.0321961023054226E-6</v>
      </c>
      <c r="C31" s="71">
        <f>ExDivTree!C31</f>
        <v>1.1687171353006962E-6</v>
      </c>
      <c r="D31" s="177">
        <f>ExDivTree!D31</f>
        <v>27</v>
      </c>
      <c r="AF31" s="17">
        <f>IF(AF$3="","",IF(AF$3=Steps,MAX(IF(CallPut=1,UndTree!AF31-Strike,Strike-UndTree!AF31),0),MAX((2-AmEur)*IF(CallPut=1,UndTree!AF31-Strike,Strike-UndTree!AF31),(UpProb*AG31+DownProb*AG32)*StepDiscount)))</f>
        <v>2.7239298026804177E-3</v>
      </c>
      <c r="AG31" s="17">
        <f>IF(AG$3="","",IF(AG$3=Steps,MAX(IF(CallPut=1,UndTree!AG31-Strike,Strike-UndTree!AG31),0),MAX((2-AmEur)*IF(CallPut=1,UndTree!AG31-Strike,Strike-UndTree!AG31),(UpProb*AH31+DownProb*AH32)*StepDiscount)))</f>
        <v>3.9231973647952216E-3</v>
      </c>
      <c r="AH31" s="17">
        <f>IF(AH$3="","",IF(AH$3=Steps,MAX(IF(CallPut=1,UndTree!AH31-Strike,Strike-UndTree!AH31),0),MAX((2-AmEur)*IF(CallPut=1,UndTree!AH31-Strike,Strike-UndTree!AH31),(UpProb*AI31+DownProb*AI32)*StepDiscount)))</f>
        <v>5.6242271349618775E-3</v>
      </c>
      <c r="AI31" s="17">
        <f>IF(AI$3="","",IF(AI$3=Steps,MAX(IF(CallPut=1,UndTree!AI31-Strike,Strike-UndTree!AI31),0),MAX((2-AmEur)*IF(CallPut=1,UndTree!AI31-Strike,Strike-UndTree!AI31),(UpProb*AJ31+DownProb*AJ32)*StepDiscount)))</f>
        <v>8.0243762533721077E-3</v>
      </c>
      <c r="AJ31" s="17">
        <f>IF(AJ$3="","",IF(AJ$3=Steps,MAX(IF(CallPut=1,UndTree!AJ31-Strike,Strike-UndTree!AJ31),0),MAX((2-AmEur)*IF(CallPut=1,UndTree!AJ31-Strike,Strike-UndTree!AJ31),(UpProb*AK31+DownProb*AK32)*StepDiscount)))</f>
        <v>1.1392816647447688E-2</v>
      </c>
      <c r="AK31" s="17">
        <f>IF(AK$3="","",IF(AK$3=Steps,MAX(IF(CallPut=1,UndTree!AK31-Strike,Strike-UndTree!AK31),0),MAX((2-AmEur)*IF(CallPut=1,UndTree!AK31-Strike,Strike-UndTree!AK31),(UpProb*AL31+DownProb*AL32)*StepDiscount)))</f>
        <v>1.6094086179853574E-2</v>
      </c>
      <c r="AL31" s="17">
        <f>IF(AL$3="","",IF(AL$3=Steps,MAX(IF(CallPut=1,UndTree!AL31-Strike,Strike-UndTree!AL31),0),MAX((2-AmEur)*IF(CallPut=1,UndTree!AL31-Strike,Strike-UndTree!AL31),(UpProb*AM31+DownProb*AM32)*StepDiscount)))</f>
        <v>2.2618263654403652E-2</v>
      </c>
      <c r="AM31" s="17">
        <f>IF(AM$3="","",IF(AM$3=Steps,MAX(IF(CallPut=1,UndTree!AM31-Strike,Strike-UndTree!AM31),0),MAX((2-AmEur)*IF(CallPut=1,UndTree!AM31-Strike,Strike-UndTree!AM31),(UpProb*AN31+DownProb*AN32)*StepDiscount)))</f>
        <v>3.1619179570046597E-2</v>
      </c>
      <c r="AN31" s="17">
        <f>IF(AN$3="","",IF(AN$3=Steps,MAX(IF(CallPut=1,UndTree!AN31-Strike,Strike-UndTree!AN31),0),MAX((2-AmEur)*IF(CallPut=1,UndTree!AN31-Strike,Strike-UndTree!AN31),(UpProb*AO31+DownProb*AO32)*StepDiscount)))</f>
        <v>4.3962192599269707E-2</v>
      </c>
      <c r="AO31" s="17">
        <f>IF(AO$3="","",IF(AO$3=Steps,MAX(IF(CallPut=1,UndTree!AO31-Strike,Strike-UndTree!AO31),0),MAX((2-AmEur)*IF(CallPut=1,UndTree!AO31-Strike,Strike-UndTree!AO31),(UpProb*AP31+DownProb*AP32)*StepDiscount)))</f>
        <v>6.0783107293652529E-2</v>
      </c>
      <c r="AP31" s="17">
        <f>IF(AP$3="","",IF(AP$3=Steps,MAX(IF(CallPut=1,UndTree!AP31-Strike,Strike-UndTree!AP31),0),MAX((2-AmEur)*IF(CallPut=1,UndTree!AP31-Strike,Strike-UndTree!AP31),(UpProb*AQ31+DownProb*AQ32)*StepDiscount)))</f>
        <v>8.3559738343229398E-2</v>
      </c>
      <c r="AQ31" s="17">
        <f>IF(AQ$3="","",IF(AQ$3=Steps,MAX(IF(CallPut=1,UndTree!AQ31-Strike,Strike-UndTree!AQ31),0),MAX((2-AmEur)*IF(CallPut=1,UndTree!AQ31-Strike,Strike-UndTree!AQ31),(UpProb*AR31+DownProb*AR32)*StepDiscount)))</f>
        <v>0.11419738773879384</v>
      </c>
      <c r="AR31" s="17">
        <f>IF(AR$3="","",IF(AR$3=Steps,MAX(IF(CallPut=1,UndTree!AR31-Strike,Strike-UndTree!AR31),0),MAX((2-AmEur)*IF(CallPut=1,UndTree!AR31-Strike,Strike-UndTree!AR31),(UpProb*AS31+DownProb*AS32)*StepDiscount)))</f>
        <v>0.15512903193674601</v>
      </c>
      <c r="AS31" s="17">
        <f>IF(AS$3="","",IF(AS$3=Steps,MAX(IF(CallPut=1,UndTree!AS31-Strike,Strike-UndTree!AS31),0),MAX((2-AmEur)*IF(CallPut=1,UndTree!AS31-Strike,Strike-UndTree!AS31),(UpProb*AT31+DownProb*AT32)*StepDiscount)))</f>
        <v>0.20943025062235637</v>
      </c>
      <c r="AT31" s="17">
        <f>IF(AT$3="","",IF(AT$3=Steps,MAX(IF(CallPut=1,UndTree!AT31-Strike,Strike-UndTree!AT31),0),MAX((2-AmEur)*IF(CallPut=1,UndTree!AT31-Strike,Strike-UndTree!AT31),(UpProb*AU31+DownProb*AU32)*StepDiscount)))</f>
        <v>0.28094780331251873</v>
      </c>
      <c r="AU31" s="17">
        <f>IF(AU$3="","",IF(AU$3=Steps,MAX(IF(CallPut=1,UndTree!AU31-Strike,Strike-UndTree!AU31),0),MAX((2-AmEur)*IF(CallPut=1,UndTree!AU31-Strike,Strike-UndTree!AU31),(UpProb*AV31+DownProb*AV32)*StepDiscount)))</f>
        <v>0.3744392242276135</v>
      </c>
      <c r="AV31" s="17">
        <f>IF(AV$3="","",IF(AV$3=Steps,MAX(IF(CallPut=1,UndTree!AV31-Strike,Strike-UndTree!AV31),0),MAX((2-AmEur)*IF(CallPut=1,UndTree!AV31-Strike,Strike-UndTree!AV31),(UpProb*AW31+DownProb*AW32)*StepDiscount)))</f>
        <v>0.49571883667044214</v>
      </c>
      <c r="AW31" s="17">
        <f>IF(AW$3="","",IF(AW$3=Steps,MAX(IF(CallPut=1,UndTree!AW31-Strike,Strike-UndTree!AW31),0),MAX((2-AmEur)*IF(CallPut=1,UndTree!AW31-Strike,Strike-UndTree!AW31),(UpProb*AX31+DownProb*AX32)*StepDiscount)))</f>
        <v>0.65180320890687615</v>
      </c>
      <c r="AX31" s="17">
        <f>IF(AX$3="","",IF(AX$3=Steps,MAX(IF(CallPut=1,UndTree!AX31-Strike,Strike-UndTree!AX31),0),MAX((2-AmEur)*IF(CallPut=1,UndTree!AX31-Strike,Strike-UndTree!AX31),(UpProb*AY31+DownProb*AY32)*StepDiscount)))</f>
        <v>0.85104637514321357</v>
      </c>
      <c r="AY31" s="17">
        <f>IF(AY$3="","",IF(AY$3=Steps,MAX(IF(CallPut=1,UndTree!AY31-Strike,Strike-UndTree!AY31),0),MAX((2-AmEur)*IF(CallPut=1,UndTree!AY31-Strike,Strike-UndTree!AY31),(UpProb*AZ31+DownProb*AZ32)*StepDiscount)))</f>
        <v>1.1032523077285563</v>
      </c>
      <c r="AZ31" s="17">
        <f>IF(AZ$3="","",IF(AZ$3=Steps,MAX(IF(CallPut=1,UndTree!AZ31-Strike,Strike-UndTree!AZ31),0),MAX((2-AmEur)*IF(CallPut=1,UndTree!AZ31-Strike,Strike-UndTree!AZ31),(UpProb*BA31+DownProb*BA32)*StepDiscount)))</f>
        <v>1.4197494373671007</v>
      </c>
      <c r="BA31" s="17">
        <f>IF(BA$3="","",IF(BA$3=Steps,MAX(IF(CallPut=1,UndTree!BA31-Strike,Strike-UndTree!BA31),0),MAX((2-AmEur)*IF(CallPut=1,UndTree!BA31-Strike,Strike-UndTree!BA31),(UpProb*BB31+DownProb*BB32)*StepDiscount)))</f>
        <v>1.8134098796397315</v>
      </c>
      <c r="BB31" s="17">
        <f>IF(BB$3="","",IF(BB$3=Steps,MAX(IF(CallPut=1,UndTree!BB31-Strike,Strike-UndTree!BB31),0),MAX((2-AmEur)*IF(CallPut=1,UndTree!BB31-Strike,Strike-UndTree!BB31),(UpProb*BC31+DownProb*BC32)*StepDiscount)))</f>
        <v>2.2985949485672634</v>
      </c>
      <c r="BC31" s="17">
        <f>IF(BC$3="","",IF(BC$3=Steps,MAX(IF(CallPut=1,UndTree!BC31-Strike,Strike-UndTree!BC31),0),MAX((2-AmEur)*IF(CallPut=1,UndTree!BC31-Strike,Strike-UndTree!BC31),(UpProb*BD31+DownProb*BD32)*StepDiscount)))</f>
        <v>2.8910091059664826</v>
      </c>
      <c r="BD31" s="17">
        <f>IF(BD$3="","",IF(BD$3=Steps,MAX(IF(CallPut=1,UndTree!BD31-Strike,Strike-UndTree!BD31),0),MAX((2-AmEur)*IF(CallPut=1,UndTree!BD31-Strike,Strike-UndTree!BD31),(UpProb*BE31+DownProb*BE32)*StepDiscount)))</f>
        <v>3.6074473040694084</v>
      </c>
      <c r="BE31" s="17">
        <f>IF(BE$3="","",IF(BE$3=Steps,MAX(IF(CallPut=1,UndTree!BE31-Strike,Strike-UndTree!BE31),0),MAX((2-AmEur)*IF(CallPut=1,UndTree!BE31-Strike,Strike-UndTree!BE31),(UpProb*BF31+DownProb*BF32)*StepDiscount)))</f>
        <v>4.4654262345501019</v>
      </c>
      <c r="BF31" s="17">
        <f>IF(BF$3="","",IF(BF$3=Steps,MAX(IF(CallPut=1,UndTree!BF31-Strike,Strike-UndTree!BF31),0),MAX((2-AmEur)*IF(CallPut=1,UndTree!BF31-Strike,Strike-UndTree!BF31),(UpProb*BG31+DownProb*BG32)*StepDiscount)))</f>
        <v>5.4826985851820673</v>
      </c>
      <c r="BG31" s="17">
        <f>IF(BG$3="","",IF(BG$3=Steps,MAX(IF(CallPut=1,UndTree!BG31-Strike,Strike-UndTree!BG31),0),MAX((2-AmEur)*IF(CallPut=1,UndTree!BG31-Strike,Strike-UndTree!BG31),(UpProb*BH31+DownProb*BH32)*StepDiscount)))</f>
        <v>6.676660937827676</v>
      </c>
      <c r="BH31" s="17">
        <f>IF(BH$3="","",IF(BH$3=Steps,MAX(IF(CallPut=1,UndTree!BH31-Strike,Strike-UndTree!BH31),0),MAX((2-AmEur)*IF(CallPut=1,UndTree!BH31-Strike,Strike-UndTree!BH31),(UpProb*BI31+DownProb*BI32)*StepDiscount)))</f>
        <v>8.0636798074074107</v>
      </c>
      <c r="BI31" s="17">
        <f>IF(BI$3="","",IF(BI$3=Steps,MAX(IF(CallPut=1,UndTree!BI31-Strike,Strike-UndTree!BI31),0),MAX((2-AmEur)*IF(CallPut=1,UndTree!BI31-Strike,Strike-UndTree!BI31),(UpProb*BJ31+DownProb*BJ32)*StepDiscount)))</f>
        <v>9.658375277253926</v>
      </c>
      <c r="BJ31" s="17">
        <f>IF(BJ$3="","",IF(BJ$3=Steps,MAX(IF(CallPut=1,UndTree!BJ31-Strike,Strike-UndTree!BJ31),0),MAX((2-AmEur)*IF(CallPut=1,UndTree!BJ31-Strike,Strike-UndTree!BJ31),(UpProb*BK31+DownProb*BK32)*StepDiscount)))</f>
        <v>11.472915831635039</v>
      </c>
      <c r="BK31" s="17">
        <f>IF(BK$3="","",IF(BK$3=Steps,MAX(IF(CallPut=1,UndTree!BK31-Strike,Strike-UndTree!BK31),0),MAX((2-AmEur)*IF(CallPut=1,UndTree!BK31-Strike,Strike-UndTree!BK31),(UpProb*BL31+DownProb*BL32)*StepDiscount)))</f>
        <v>13.516388875270895</v>
      </c>
      <c r="BL31" s="17">
        <f>IF(BL$3="","",IF(BL$3=Steps,MAX(IF(CallPut=1,UndTree!BL31-Strike,Strike-UndTree!BL31),0),MAX((2-AmEur)*IF(CallPut=1,UndTree!BL31-Strike,Strike-UndTree!BL31),(UpProb*BM31+DownProb*BM32)*StepDiscount)))</f>
        <v>15.794316353783138</v>
      </c>
      <c r="BM31" s="17">
        <f>IF(BM$3="","",IF(BM$3=Steps,MAX(IF(CallPut=1,UndTree!BM31-Strike,Strike-UndTree!BM31),0),MAX((2-AmEur)*IF(CallPut=1,UndTree!BM31-Strike,Strike-UndTree!BM31),(UpProb*BN31+DownProb*BN32)*StepDiscount)))</f>
        <v>18.308381342032483</v>
      </c>
      <c r="BN31" s="17">
        <f>IF(BN$3="","",IF(BN$3=Steps,MAX(IF(CallPut=1,UndTree!BN31-Strike,Strike-UndTree!BN31),0),MAX((2-AmEur)*IF(CallPut=1,UndTree!BN31-Strike,Strike-UndTree!BN31),(UpProb*BO31+DownProb*BO32)*StepDiscount)))</f>
        <v>21.056417754994694</v>
      </c>
      <c r="BO31" s="17">
        <f>IF(BO$3="","",IF(BO$3=Steps,MAX(IF(CallPut=1,UndTree!BO31-Strike,Strike-UndTree!BO31),0),MAX((2-AmEur)*IF(CallPut=1,UndTree!BO31-Strike,Strike-UndTree!BO31),(UpProb*BP31+DownProb*BP32)*StepDiscount)))</f>
        <v>24.032691231553148</v>
      </c>
      <c r="BP31" s="17">
        <f>IF(BP$3="","",IF(BP$3=Steps,MAX(IF(CallPut=1,UndTree!BP31-Strike,Strike-UndTree!BP31),0),MAX((2-AmEur)*IF(CallPut=1,UndTree!BP31-Strike,Strike-UndTree!BP31),(UpProb*BQ31+DownProb*BQ32)*StepDiscount)))</f>
        <v>27.228466528239533</v>
      </c>
      <c r="BQ31" s="17">
        <f>IF(BQ$3="","",IF(BQ$3=Steps,MAX(IF(CallPut=1,UndTree!BQ31-Strike,Strike-UndTree!BQ31),0),MAX((2-AmEur)*IF(CallPut=1,UndTree!BQ31-Strike,Strike-UndTree!BQ31),(UpProb*BR31+DownProb*BR32)*StepDiscount)))</f>
        <v>30.632819457725152</v>
      </c>
      <c r="BR31" s="17">
        <f>IF(BR$3="","",IF(BR$3=Steps,MAX(IF(CallPut=1,UndTree!BR31-Strike,Strike-UndTree!BR31),0),MAX((2-AmEur)*IF(CallPut=1,UndTree!BR31-Strike,Strike-UndTree!BR31),(UpProb*BS31+DownProb*BS32)*StepDiscount)))</f>
        <v>34.233615493527189</v>
      </c>
      <c r="BS31" s="17">
        <f>IF(BS$3="","",IF(BS$3=Steps,MAX(IF(CallPut=1,UndTree!BS31-Strike,Strike-UndTree!BS31),0),MAX((2-AmEur)*IF(CallPut=1,UndTree!BS31-Strike,Strike-UndTree!BS31),(UpProb*BT31+DownProb*BT32)*StepDiscount)))</f>
        <v>38.018549671304527</v>
      </c>
      <c r="BT31" s="17">
        <f>IF(BT$3="","",IF(BT$3=Steps,MAX(IF(CallPut=1,UndTree!BT31-Strike,Strike-UndTree!BT31),0),MAX((2-AmEur)*IF(CallPut=1,UndTree!BT31-Strike,Strike-UndTree!BT31),(UpProb*BU31+DownProb*BU32)*StepDiscount)))</f>
        <v>41.976129956175477</v>
      </c>
      <c r="BU31" s="17">
        <f>IF(BU$3="","",IF(BU$3=Steps,MAX(IF(CallPut=1,UndTree!BU31-Strike,Strike-UndTree!BU31),0),MAX((2-AmEur)*IF(CallPut=1,UndTree!BU31-Strike,Strike-UndTree!BU31),(UpProb*BV31+DownProb*BV32)*StepDiscount)))</f>
        <v>46.096493196474157</v>
      </c>
      <c r="BV31" s="17">
        <f>IF(BV$3="","",IF(BV$3=Steps,MAX(IF(CallPut=1,UndTree!BV31-Strike,Strike-UndTree!BV31),0),MAX((2-AmEur)*IF(CallPut=1,UndTree!BV31-Strike,Strike-UndTree!BV31),(UpProb*BW31+DownProb*BW32)*StepDiscount)))</f>
        <v>50.371969657370656</v>
      </c>
      <c r="BW31" s="17">
        <f>IF(BW$3="","",IF(BW$3=Steps,MAX(IF(CallPut=1,UndTree!BW31-Strike,Strike-UndTree!BW31),0),MAX((2-AmEur)*IF(CallPut=1,UndTree!BW31-Strike,Strike-UndTree!BW31),(UpProb*BX31+DownProb*BX32)*StepDiscount)))</f>
        <v>54.797354668089532</v>
      </c>
      <c r="BX31" s="17">
        <f>IF(BX$3="","",IF(BX$3=Steps,MAX(IF(CallPut=1,UndTree!BX31-Strike,Strike-UndTree!BX31),0),MAX((2-AmEur)*IF(CallPut=1,UndTree!BX31-Strike,Strike-UndTree!BX31),(UpProb*BY31+DownProb*BY32)*StepDiscount)))</f>
        <v>59.369895492671304</v>
      </c>
      <c r="BY31" s="17">
        <f>IF(BY$3="","",IF(BY$3=Steps,MAX(IF(CallPut=1,UndTree!BY31-Strike,Strike-UndTree!BY31),0),MAX((2-AmEur)*IF(CallPut=1,UndTree!BY31-Strike,Strike-UndTree!BY31),(UpProb*BZ31+DownProb*BZ32)*StepDiscount)))</f>
        <v>64.089047018869707</v>
      </c>
      <c r="BZ31" s="17">
        <f>IF(BZ$3="","",IF(BZ$3=Steps,MAX(IF(CallPut=1,UndTree!BZ31-Strike,Strike-UndTree!BZ31),0),MAX((2-AmEur)*IF(CallPut=1,UndTree!BZ31-Strike,Strike-UndTree!BZ31),(UpProb*CA31+DownProb*CA32)*StepDiscount)))</f>
        <v>68.956080683206693</v>
      </c>
      <c r="CA31" s="17">
        <f>IF(CA$3="","",IF(CA$3=Steps,MAX(IF(CallPut=1,UndTree!CA31-Strike,Strike-UndTree!CA31),0),MAX((2-AmEur)*IF(CallPut=1,UndTree!CA31-Strike,Strike-UndTree!CA31),(UpProb*CB31+DownProb*CB32)*StepDiscount)))</f>
        <v>73.973640530133878</v>
      </c>
      <c r="CB31" s="17">
        <f>IF(CB$3="","",IF(CB$3=Steps,MAX(IF(CallPut=1,UndTree!CB31-Strike,Strike-UndTree!CB31),0),MAX((2-AmEur)*IF(CallPut=1,UndTree!CB31-Strike,Strike-UndTree!CB31),(UpProb*CC31+DownProb*CC32)*StepDiscount)))</f>
        <v>79.145327995706637</v>
      </c>
      <c r="CC31" s="17">
        <f>IF(CC$3="","",IF(CC$3=Steps,MAX(IF(CallPut=1,UndTree!CC31-Strike,Strike-UndTree!CC31),0),MAX((2-AmEur)*IF(CallPut=1,UndTree!CC31-Strike,Strike-UndTree!CC31),(UpProb*CD31+DownProb*CD32)*StepDiscount)))</f>
        <v>84.475368959087788</v>
      </c>
      <c r="CD31" s="17">
        <f>IF(CD$3="","",IF(CD$3=Steps,MAX(IF(CallPut=1,UndTree!CD31-Strike,Strike-UndTree!CD31),0),MAX((2-AmEur)*IF(CallPut=1,UndTree!CD31-Strike,Strike-UndTree!CD31),(UpProb*CE31+DownProb*CE32)*StepDiscount)))</f>
        <v>89.968383129328188</v>
      </c>
      <c r="CE31" s="17">
        <f>IF(CE$3="","",IF(CE$3=Steps,MAX(IF(CallPut=1,UndTree!CE31-Strike,Strike-UndTree!CE31),0),MAX((2-AmEur)*IF(CallPut=1,UndTree!CE31-Strike,Strike-UndTree!CE31),(UpProb*CF31+DownProb*CF32)*StepDiscount)))</f>
        <v>95.629247529554419</v>
      </c>
      <c r="CF31" s="17">
        <f>IF(CF$3="","",IF(CF$3=Steps,MAX(IF(CallPut=1,UndTree!CF31-Strike,Strike-UndTree!CF31),0),MAX((2-AmEur)*IF(CallPut=1,UndTree!CF31-Strike,Strike-UndTree!CF31),(UpProb*CG31+DownProb*CG32)*StepDiscount)))</f>
        <v>101.46302958907503</v>
      </c>
      <c r="CG31" s="17">
        <f>IF(CG$3="","",IF(CG$3=Steps,MAX(IF(CallPut=1,UndTree!CG31-Strike,Strike-UndTree!CG31),0),MAX((2-AmEur)*IF(CallPut=1,UndTree!CG31-Strike,Strike-UndTree!CG31),(UpProb*CH31+DownProb*CH32)*StepDiscount)))</f>
        <v>107.47496219988729</v>
      </c>
      <c r="CH31" s="17">
        <f>IF(CH$3="","",IF(CH$3=Steps,MAX(IF(CallPut=1,UndTree!CH31-Strike,Strike-UndTree!CH31),0),MAX((2-AmEur)*IF(CallPut=1,UndTree!CH31-Strike,Strike-UndTree!CH31),(UpProb*CI31+DownProb*CI32)*StepDiscount)))</f>
        <v>113.67043901291464</v>
      </c>
      <c r="CI31" s="17">
        <f>IF(CI$3="","",IF(CI$3=Steps,MAX(IF(CallPut=1,UndTree!CI31-Strike,Strike-UndTree!CI31),0),MAX((2-AmEur)*IF(CallPut=1,UndTree!CI31-Strike,Strike-UndTree!CI31),(UpProb*CJ31+DownProb*CJ32)*StepDiscount)))</f>
        <v>120.05501719563638</v>
      </c>
      <c r="CJ31" s="17">
        <f>IF(CJ$3="","",IF(CJ$3=Steps,MAX(IF(CallPut=1,UndTree!CJ31-Strike,Strike-UndTree!CJ31),0),MAX((2-AmEur)*IF(CallPut=1,UndTree!CJ31-Strike,Strike-UndTree!CJ31),(UpProb*CK31+DownProb*CK32)*StepDiscount)))</f>
        <v>126.63442214565178</v>
      </c>
      <c r="CK31" s="17">
        <f>IF(CK$3="","",IF(CK$3=Steps,MAX(IF(CallPut=1,UndTree!CK31-Strike,Strike-UndTree!CK31),0),MAX((2-AmEur)*IF(CallPut=1,UndTree!CK31-Strike,Strike-UndTree!CK31),(UpProb*CL31+DownProb*CL32)*StepDiscount)))</f>
        <v>133.41455258343714</v>
      </c>
      <c r="CL31" s="17">
        <f>IF(CL$3="","",IF(CL$3=Steps,MAX(IF(CallPut=1,UndTree!CL31-Strike,Strike-UndTree!CL31),0),MAX((2-AmEur)*IF(CallPut=1,UndTree!CL31-Strike,Strike-UndTree!CL31),(UpProb*CM31+DownProb*CM32)*StepDiscount)))</f>
        <v>140.40148579927256</v>
      </c>
      <c r="CM31" s="17">
        <f>IF(CM$3="","",IF(CM$3=Steps,MAX(IF(CallPut=1,UndTree!CM31-Strike,Strike-UndTree!CM31),0),MAX((2-AmEur)*IF(CallPut=1,UndTree!CM31-Strike,Strike-UndTree!CM31),(UpProb*CN31+DownProb*CN32)*StepDiscount)))</f>
        <v>147.60148305900523</v>
      </c>
      <c r="CN31" s="17">
        <f>IF(CN$3="","",IF(CN$3=Steps,MAX(IF(CallPut=1,UndTree!CN31-Strike,Strike-UndTree!CN31),0),MAX((2-AmEur)*IF(CallPut=1,UndTree!CN31-Strike,Strike-UndTree!CN31),(UpProb*CO31+DownProb*CO32)*StepDiscount)))</f>
        <v>155.02099517345792</v>
      </c>
      <c r="CO31" s="17">
        <f>IF(CO$3="","",IF(CO$3=Steps,MAX(IF(CallPut=1,UndTree!CO31-Strike,Strike-UndTree!CO31),0),MAX((2-AmEur)*IF(CallPut=1,UndTree!CO31-Strike,Strike-UndTree!CO31),(UpProb*CP31+DownProb*CP32)*StepDiscount)))</f>
        <v>162.66666823643732</v>
      </c>
      <c r="CP31" s="17">
        <f>IF(CP$3="","",IF(CP$3=Steps,MAX(IF(CallPut=1,UndTree!CP31-Strike,Strike-UndTree!CP31),0),MAX((2-AmEur)*IF(CallPut=1,UndTree!CP31-Strike,Strike-UndTree!CP31),(UpProb*CQ31+DownProb*CQ32)*StepDiscount)))</f>
        <v>170.54534953644711</v>
      </c>
      <c r="CQ31" s="17">
        <f>IF(CQ$3="","",IF(CQ$3=Steps,MAX(IF(CallPut=1,UndTree!CQ31-Strike,Strike-UndTree!CQ31),0),MAX((2-AmEur)*IF(CallPut=1,UndTree!CQ31-Strike,Strike-UndTree!CQ31),(UpProb*CR31+DownProb*CR32)*StepDiscount)))</f>
        <v>178.6640936473666</v>
      </c>
      <c r="CR31" s="17">
        <f>IF(CR$3="","",IF(CR$3=Steps,MAX(IF(CallPut=1,UndTree!CR31-Strike,Strike-UndTree!CR31),0),MAX((2-AmEur)*IF(CallPut=1,UndTree!CR31-Strike,Strike-UndTree!CR31),(UpProb*CS31+DownProb*CS32)*StepDiscount)))</f>
        <v>187.03016870351419</v>
      </c>
      <c r="CS31" s="17">
        <f>IF(CS$3="","",IF(CS$3=Steps,MAX(IF(CallPut=1,UndTree!CS31-Strike,Strike-UndTree!CS31),0),MAX((2-AmEur)*IF(CallPut=1,UndTree!CS31-Strike,Strike-UndTree!CS31),(UpProb*CT31+DownProb*CT32)*StepDiscount)))</f>
        <v>195.6510628646765</v>
      </c>
      <c r="CT31" s="17">
        <f>IF(CT$3="","",IF(CT$3=Steps,MAX(IF(CallPut=1,UndTree!CT31-Strike,Strike-UndTree!CT31),0),MAX((2-AmEur)*IF(CallPut=1,UndTree!CT31-Strike,Strike-UndTree!CT31),(UpProb*CU31+DownProb*CU32)*StepDiscount)))</f>
        <v>204.53449097685257</v>
      </c>
      <c r="CU31" s="17">
        <f>IF(CU$3="","",IF(CU$3=Steps,MAX(IF(CallPut=1,UndTree!CU31-Strike,Strike-UndTree!CU31),0),MAX((2-AmEur)*IF(CallPut=1,UndTree!CU31-Strike,Strike-UndTree!CU31),(UpProb*CV31+DownProb*CV32)*StepDiscount)))</f>
        <v>213.68840143463143</v>
      </c>
      <c r="CV31" s="17">
        <f>IF(CV$3="","",IF(CV$3=Steps,MAX(IF(CallPut=1,UndTree!CV31-Strike,Strike-UndTree!CV31),0),MAX((2-AmEur)*IF(CallPut=1,UndTree!CV31-Strike,Strike-UndTree!CV31),(UpProb*CW31+DownProb*CW32)*StepDiscount)))</f>
        <v>223.12098325130287</v>
      </c>
      <c r="CW31" s="17">
        <f>IF(CW$3="","",IF(CW$3=Steps,MAX(IF(CallPut=1,UndTree!CW31-Strike,Strike-UndTree!CW31),0),MAX((2-AmEur)*IF(CallPut=1,UndTree!CW31-Strike,Strike-UndTree!CW31),(UpProb*CX31+DownProb*CX32)*StepDiscount)))</f>
        <v>232.84067334299087</v>
      </c>
      <c r="CX31" s="17">
        <f>IF(CX$3="","",IF(CX$3=Steps,MAX(IF(CallPut=1,UndTree!CX31-Strike,Strike-UndTree!CX31),0),MAX((2-AmEur)*IF(CallPut=1,UndTree!CX31-Strike,Strike-UndTree!CX31),(UpProb*CY31+DownProb*CY32)*StepDiscount)))</f>
        <v>242.85616403330368</v>
      </c>
      <c r="CY31" s="17">
        <f>IF(CY$3="","",IF(CY$3=Steps,MAX(IF(CallPut=1,UndTree!CY31-Strike,Strike-UndTree!CY31),0),MAX((2-AmEur)*IF(CallPut=1,UndTree!CY31-Strike,Strike-UndTree!CY31),(UpProb*CZ31+DownProb*CZ32)*StepDiscount)))</f>
        <v>253.17641078520094</v>
      </c>
      <c r="CZ31" s="17">
        <f>IF(CZ$3="","",IF(CZ$3=Steps,MAX(IF(CallPut=1,UndTree!CZ31-Strike,Strike-UndTree!CZ31),0),MAX((2-AmEur)*IF(CallPut=1,UndTree!CZ31-Strike,Strike-UndTree!CZ31),(UpProb*DA31+DownProb*DA32)*StepDiscount)))</f>
        <v>263.81064016696962</v>
      </c>
      <c r="DA31" s="17">
        <f>IF(DA$3="","",IF(DA$3=Steps,MAX(IF(CallPut=1,UndTree!DA31-Strike,Strike-UndTree!DA31),0),MAX((2-AmEur)*IF(CallPut=1,UndTree!DA31-Strike,Strike-UndTree!DA31),(UpProb*DB31+DownProb*DB32)*StepDiscount)))</f>
        <v>274.76835805932024</v>
      </c>
      <c r="DB31" s="17">
        <f>IF(DB$3="","",IF(DB$3=Steps,MAX(IF(CallPut=1,UndTree!DB31-Strike,Strike-UndTree!DB31),0),MAX((2-AmEur)*IF(CallPut=1,UndTree!DB31-Strike,Strike-UndTree!DB31),(UpProb*DC31+DownProb*DC32)*StepDiscount)))</f>
        <v>286.05935811040001</v>
      </c>
    </row>
    <row r="32" spans="1:106" x14ac:dyDescent="0.2">
      <c r="A32">
        <f>ExDivTree!A32</f>
        <v>6.9161669028151688E+24</v>
      </c>
      <c r="B32" s="71">
        <f>ExDivTree!B32</f>
        <v>2.7279468418071878E-6</v>
      </c>
      <c r="C32" s="71">
        <f>ExDivTree!C32</f>
        <v>3.0724223682747663E-6</v>
      </c>
      <c r="D32" s="177">
        <f>ExDivTree!D32</f>
        <v>28</v>
      </c>
      <c r="AG32" s="17">
        <f>IF(AG$3="","",IF(AG$3=Steps,MAX(IF(CallPut=1,UndTree!AG32-Strike,Strike-UndTree!AG32),0),MAX((2-AmEur)*IF(CallPut=1,UndTree!AG32-Strike,Strike-UndTree!AG32),(UpProb*AH32+DownProb*AH33)*StepDiscount)))</f>
        <v>1.5211630649357699E-3</v>
      </c>
      <c r="AH32" s="17">
        <f>IF(AH$3="","",IF(AH$3=Steps,MAX(IF(CallPut=1,UndTree!AH32-Strike,Strike-UndTree!AH32),0),MAX((2-AmEur)*IF(CallPut=1,UndTree!AH32-Strike,Strike-UndTree!AH32),(UpProb*AI32+DownProb*AI33)*StepDiscount)))</f>
        <v>2.217267303251801E-3</v>
      </c>
      <c r="AI32" s="17">
        <f>IF(AI$3="","",IF(AI$3=Steps,MAX(IF(CallPut=1,UndTree!AI32-Strike,Strike-UndTree!AI32),0),MAX((2-AmEur)*IF(CallPut=1,UndTree!AI32-Strike,Strike-UndTree!AI32),(UpProb*AJ32+DownProb*AJ33)*StepDiscount)))</f>
        <v>3.2172572347779907E-3</v>
      </c>
      <c r="AJ32" s="17">
        <f>IF(AJ$3="","",IF(AJ$3=Steps,MAX(IF(CallPut=1,UndTree!AJ32-Strike,Strike-UndTree!AJ32),0),MAX((2-AmEur)*IF(CallPut=1,UndTree!AJ32-Strike,Strike-UndTree!AJ32),(UpProb*AK32+DownProb*AK33)*StepDiscount)))</f>
        <v>4.6465018152260203E-3</v>
      </c>
      <c r="AK32" s="17">
        <f>IF(AK$3="","",IF(AK$3=Steps,MAX(IF(CallPut=1,UndTree!AK32-Strike,Strike-UndTree!AK32),0),MAX((2-AmEur)*IF(CallPut=1,UndTree!AK32-Strike,Strike-UndTree!AK32),(UpProb*AL32+DownProb*AL33)*StepDiscount)))</f>
        <v>6.6785842613855612E-3</v>
      </c>
      <c r="AL32" s="17">
        <f>IF(AL$3="","",IF(AL$3=Steps,MAX(IF(CallPut=1,UndTree!AL32-Strike,Strike-UndTree!AL32),0),MAX((2-AmEur)*IF(CallPut=1,UndTree!AL32-Strike,Strike-UndTree!AL32),(UpProb*AM32+DownProb*AM33)*StepDiscount)))</f>
        <v>9.5522189923168722E-3</v>
      </c>
      <c r="AM32" s="17">
        <f>IF(AM$3="","",IF(AM$3=Steps,MAX(IF(CallPut=1,UndTree!AM32-Strike,Strike-UndTree!AM32),0),MAX((2-AmEur)*IF(CallPut=1,UndTree!AM32-Strike,Strike-UndTree!AM32),(UpProb*AN32+DownProb*AN33)*StepDiscount)))</f>
        <v>1.3593380025171594E-2</v>
      </c>
      <c r="AN32" s="17">
        <f>IF(AN$3="","",IF(AN$3=Steps,MAX(IF(CallPut=1,UndTree!AN32-Strike,Strike-UndTree!AN32),0),MAX((2-AmEur)*IF(CallPut=1,UndTree!AN32-Strike,Strike-UndTree!AN32),(UpProb*AO32+DownProb*AO33)*StepDiscount)))</f>
        <v>1.9243935492231988E-2</v>
      </c>
      <c r="AO32" s="17">
        <f>IF(AO$3="","",IF(AO$3=Steps,MAX(IF(CallPut=1,UndTree!AO32-Strike,Strike-UndTree!AO32),0),MAX((2-AmEur)*IF(CallPut=1,UndTree!AO32-Strike,Strike-UndTree!AO32),(UpProb*AP32+DownProb*AP33)*StepDiscount)))</f>
        <v>2.7098274101958284E-2</v>
      </c>
      <c r="AP32" s="17">
        <f>IF(AP$3="","",IF(AP$3=Steps,MAX(IF(CallPut=1,UndTree!AP32-Strike,Strike-UndTree!AP32),0),MAX((2-AmEur)*IF(CallPut=1,UndTree!AP32-Strike,Strike-UndTree!AP32),(UpProb*AQ32+DownProb*AQ33)*StepDiscount)))</f>
        <v>3.79495712587095E-2</v>
      </c>
      <c r="AQ32" s="17">
        <f>IF(AQ$3="","",IF(AQ$3=Steps,MAX(IF(CallPut=1,UndTree!AQ32-Strike,Strike-UndTree!AQ32),0),MAX((2-AmEur)*IF(CallPut=1,UndTree!AQ32-Strike,Strike-UndTree!AQ32),(UpProb*AR32+DownProb*AR33)*StepDiscount)))</f>
        <v>5.284744200430299E-2</v>
      </c>
      <c r="AR32" s="17">
        <f>IF(AR$3="","",IF(AR$3=Steps,MAX(IF(CallPut=1,UndTree!AR32-Strike,Strike-UndTree!AR32),0),MAX((2-AmEur)*IF(CallPut=1,UndTree!AR32-Strike,Strike-UndTree!AR32),(UpProb*AS32+DownProb*AS33)*StepDiscount)))</f>
        <v>7.3168720210733923E-2</v>
      </c>
      <c r="AS32" s="17">
        <f>IF(AS$3="","",IF(AS$3=Steps,MAX(IF(CallPut=1,UndTree!AS32-Strike,Strike-UndTree!AS32),0),MAX((2-AmEur)*IF(CallPut=1,UndTree!AS32-Strike,Strike-UndTree!AS32),(UpProb*AT32+DownProb*AT33)*StepDiscount)))</f>
        <v>0.10070293153737214</v>
      </c>
      <c r="AT32" s="17">
        <f>IF(AT$3="","",IF(AT$3=Steps,MAX(IF(CallPut=1,UndTree!AT32-Strike,Strike-UndTree!AT32),0),MAX((2-AmEur)*IF(CallPut=1,UndTree!AT32-Strike,Strike-UndTree!AT32),(UpProb*AU32+DownProb*AU33)*StepDiscount)))</f>
        <v>0.13775362311796852</v>
      </c>
      <c r="AU32" s="17">
        <f>IF(AU$3="","",IF(AU$3=Steps,MAX(IF(CallPut=1,UndTree!AU32-Strike,Strike-UndTree!AU32),0),MAX((2-AmEur)*IF(CallPut=1,UndTree!AU32-Strike,Strike-UndTree!AU32),(UpProb*AV32+DownProb*AV33)*StepDiscount)))</f>
        <v>0.18725599903848864</v>
      </c>
      <c r="AV32" s="17">
        <f>IF(AV$3="","",IF(AV$3=Steps,MAX(IF(CallPut=1,UndTree!AV32-Strike,Strike-UndTree!AV32),0),MAX((2-AmEur)*IF(CallPut=1,UndTree!AV32-Strike,Strike-UndTree!AV32),(UpProb*AW32+DownProb*AW33)*StepDiscount)))</f>
        <v>0.25291020891800398</v>
      </c>
      <c r="AW32" s="17">
        <f>IF(AW$3="","",IF(AW$3=Steps,MAX(IF(CallPut=1,UndTree!AW32-Strike,Strike-UndTree!AW32),0),MAX((2-AmEur)*IF(CallPut=1,UndTree!AW32-Strike,Strike-UndTree!AW32),(UpProb*AX32+DownProb*AX33)*StepDiscount)))</f>
        <v>0.33932807786591507</v>
      </c>
      <c r="AX32" s="17">
        <f>IF(AX$3="","",IF(AX$3=Steps,MAX(IF(CallPut=1,UndTree!AX32-Strike,Strike-UndTree!AX32),0),MAX((2-AmEur)*IF(CallPut=1,UndTree!AX32-Strike,Strike-UndTree!AX32),(UpProb*AY32+DownProb*AY33)*StepDiscount)))</f>
        <v>0.45218900518694843</v>
      </c>
      <c r="AY32" s="17">
        <f>IF(AY$3="","",IF(AY$3=Steps,MAX(IF(CallPut=1,UndTree!AY32-Strike,Strike-UndTree!AY32),0),MAX((2-AmEur)*IF(CallPut=1,UndTree!AY32-Strike,Strike-UndTree!AY32),(UpProb*AZ32+DownProb*AZ33)*StepDiscount)))</f>
        <v>0.59839819776385328</v>
      </c>
      <c r="AZ32" s="17">
        <f>IF(AZ$3="","",IF(AZ$3=Steps,MAX(IF(CallPut=1,UndTree!AZ32-Strike,Strike-UndTree!AZ32),0),MAX((2-AmEur)*IF(CallPut=1,UndTree!AZ32-Strike,Strike-UndTree!AZ32),(UpProb*BA32+DownProb*BA33)*StepDiscount)))</f>
        <v>0.78623741467568165</v>
      </c>
      <c r="BA32" s="17">
        <f>IF(BA$3="","",IF(BA$3=Steps,MAX(IF(CallPut=1,UndTree!BA32-Strike,Strike-UndTree!BA32),0),MAX((2-AmEur)*IF(CallPut=1,UndTree!BA32-Strike,Strike-UndTree!BA32),(UpProb*BB32+DownProb*BB33)*StepDiscount)))</f>
        <v>1.0254951536418975</v>
      </c>
      <c r="BB32" s="17">
        <f>IF(BB$3="","",IF(BB$3=Steps,MAX(IF(CallPut=1,UndTree!BB32-Strike,Strike-UndTree!BB32),0),MAX((2-AmEur)*IF(CallPut=1,UndTree!BB32-Strike,Strike-UndTree!BB32),(UpProb*BC32+DownProb*BC33)*StepDiscount)))</f>
        <v>1.3275600025826755</v>
      </c>
      <c r="BC32" s="17">
        <f>IF(BC$3="","",IF(BC$3=Steps,MAX(IF(CallPut=1,UndTree!BC32-Strike,Strike-UndTree!BC32),0),MAX((2-AmEur)*IF(CallPut=1,UndTree!BC32-Strike,Strike-UndTree!BC32),(UpProb*BD32+DownProb*BD33)*StepDiscount)))</f>
        <v>1.70545814654919</v>
      </c>
      <c r="BD32" s="17">
        <f>IF(BD$3="","",IF(BD$3=Steps,MAX(IF(CallPut=1,UndTree!BD32-Strike,Strike-UndTree!BD32),0),MAX((2-AmEur)*IF(CallPut=1,UndTree!BD32-Strike,Strike-UndTree!BD32),(UpProb*BE32+DownProb*BE33)*StepDiscount)))</f>
        <v>2.1738143362861138</v>
      </c>
      <c r="BE32" s="17">
        <f>IF(BE$3="","",IF(BE$3=Steps,MAX(IF(CallPut=1,UndTree!BE32-Strike,Strike-UndTree!BE32),0),MAX((2-AmEur)*IF(CallPut=1,UndTree!BE32-Strike,Strike-UndTree!BE32),(UpProb*BF32+DownProb*BF33)*StepDiscount)))</f>
        <v>2.7487156748174986</v>
      </c>
      <c r="BF32" s="17">
        <f>IF(BF$3="","",IF(BF$3=Steps,MAX(IF(CallPut=1,UndTree!BF32-Strike,Strike-UndTree!BF32),0),MAX((2-AmEur)*IF(CallPut=1,UndTree!BF32-Strike,Strike-UndTree!BF32),(UpProb*BG32+DownProb*BG33)*StepDiscount)))</f>
        <v>3.4474600914626587</v>
      </c>
      <c r="BG32" s="17">
        <f>IF(BG$3="","",IF(BG$3=Steps,MAX(IF(CallPut=1,UndTree!BG32-Strike,Strike-UndTree!BG32),0),MAX((2-AmEur)*IF(CallPut=1,UndTree!BG32-Strike,Strike-UndTree!BG32),(UpProb*BH32+DownProb*BH33)*StepDiscount)))</f>
        <v>4.2881770097824834</v>
      </c>
      <c r="BH32" s="17">
        <f>IF(BH$3="","",IF(BH$3=Steps,MAX(IF(CallPut=1,UndTree!BH32-Strike,Strike-UndTree!BH32),0),MAX((2-AmEur)*IF(CallPut=1,UndTree!BH32-Strike,Strike-UndTree!BH32),(UpProb*BI32+DownProb*BI33)*StepDiscount)))</f>
        <v>5.2893169147365047</v>
      </c>
      <c r="BI32" s="17">
        <f>IF(BI$3="","",IF(BI$3=Steps,MAX(IF(CallPut=1,UndTree!BI32-Strike,Strike-UndTree!BI32),0),MAX((2-AmEur)*IF(CallPut=1,UndTree!BI32-Strike,Strike-UndTree!BI32),(UpProb*BJ32+DownProb*BJ33)*StepDiscount)))</f>
        <v>6.4690193093090924</v>
      </c>
      <c r="BJ32" s="17">
        <f>IF(BJ$3="","",IF(BJ$3=Steps,MAX(IF(CallPut=1,UndTree!BJ32-Strike,Strike-UndTree!BJ32),0),MAX((2-AmEur)*IF(CallPut=1,UndTree!BJ32-Strike,Strike-UndTree!BJ32),(UpProb*BK32+DownProb*BK33)*StepDiscount)))</f>
        <v>7.8443843370907018</v>
      </c>
      <c r="BK32" s="17">
        <f>IF(BK$3="","",IF(BK$3=Steps,MAX(IF(CallPut=1,UndTree!BK32-Strike,Strike-UndTree!BK32),0),MAX((2-AmEur)*IF(CallPut=1,UndTree!BK32-Strike,Strike-UndTree!BK32),(UpProb*BL32+DownProb*BL33)*StepDiscount)))</f>
        <v>9.4306907812546505</v>
      </c>
      <c r="BL32" s="17">
        <f>IF(BL$3="","",IF(BL$3=Steps,MAX(IF(CallPut=1,UndTree!BL32-Strike,Strike-UndTree!BL32),0),MAX((2-AmEur)*IF(CallPut=1,UndTree!BL32-Strike,Strike-UndTree!BL32),(UpProb*BM32+DownProb*BM33)*StepDiscount)))</f>
        <v>11.240620047536279</v>
      </c>
      <c r="BM32" s="17">
        <f>IF(BM$3="","",IF(BM$3=Steps,MAX(IF(CallPut=1,UndTree!BM32-Strike,Strike-UndTree!BM32),0),MAX((2-AmEur)*IF(CallPut=1,UndTree!BM32-Strike,Strike-UndTree!BM32),(UpProb*BN32+DownProb*BN33)*StepDiscount)))</f>
        <v>13.283559184249404</v>
      </c>
      <c r="BN32" s="17">
        <f>IF(BN$3="","",IF(BN$3=Steps,MAX(IF(CallPut=1,UndTree!BN32-Strike,Strike-UndTree!BN32),0),MAX((2-AmEur)*IF(CallPut=1,UndTree!BN32-Strike,Strike-UndTree!BN32),(UpProb*BO32+DownProb*BO33)*StepDiscount)))</f>
        <v>15.565062661003928</v>
      </c>
      <c r="BO32" s="17">
        <f>IF(BO$3="","",IF(BO$3=Steps,MAX(IF(CallPut=1,UndTree!BO32-Strike,Strike-UndTree!BO32),0),MAX((2-AmEur)*IF(CallPut=1,UndTree!BO32-Strike,Strike-UndTree!BO32),(UpProb*BP32+DownProb*BP33)*StepDiscount)))</f>
        <v>18.086549348208592</v>
      </c>
      <c r="BP32" s="17">
        <f>IF(BP$3="","",IF(BP$3=Steps,MAX(IF(CallPut=1,UndTree!BP32-Strike,Strike-UndTree!BP32),0),MAX((2-AmEur)*IF(CallPut=1,UndTree!BP32-Strike,Strike-UndTree!BP32),(UpProb*BQ32+DownProb*BQ33)*StepDiscount)))</f>
        <v>20.845295664562524</v>
      </c>
      <c r="BQ32" s="17">
        <f>IF(BQ$3="","",IF(BQ$3=Steps,MAX(IF(CallPut=1,UndTree!BQ32-Strike,Strike-UndTree!BQ32),0),MAX((2-AmEur)*IF(CallPut=1,UndTree!BQ32-Strike,Strike-UndTree!BQ32),(UpProb*BR32+DownProb*BR33)*StepDiscount)))</f>
        <v>23.834757725137489</v>
      </c>
      <c r="BR32" s="17">
        <f>IF(BR$3="","",IF(BR$3=Steps,MAX(IF(CallPut=1,UndTree!BR32-Strike,Strike-UndTree!BR32),0),MAX((2-AmEur)*IF(CallPut=1,UndTree!BR32-Strike,Strike-UndTree!BR32),(UpProb*BS32+DownProb*BS33)*StepDiscount)))</f>
        <v>27.045216584780263</v>
      </c>
      <c r="BS32" s="17">
        <f>IF(BS$3="","",IF(BS$3=Steps,MAX(IF(CallPut=1,UndTree!BS32-Strike,Strike-UndTree!BS32),0),MAX((2-AmEur)*IF(CallPut=1,UndTree!BS32-Strike,Strike-UndTree!BS32),(UpProb*BT32+DownProb*BT33)*StepDiscount)))</f>
        <v>30.464696253308194</v>
      </c>
      <c r="BT32" s="17">
        <f>IF(BT$3="","",IF(BT$3=Steps,MAX(IF(CallPut=1,UndTree!BT32-Strike,Strike-UndTree!BT32),0),MAX((2-AmEur)*IF(CallPut=1,UndTree!BT32-Strike,Strike-UndTree!BT32),(UpProb*BU32+DownProb*BU33)*StepDiscount)))</f>
        <v>34.080061528832367</v>
      </c>
      <c r="BU32" s="17">
        <f>IF(BU$3="","",IF(BU$3=Steps,MAX(IF(CallPut=1,UndTree!BU32-Strike,Strike-UndTree!BU32),0),MAX((2-AmEur)*IF(CallPut=1,UndTree!BU32-Strike,Strike-UndTree!BU32),(UpProb*BV32+DownProb*BV33)*StepDiscount)))</f>
        <v>37.878170706346879</v>
      </c>
      <c r="BV32" s="17">
        <f>IF(BV$3="","",IF(BV$3=Steps,MAX(IF(CallPut=1,UndTree!BV32-Strike,Strike-UndTree!BV32),0),MAX((2-AmEur)*IF(CallPut=1,UndTree!BV32-Strike,Strike-UndTree!BV32),(UpProb*BW32+DownProb*BW33)*StepDiscount)))</f>
        <v>41.846945149132686</v>
      </c>
      <c r="BW32" s="17">
        <f>IF(BW$3="","",IF(BW$3=Steps,MAX(IF(CallPut=1,UndTree!BW32-Strike,Strike-UndTree!BW32),0),MAX((2-AmEur)*IF(CallPut=1,UndTree!BW32-Strike,Strike-UndTree!BW32),(UpProb*BX32+DownProb*BX33)*StepDiscount)))</f>
        <v>45.976228861323371</v>
      </c>
      <c r="BX32" s="17">
        <f>IF(BX$3="","",IF(BX$3=Steps,MAX(IF(CallPut=1,UndTree!BX32-Strike,Strike-UndTree!BX32),0),MAX((2-AmEur)*IF(CallPut=1,UndTree!BX32-Strike,Strike-UndTree!BX32),(UpProb*BY32+DownProb*BY33)*StepDiscount)))</f>
        <v>50.258346711891384</v>
      </c>
      <c r="BY32" s="17">
        <f>IF(BY$3="","",IF(BY$3=Steps,MAX(IF(CallPut=1,UndTree!BY32-Strike,Strike-UndTree!BY32),0),MAX((2-AmEur)*IF(CallPut=1,UndTree!BY32-Strike,Strike-UndTree!BY32),(UpProb*BZ32+DownProb*BZ33)*StepDiscount)))</f>
        <v>54.688323702158321</v>
      </c>
      <c r="BZ32" s="17">
        <f>IF(BZ$3="","",IF(BZ$3=Steps,MAX(IF(CallPut=1,UndTree!BZ32-Strike,Strike-UndTree!BZ32),0),MAX((2-AmEur)*IF(CallPut=1,UndTree!BZ32-Strike,Strike-UndTree!BZ32),(UpProb*CA32+DownProb*CA33)*StepDiscount)))</f>
        <v>59.263787940731333</v>
      </c>
      <c r="CA32" s="17">
        <f>IF(CA$3="","",IF(CA$3=Steps,MAX(IF(CallPut=1,UndTree!CA32-Strike,Strike-UndTree!CA32),0),MAX((2-AmEur)*IF(CallPut=1,UndTree!CA32-Strike,Strike-UndTree!CA32),(UpProb*CB32+DownProb*CB33)*StepDiscount)))</f>
        <v>63.984632302674605</v>
      </c>
      <c r="CB32" s="17">
        <f>IF(CB$3="","",IF(CB$3=Steps,MAX(IF(CallPut=1,UndTree!CB32-Strike,Strike-UndTree!CB32),0),MAX((2-AmEur)*IF(CallPut=1,UndTree!CB32-Strike,Strike-UndTree!CB32),(UpProb*CC32+DownProb*CC33)*StepDiscount)))</f>
        <v>68.852541142926356</v>
      </c>
      <c r="CC32" s="17">
        <f>IF(CC$3="","",IF(CC$3=Steps,MAX(IF(CallPut=1,UndTree!CC32-Strike,Strike-UndTree!CC32),0),MAX((2-AmEur)*IF(CallPut=1,UndTree!CC32-Strike,Strike-UndTree!CC32),(UpProb*CD32+DownProb*CD33)*StepDiscount)))</f>
        <v>73.870491936644399</v>
      </c>
      <c r="CD32" s="17">
        <f>IF(CD$3="","",IF(CD$3=Steps,MAX(IF(CallPut=1,UndTree!CD32-Strike,Strike-UndTree!CD32),0),MAX((2-AmEur)*IF(CallPut=1,UndTree!CD32-Strike,Strike-UndTree!CD32),(UpProb*CE32+DownProb*CE33)*StepDiscount)))</f>
        <v>79.042319100104208</v>
      </c>
      <c r="CE32" s="17">
        <f>IF(CE$3="","",IF(CE$3=Steps,MAX(IF(CallPut=1,UndTree!CE32-Strike,Strike-UndTree!CE32),0),MAX((2-AmEur)*IF(CallPut=1,UndTree!CE32-Strike,Strike-UndTree!CE32),(UpProb*CF32+DownProb*CF33)*StepDiscount)))</f>
        <v>84.372388536538836</v>
      </c>
      <c r="CF32" s="17">
        <f>IF(CF$3="","",IF(CF$3=Steps,MAX(IF(CallPut=1,UndTree!CF32-Strike,Strike-UndTree!CF32),0),MAX((2-AmEur)*IF(CallPut=1,UndTree!CF32-Strike,Strike-UndTree!CF32),(UpProb*CG32+DownProb*CG33)*StepDiscount)))</f>
        <v>89.865390998352538</v>
      </c>
      <c r="CG32" s="17">
        <f>IF(CG$3="","",IF(CG$3=Steps,MAX(IF(CallPut=1,UndTree!CG32-Strike,Strike-UndTree!CG32),0),MAX((2-AmEur)*IF(CallPut=1,UndTree!CG32-Strike,Strike-UndTree!CG32),(UpProb*CH32+DownProb*CH33)*StepDiscount)))</f>
        <v>95.526232921165672</v>
      </c>
      <c r="CH32" s="17">
        <f>IF(CH$3="","",IF(CH$3=Steps,MAX(IF(CallPut=1,UndTree!CH32-Strike,Strike-UndTree!CH32),0),MAX((2-AmEur)*IF(CallPut=1,UndTree!CH32-Strike,Strike-UndTree!CH32),(UpProb*CI32+DownProb*CI33)*StepDiscount)))</f>
        <v>101.35999110668894</v>
      </c>
      <c r="CI32" s="17">
        <f>IF(CI$3="","",IF(CI$3=Steps,MAX(IF(CallPut=1,UndTree!CI32-Strike,Strike-UndTree!CI32),0),MAX((2-AmEur)*IF(CallPut=1,UndTree!CI32-Strike,Strike-UndTree!CI32),(UpProb*CJ32+DownProb*CJ33)*StepDiscount)))</f>
        <v>107.37190051294638</v>
      </c>
      <c r="CJ32" s="17">
        <f>IF(CJ$3="","",IF(CJ$3=Steps,MAX(IF(CallPut=1,UndTree!CJ32-Strike,Strike-UndTree!CJ32),0),MAX((2-AmEur)*IF(CallPut=1,UndTree!CJ32-Strike,Strike-UndTree!CJ32),(UpProb*CK32+DownProb*CK33)*StepDiscount)))</f>
        <v>113.56735504848527</v>
      </c>
      <c r="CK32" s="17">
        <f>IF(CK$3="","",IF(CK$3=Steps,MAX(IF(CallPut=1,UndTree!CK32-Strike,Strike-UndTree!CK32),0),MAX((2-AmEur)*IF(CallPut=1,UndTree!CK32-Strike,Strike-UndTree!CK32),(UpProb*CL32+DownProb*CL33)*StepDiscount)))</f>
        <v>119.95191190970687</v>
      </c>
      <c r="CL32" s="17">
        <f>IF(CL$3="","",IF(CL$3=Steps,MAX(IF(CallPut=1,UndTree!CL32-Strike,Strike-UndTree!CL32),0),MAX((2-AmEur)*IF(CallPut=1,UndTree!CL32-Strike,Strike-UndTree!CL32),(UpProb*CM32+DownProb*CM33)*StepDiscount)))</f>
        <v>126.53129652400949</v>
      </c>
      <c r="CM32" s="17">
        <f>IF(CM$3="","",IF(CM$3=Steps,MAX(IF(CallPut=1,UndTree!CM32-Strike,Strike-UndTree!CM32),0),MAX((2-AmEur)*IF(CallPut=1,UndTree!CM32-Strike,Strike-UndTree!CM32),(UpProb*CN32+DownProb*CN33)*StepDiscount)))</f>
        <v>133.31140764257233</v>
      </c>
      <c r="CN32" s="17">
        <f>IF(CN$3="","",IF(CN$3=Steps,MAX(IF(CallPut=1,UndTree!CN32-Strike,Strike-UndTree!CN32),0),MAX((2-AmEur)*IF(CallPut=1,UndTree!CN32-Strike,Strike-UndTree!CN32),(UpProb*CO32+DownProb*CO33)*StepDiscount)))</f>
        <v>140.29832258730949</v>
      </c>
      <c r="CO32" s="17">
        <f>IF(CO$3="","",IF(CO$3=Steps,MAX(IF(CallPut=1,UndTree!CO32-Strike,Strike-UndTree!CO32),0),MAX((2-AmEur)*IF(CallPut=1,UndTree!CO32-Strike,Strike-UndTree!CO32),(UpProb*CP32+DownProb*CP33)*StepDiscount)))</f>
        <v>147.4983026566608</v>
      </c>
      <c r="CP32" s="17">
        <f>IF(CP$3="","",IF(CP$3=Steps,MAX(IF(CallPut=1,UndTree!CP32-Strike,Strike-UndTree!CP32),0),MAX((2-AmEur)*IF(CallPut=1,UndTree!CP32-Strike,Strike-UndTree!CP32),(UpProb*CQ32+DownProb*CQ33)*StepDiscount)))</f>
        <v>154.91779869502795</v>
      </c>
      <c r="CQ32" s="17">
        <f>IF(CQ$3="","",IF(CQ$3=Steps,MAX(IF(CallPut=1,UndTree!CQ32-Strike,Strike-UndTree!CQ32),0),MAX((2-AmEur)*IF(CallPut=1,UndTree!CQ32-Strike,Strike-UndTree!CQ32),(UpProb*CR32+DownProb*CR33)*StepDiscount)))</f>
        <v>162.56345683081091</v>
      </c>
      <c r="CR32" s="17">
        <f>IF(CR$3="","",IF(CR$3=Steps,MAX(IF(CallPut=1,UndTree!CR32-Strike,Strike-UndTree!CR32),0),MAX((2-AmEur)*IF(CallPut=1,UndTree!CR32-Strike,Strike-UndTree!CR32),(UpProb*CS32+DownProb*CS33)*StepDiscount)))</f>
        <v>170.44212438814995</v>
      </c>
      <c r="CS32" s="17">
        <f>IF(CS$3="","",IF(CS$3=Steps,MAX(IF(CallPut=1,UndTree!CS32-Strike,Strike-UndTree!CS32),0),MAX((2-AmEur)*IF(CallPut=1,UndTree!CS32-Strike,Strike-UndTree!CS32),(UpProb*CT32+DownProb*CT33)*StepDiscount)))</f>
        <v>178.56085597763641</v>
      </c>
      <c r="CT32" s="17">
        <f>IF(CT$3="","",IF(CT$3=Steps,MAX(IF(CallPut=1,UndTree!CT32-Strike,Strike-UndTree!CT32),0),MAX((2-AmEur)*IF(CallPut=1,UndTree!CT32-Strike,Strike-UndTree!CT32),(UpProb*CU32+DownProb*CU33)*StepDiscount)))</f>
        <v>186.92691977141072</v>
      </c>
      <c r="CU32" s="17">
        <f>IF(CU$3="","",IF(CU$3=Steps,MAX(IF(CallPut=1,UndTree!CU32-Strike,Strike-UndTree!CU32),0),MAX((2-AmEur)*IF(CallPut=1,UndTree!CU32-Strike,Strike-UndTree!CU32),(UpProb*CV32+DownProb*CV33)*StepDiscount)))</f>
        <v>195.54780396823119</v>
      </c>
      <c r="CV32" s="17">
        <f>IF(CV$3="","",IF(CV$3=Steps,MAX(IF(CallPut=1,UndTree!CV32-Strike,Strike-UndTree!CV32),0),MAX((2-AmEur)*IF(CallPut=1,UndTree!CV32-Strike,Strike-UndTree!CV32),(UpProb*CW32+DownProb*CW33)*StepDiscount)))</f>
        <v>204.43122345425755</v>
      </c>
      <c r="CW32" s="17">
        <f>IF(CW$3="","",IF(CW$3=Steps,MAX(IF(CallPut=1,UndTree!CW32-Strike,Strike-UndTree!CW32),0),MAX((2-AmEur)*IF(CallPut=1,UndTree!CW32-Strike,Strike-UndTree!CW32),(UpProb*CX32+DownProb*CX33)*StepDiscount)))</f>
        <v>213.58512666546321</v>
      </c>
      <c r="CX32" s="17">
        <f>IF(CX$3="","",IF(CX$3=Steps,MAX(IF(CallPut=1,UndTree!CX32-Strike,Strike-UndTree!CX32),0),MAX((2-AmEur)*IF(CallPut=1,UndTree!CX32-Strike,Strike-UndTree!CX32),(UpProb*CY32+DownProb*CY33)*StepDiscount)))</f>
        <v>223.01770265776858</v>
      </c>
      <c r="CY32" s="17">
        <f>IF(CY$3="","",IF(CY$3=Steps,MAX(IF(CallPut=1,UndTree!CY32-Strike,Strike-UndTree!CY32),0),MAX((2-AmEur)*IF(CallPut=1,UndTree!CY32-Strike,Strike-UndTree!CY32),(UpProb*CZ32+DownProb*CZ33)*StepDiscount)))</f>
        <v>232.73738839118701</v>
      </c>
      <c r="CZ32" s="17">
        <f>IF(CZ$3="","",IF(CZ$3=Steps,MAX(IF(CallPut=1,UndTree!CZ32-Strike,Strike-UndTree!CZ32),0),MAX((2-AmEur)*IF(CallPut=1,UndTree!CZ32-Strike,Strike-UndTree!CZ32),(UpProb*DA32+DownProb*DA33)*StepDiscount)))</f>
        <v>242.75287623449921</v>
      </c>
      <c r="DA32" s="17">
        <f>IF(DA$3="","",IF(DA$3=Steps,MAX(IF(CallPut=1,UndTree!DA32-Strike,Strike-UndTree!DA32),0),MAX((2-AmEur)*IF(CallPut=1,UndTree!DA32-Strike,Strike-UndTree!DA32),(UpProb*DB32+DownProb*DB33)*StepDiscount)))</f>
        <v>253.07312169723568</v>
      </c>
      <c r="DB32" s="17">
        <f>IF(DB$3="","",IF(DB$3=Steps,MAX(IF(CallPut=1,UndTree!DB32-Strike,Strike-UndTree!DB32),0),MAX((2-AmEur)*IF(CallPut=1,UndTree!DB32-Strike,Strike-UndTree!DB32),(UpProb*DC32+DownProb*DC33)*StepDiscount)))</f>
        <v>263.70735139620001</v>
      </c>
    </row>
    <row r="33" spans="1:106" x14ac:dyDescent="0.2">
      <c r="A33">
        <f>ExDivTree!A33</f>
        <v>1.7409661513983014E+25</v>
      </c>
      <c r="B33" s="71">
        <f>ExDivTree!B33</f>
        <v>6.8669006707560256E-6</v>
      </c>
      <c r="C33" s="71">
        <f>ExDivTree!C33</f>
        <v>7.6931393443732312E-6</v>
      </c>
      <c r="D33" s="177">
        <f>ExDivTree!D33</f>
        <v>29</v>
      </c>
      <c r="AH33" s="17">
        <f>IF(AH$3="","",IF(AH$3=Steps,MAX(IF(CallPut=1,UndTree!AH33-Strike,Strike-UndTree!AH33),0),MAX((2-AmEur)*IF(CallPut=1,UndTree!AH33-Strike,Strike-UndTree!AH33),(UpProb*AI33+DownProb*AI34)*StepDiscount)))</f>
        <v>8.2296452050762661E-4</v>
      </c>
      <c r="AI33" s="17">
        <f>IF(AI$3="","",IF(AI$3=Steps,MAX(IF(CallPut=1,UndTree!AI33-Strike,Strike-UndTree!AI33),0),MAX((2-AmEur)*IF(CallPut=1,UndTree!AI33-Strike,Strike-UndTree!AI33),(UpProb*AJ33+DownProb*AJ34)*StepDiscount)))</f>
        <v>1.214302606201592E-3</v>
      </c>
      <c r="AJ33" s="17">
        <f>IF(AJ$3="","",IF(AJ$3=Steps,MAX(IF(CallPut=1,UndTree!AJ33-Strike,Strike-UndTree!AJ33),0),MAX((2-AmEur)*IF(CallPut=1,UndTree!AJ33-Strike,Strike-UndTree!AJ33),(UpProb*AK33+DownProb*AK34)*StepDiscount)))</f>
        <v>1.7838118254316895E-3</v>
      </c>
      <c r="AK33" s="17">
        <f>IF(AK$3="","",IF(AK$3=Steps,MAX(IF(CallPut=1,UndTree!AK33-Strike,Strike-UndTree!AK33),0),MAX((2-AmEur)*IF(CallPut=1,UndTree!AK33-Strike,Strike-UndTree!AK33),(UpProb*AL33+DownProb*AL34)*StepDiscount)))</f>
        <v>2.6085229331546059E-3</v>
      </c>
      <c r="AL33" s="17">
        <f>IF(AL$3="","",IF(AL$3=Steps,MAX(IF(CallPut=1,UndTree!AL33-Strike,Strike-UndTree!AL33),0),MAX((2-AmEur)*IF(CallPut=1,UndTree!AL33-Strike,Strike-UndTree!AL33),(UpProb*AM33+DownProb*AM34)*StepDiscount)))</f>
        <v>3.7967249778900355E-3</v>
      </c>
      <c r="AM33" s="17">
        <f>IF(AM$3="","",IF(AM$3=Steps,MAX(IF(CallPut=1,UndTree!AM33-Strike,Strike-UndTree!AM33),0),MAX((2-AmEur)*IF(CallPut=1,UndTree!AM33-Strike,Strike-UndTree!AM33),(UpProb*AN33+DownProb*AN34)*StepDiscount)))</f>
        <v>5.4996609442382379E-3</v>
      </c>
      <c r="AN33" s="17">
        <f>IF(AN$3="","",IF(AN$3=Steps,MAX(IF(CallPut=1,UndTree!AN33-Strike,Strike-UndTree!AN33),0),MAX((2-AmEur)*IF(CallPut=1,UndTree!AN33-Strike,Strike-UndTree!AN33),(UpProb*AO33+DownProb*AO34)*StepDiscount)))</f>
        <v>7.9271388026796279E-3</v>
      </c>
      <c r="AO33" s="17">
        <f>IF(AO$3="","",IF(AO$3=Steps,MAX(IF(CallPut=1,UndTree!AO33-Strike,Strike-UndTree!AO33),0),MAX((2-AmEur)*IF(CallPut=1,UndTree!AO33-Strike,Strike-UndTree!AO33),(UpProb*AP33+DownProb*AP34)*StepDiscount)))</f>
        <v>1.1368161827505469E-2</v>
      </c>
      <c r="AP33" s="17">
        <f>IF(AP$3="","",IF(AP$3=Steps,MAX(IF(CallPut=1,UndTree!AP33-Strike,Strike-UndTree!AP33),0),MAX((2-AmEur)*IF(CallPut=1,UndTree!AP33-Strike,Strike-UndTree!AP33),(UpProb*AQ33+DownProb*AQ34)*StepDiscount)))</f>
        <v>1.621790282154981E-2</v>
      </c>
      <c r="AQ33" s="17">
        <f>IF(AQ$3="","",IF(AQ$3=Steps,MAX(IF(CallPut=1,UndTree!AQ33-Strike,Strike-UndTree!AQ33),0),MAX((2-AmEur)*IF(CallPut=1,UndTree!AQ33-Strike,Strike-UndTree!AQ33),(UpProb*AR33+DownProb*AR34)*StepDiscount)))</f>
        <v>2.3012571724403109E-2</v>
      </c>
      <c r="AR33" s="17">
        <f>IF(AR$3="","",IF(AR$3=Steps,MAX(IF(CallPut=1,UndTree!AR33-Strike,Strike-UndTree!AR33),0),MAX((2-AmEur)*IF(CallPut=1,UndTree!AR33-Strike,Strike-UndTree!AR33),(UpProb*AS33+DownProb*AS34)*StepDiscount)))</f>
        <v>3.2473933386274266E-2</v>
      </c>
      <c r="AS33" s="17">
        <f>IF(AS$3="","",IF(AS$3=Steps,MAX(IF(CallPut=1,UndTree!AS33-Strike,Strike-UndTree!AS33),0),MAX((2-AmEur)*IF(CallPut=1,UndTree!AS33-Strike,Strike-UndTree!AS33),(UpProb*AT33+DownProb*AT34)*StepDiscount)))</f>
        <v>4.5565389602455694E-2</v>
      </c>
      <c r="AT33" s="17">
        <f>IF(AT$3="","",IF(AT$3=Steps,MAX(IF(CallPut=1,UndTree!AT33-Strike,Strike-UndTree!AT33),0),MAX((2-AmEur)*IF(CallPut=1,UndTree!AT33-Strike,Strike-UndTree!AT33),(UpProb*AU33+DownProb*AU34)*StepDiscount)))</f>
        <v>6.3561601274324434E-2</v>
      </c>
      <c r="AU33" s="17">
        <f>IF(AU$3="","",IF(AU$3=Steps,MAX(IF(CallPut=1,UndTree!AU33-Strike,Strike-UndTree!AU33),0),MAX((2-AmEur)*IF(CallPut=1,UndTree!AU33-Strike,Strike-UndTree!AU33),(UpProb*AV33+DownProb*AV34)*StepDiscount)))</f>
        <v>8.8133532588415248E-2</v>
      </c>
      <c r="AV33" s="17">
        <f>IF(AV$3="","",IF(AV$3=Steps,MAX(IF(CallPut=1,UndTree!AV33-Strike,Strike-UndTree!AV33),0),MAX((2-AmEur)*IF(CallPut=1,UndTree!AV33-Strike,Strike-UndTree!AV33),(UpProb*AW33+DownProb*AW34)*StepDiscount)))</f>
        <v>0.12145047435317906</v>
      </c>
      <c r="AW33" s="17">
        <f>IF(AW$3="","",IF(AW$3=Steps,MAX(IF(CallPut=1,UndTree!AW33-Strike,Strike-UndTree!AW33),0),MAX((2-AmEur)*IF(CallPut=1,UndTree!AW33-Strike,Strike-UndTree!AW33),(UpProb*AX33+DownProb*AX34)*StepDiscount)))</f>
        <v>0.16629996044209053</v>
      </c>
      <c r="AX33" s="17">
        <f>IF(AX$3="","",IF(AX$3=Steps,MAX(IF(CallPut=1,UndTree!AX33-Strike,Strike-UndTree!AX33),0),MAX((2-AmEur)*IF(CallPut=1,UndTree!AX33-Strike,Strike-UndTree!AX33),(UpProb*AY33+DownProb*AY34)*StepDiscount)))</f>
        <v>0.22622543513761934</v>
      </c>
      <c r="AY33" s="17">
        <f>IF(AY$3="","",IF(AY$3=Steps,MAX(IF(CallPut=1,UndTree!AY33-Strike,Strike-UndTree!AY33),0),MAX((2-AmEur)*IF(CallPut=1,UndTree!AY33-Strike,Strike-UndTree!AY33),(UpProb*AZ33+DownProb*AZ34)*StepDiscount)))</f>
        <v>0.30567996929363167</v>
      </c>
      <c r="AZ33" s="17">
        <f>IF(AZ$3="","",IF(AZ$3=Steps,MAX(IF(CallPut=1,UndTree!AZ33-Strike,Strike-UndTree!AZ33),0),MAX((2-AmEur)*IF(CallPut=1,UndTree!AZ33-Strike,Strike-UndTree!AZ33),(UpProb*BA33+DownProb*BA34)*StepDiscount)))</f>
        <v>0.41019218929378337</v>
      </c>
      <c r="BA33" s="17">
        <f>IF(BA$3="","",IF(BA$3=Steps,MAX(IF(CallPut=1,UndTree!BA33-Strike,Strike-UndTree!BA33),0),MAX((2-AmEur)*IF(CallPut=1,UndTree!BA33-Strike,Strike-UndTree!BA33),(UpProb*BB33+DownProb*BB34)*StepDiscount)))</f>
        <v>0.54653784821569018</v>
      </c>
      <c r="BB33" s="17">
        <f>IF(BB$3="","",IF(BB$3=Steps,MAX(IF(CallPut=1,UndTree!BB33-Strike,Strike-UndTree!BB33),0),MAX((2-AmEur)*IF(CallPut=1,UndTree!BB33-Strike,Strike-UndTree!BB33),(UpProb*BC33+DownProb*BC34)*StepDiscount)))</f>
        <v>0.72290718034377766</v>
      </c>
      <c r="BC33" s="17">
        <f>IF(BC$3="","",IF(BC$3=Steps,MAX(IF(CallPut=1,UndTree!BC33-Strike,Strike-UndTree!BC33),0),MAX((2-AmEur)*IF(CallPut=1,UndTree!BC33-Strike,Strike-UndTree!BC33),(UpProb*BD33+DownProb*BD34)*StepDiscount)))</f>
        <v>0.94905449270460729</v>
      </c>
      <c r="BD33" s="17">
        <f>IF(BD$3="","",IF(BD$3=Steps,MAX(IF(CallPut=1,UndTree!BD33-Strike,Strike-UndTree!BD33),0),MAX((2-AmEur)*IF(CallPut=1,UndTree!BD33-Strike,Strike-UndTree!BD33),(UpProb*BE33+DownProb*BE34)*StepDiscount)))</f>
        <v>1.2364126567566323</v>
      </c>
      <c r="BE33" s="17">
        <f>IF(BE$3="","",IF(BE$3=Steps,MAX(IF(CallPut=1,UndTree!BE33-Strike,Strike-UndTree!BE33),0),MAX((2-AmEur)*IF(CallPut=1,UndTree!BE33-Strike,Strike-UndTree!BE33),(UpProb*BF33+DownProb*BF34)*StepDiscount)))</f>
        <v>1.5981517342599025</v>
      </c>
      <c r="BF33" s="17">
        <f>IF(BF$3="","",IF(BF$3=Steps,MAX(IF(CallPut=1,UndTree!BF33-Strike,Strike-UndTree!BF33),0),MAX((2-AmEur)*IF(CallPut=1,UndTree!BF33-Strike,Strike-UndTree!BF33),(UpProb*BG33+DownProb*BG34)*StepDiscount)))</f>
        <v>2.0491585455562626</v>
      </c>
      <c r="BG33" s="17">
        <f>IF(BG$3="","",IF(BG$3=Steps,MAX(IF(CallPut=1,UndTree!BG33-Strike,Strike-UndTree!BG33),0),MAX((2-AmEur)*IF(CallPut=1,UndTree!BG33-Strike,Strike-UndTree!BG33),(UpProb*BH33+DownProb*BH34)*StepDiscount)))</f>
        <v>2.605913363475441</v>
      </c>
      <c r="BH33" s="17">
        <f>IF(BH$3="","",IF(BH$3=Steps,MAX(IF(CallPut=1,UndTree!BH33-Strike,Strike-UndTree!BH33),0),MAX((2-AmEur)*IF(CallPut=1,UndTree!BH33-Strike,Strike-UndTree!BH33),(UpProb*BI33+DownProb*BI34)*StepDiscount)))</f>
        <v>3.2862419785092949</v>
      </c>
      <c r="BI33" s="17">
        <f>IF(BI$3="","",IF(BI$3=Steps,MAX(IF(CallPut=1,UndTree!BI33-Strike,Strike-UndTree!BI33),0),MAX((2-AmEur)*IF(CallPut=1,UndTree!BI33-Strike,Strike-UndTree!BI33),(UpProb*BJ33+DownProb*BJ34)*StepDiscount)))</f>
        <v>4.1089269841263691</v>
      </c>
      <c r="BJ33" s="17">
        <f>IF(BJ$3="","",IF(BJ$3=Steps,MAX(IF(CallPut=1,UndTree!BJ33-Strike,Strike-UndTree!BJ33),0),MAX((2-AmEur)*IF(CallPut=1,UndTree!BJ33-Strike,Strike-UndTree!BJ33),(UpProb*BK33+DownProb*BK34)*StepDiscount)))</f>
        <v>5.093171912369602</v>
      </c>
      <c r="BK33" s="17">
        <f>IF(BK$3="","",IF(BK$3=Steps,MAX(IF(CallPut=1,UndTree!BK33-Strike,Strike-UndTree!BK33),0),MAX((2-AmEur)*IF(CallPut=1,UndTree!BK33-Strike,Strike-UndTree!BK33),(UpProb*BL33+DownProb*BL34)*StepDiscount)))</f>
        <v>6.2579259962845031</v>
      </c>
      <c r="BL33" s="17">
        <f>IF(BL$3="","",IF(BL$3=Steps,MAX(IF(CallPut=1,UndTree!BL33-Strike,Strike-UndTree!BL33),0),MAX((2-AmEur)*IF(CallPut=1,UndTree!BL33-Strike,Strike-UndTree!BL33),(UpProb*BM33+DownProb*BM34)*StepDiscount)))</f>
        <v>7.6210953277216671</v>
      </c>
      <c r="BM33" s="17">
        <f>IF(BM$3="","",IF(BM$3=Steps,MAX(IF(CallPut=1,UndTree!BM33-Strike,Strike-UndTree!BM33),0),MAX((2-AmEur)*IF(CallPut=1,UndTree!BM33-Strike,Strike-UndTree!BM33),(UpProb*BN33+DownProb*BN34)*StepDiscount)))</f>
        <v>9.1986865641424878</v>
      </c>
      <c r="BN33" s="17">
        <f>IF(BN$3="","",IF(BN$3=Steps,MAX(IF(CallPut=1,UndTree!BN33-Strike,Strike-UndTree!BN33),0),MAX((2-AmEur)*IF(CallPut=1,UndTree!BN33-Strike,Strike-UndTree!BN33),(UpProb*BO33+DownProb*BO34)*StepDiscount)))</f>
        <v>11.003949610494137</v>
      </c>
      <c r="BO33" s="17">
        <f>IF(BO$3="","",IF(BO$3=Steps,MAX(IF(CallPut=1,UndTree!BO33-Strike,Strike-UndTree!BO33),0),MAX((2-AmEur)*IF(CallPut=1,UndTree!BO33-Strike,Strike-UndTree!BO33),(UpProb*BP33+DownProb*BP34)*StepDiscount)))</f>
        <v>13.046602378971295</v>
      </c>
      <c r="BP33" s="17">
        <f>IF(BP$3="","",IF(BP$3=Steps,MAX(IF(CallPut=1,UndTree!BP33-Strike,Strike-UndTree!BP33),0),MAX((2-AmEur)*IF(CallPut=1,UndTree!BP33-Strike,Strike-UndTree!BP33),(UpProb*BQ33+DownProb*BQ34)*StepDiscount)))</f>
        <v>15.332229706559742</v>
      </c>
      <c r="BQ33" s="17">
        <f>IF(BQ$3="","",IF(BQ$3=Steps,MAX(IF(CallPut=1,UndTree!BQ33-Strike,Strike-UndTree!BQ33),0),MAX((2-AmEur)*IF(CallPut=1,UndTree!BQ33-Strike,Strike-UndTree!BQ33),(UpProb*BR33+DownProb*BR34)*StepDiscount)))</f>
        <v>17.861945746052001</v>
      </c>
      <c r="BR33" s="17">
        <f>IF(BR$3="","",IF(BR$3=Steps,MAX(IF(CallPut=1,UndTree!BR33-Strike,Strike-UndTree!BR33),0),MAX((2-AmEur)*IF(CallPut=1,UndTree!BR33-Strike,Strike-UndTree!BR33),(UpProb*BS33+DownProb*BS34)*StepDiscount)))</f>
        <v>20.632391641556264</v>
      </c>
      <c r="BS33" s="17">
        <f>IF(BS$3="","",IF(BS$3=Steps,MAX(IF(CallPut=1,UndTree!BS33-Strike,Strike-UndTree!BS33),0),MAX((2-AmEur)*IF(CallPut=1,UndTree!BS33-Strike,Strike-UndTree!BS33),(UpProb*BT33+DownProb*BT34)*StepDiscount)))</f>
        <v>23.636107231336609</v>
      </c>
      <c r="BT33" s="17">
        <f>IF(BT$3="","",IF(BT$3=Steps,MAX(IF(CallPut=1,UndTree!BT33-Strike,Strike-UndTree!BT33),0),MAX((2-AmEur)*IF(CallPut=1,UndTree!BT33-Strike,Strike-UndTree!BT33),(UpProb*BU33+DownProb*BU34)*StepDiscount)))</f>
        <v>26.86226925806309</v>
      </c>
      <c r="BU33" s="17">
        <f>IF(BU$3="","",IF(BU$3=Steps,MAX(IF(CallPut=1,UndTree!BU33-Strike,Strike-UndTree!BU33),0),MAX((2-AmEur)*IF(CallPut=1,UndTree!BU33-Strike,Strike-UndTree!BU33),(UpProb*BV33+DownProb*BV34)*StepDiscount)))</f>
        <v>30.297735193917703</v>
      </c>
      <c r="BV33" s="17">
        <f>IF(BV$3="","",IF(BV$3=Steps,MAX(IF(CallPut=1,UndTree!BV33-Strike,Strike-UndTree!BV33),0),MAX((2-AmEur)*IF(CallPut=1,UndTree!BV33-Strike,Strike-UndTree!BV33),(UpProb*BW33+DownProb*BW34)*StepDiscount)))</f>
        <v>33.928280744878514</v>
      </c>
      <c r="BW33" s="17">
        <f>IF(BW$3="","",IF(BW$3=Steps,MAX(IF(CallPut=1,UndTree!BW33-Strike,Strike-UndTree!BW33),0),MAX((2-AmEur)*IF(CallPut=1,UndTree!BW33-Strike,Strike-UndTree!BW33),(UpProb*BX33+DownProb*BX34)*StepDiscount)))</f>
        <v>37.739881665998951</v>
      </c>
      <c r="BX33" s="17">
        <f>IF(BX$3="","",IF(BX$3=Steps,MAX(IF(CallPut=1,UndTree!BX33-Strike,Strike-UndTree!BX33),0),MAX((2-AmEur)*IF(CallPut=1,UndTree!BX33-Strike,Strike-UndTree!BX33),(UpProb*BY33+DownProb*BY34)*StepDiscount)))</f>
        <v>41.719877191473941</v>
      </c>
      <c r="BY33" s="17">
        <f>IF(BY$3="","",IF(BY$3=Steps,MAX(IF(CallPut=1,UndTree!BY33-Strike,Strike-UndTree!BY33),0),MAX((2-AmEur)*IF(CallPut=1,UndTree!BY33-Strike,Strike-UndTree!BY33),(UpProb*BZ33+DownProb*BZ34)*StepDiscount)))</f>
        <v>45.857869605850901</v>
      </c>
      <c r="BZ33" s="17">
        <f>IF(BZ$3="","",IF(BZ$3=Steps,MAX(IF(CallPut=1,UndTree!BZ33-Strike,Strike-UndTree!BZ33),0),MAX((2-AmEur)*IF(CallPut=1,UndTree!BZ33-Strike,Strike-UndTree!BZ33),(UpProb*CA33+DownProb*CA34)*StepDiscount)))</f>
        <v>50.146261716649853</v>
      </c>
      <c r="CA33" s="17">
        <f>IF(CA$3="","",IF(CA$3=Steps,MAX(IF(CallPut=1,UndTree!CA33-Strike,Strike-UndTree!CA33),0),MAX((2-AmEur)*IF(CallPut=1,UndTree!CA33-Strike,Strike-UndTree!CA33),(UpProb*CB33+DownProb*CB34)*StepDiscount)))</f>
        <v>54.580402325263179</v>
      </c>
      <c r="CB33" s="17">
        <f>IF(CB$3="","",IF(CB$3=Steps,MAX(IF(CallPut=1,UndTree!CB33-Strike,Strike-UndTree!CB33),0),MAX((2-AmEur)*IF(CallPut=1,UndTree!CB33-Strike,Strike-UndTree!CB33),(UpProb*CC33+DownProb*CC34)*StepDiscount)))</f>
        <v>59.158383192020786</v>
      </c>
      <c r="CC33" s="17">
        <f>IF(CC$3="","",IF(CC$3=Steps,MAX(IF(CallPut=1,UndTree!CC33-Strike,Strike-UndTree!CC33),0),MAX((2-AmEur)*IF(CallPut=1,UndTree!CC33-Strike,Strike-UndTree!CC33),(UpProb*CD33+DownProb*CD34)*StepDiscount)))</f>
        <v>63.880590456410459</v>
      </c>
      <c r="CD33" s="17">
        <f>IF(CD$3="","",IF(CD$3=Steps,MAX(IF(CallPut=1,UndTree!CD33-Strike,Strike-UndTree!CD33),0),MAX((2-AmEur)*IF(CallPut=1,UndTree!CD33-Strike,Strike-UndTree!CD33),(UpProb*CE33+DownProb*CE34)*StepDiscount)))</f>
        <v>68.749143240382537</v>
      </c>
      <c r="CE33" s="17">
        <f>IF(CE$3="","",IF(CE$3=Steps,MAX(IF(CallPut=1,UndTree!CE33-Strike,Strike-UndTree!CE33),0),MAX((2-AmEur)*IF(CallPut=1,UndTree!CE33-Strike,Strike-UndTree!CE33),(UpProb*CF33+DownProb*CF34)*StepDiscount)))</f>
        <v>73.76734569543089</v>
      </c>
      <c r="CF33" s="17">
        <f>IF(CF$3="","",IF(CF$3=Steps,MAX(IF(CallPut=1,UndTree!CF33-Strike,Strike-UndTree!CF33),0),MAX((2-AmEur)*IF(CallPut=1,UndTree!CF33-Strike,Strike-UndTree!CF33),(UpProb*CG33+DownProb*CG34)*StepDiscount)))</f>
        <v>78.939241757042709</v>
      </c>
      <c r="CG33" s="17">
        <f>IF(CG$3="","",IF(CG$3=Steps,MAX(IF(CallPut=1,UndTree!CG33-Strike,Strike-UndTree!CG33),0),MAX((2-AmEur)*IF(CallPut=1,UndTree!CG33-Strike,Strike-UndTree!CG33),(UpProb*CH33+DownProb*CH34)*StepDiscount)))</f>
        <v>84.269310298916935</v>
      </c>
      <c r="CH33" s="17">
        <f>IF(CH$3="","",IF(CH$3=Steps,MAX(IF(CallPut=1,UndTree!CH33-Strike,Strike-UndTree!CH33),0),MAX((2-AmEur)*IF(CallPut=1,UndTree!CH33-Strike,Strike-UndTree!CH33),(UpProb*CI33+DownProb*CI34)*StepDiscount)))</f>
        <v>89.762291663600791</v>
      </c>
      <c r="CI33" s="17">
        <f>IF(CI$3="","",IF(CI$3=Steps,MAX(IF(CallPut=1,UndTree!CI33-Strike,Strike-UndTree!CI33),0),MAX((2-AmEur)*IF(CallPut=1,UndTree!CI33-Strike,Strike-UndTree!CI33),(UpProb*CJ33+DownProb*CJ34)*StepDiscount)))</f>
        <v>95.423109014218014</v>
      </c>
      <c r="CJ33" s="17">
        <f>IF(CJ$3="","",IF(CJ$3=Steps,MAX(IF(CallPut=1,UndTree!CJ33-Strike,Strike-UndTree!CJ33),0),MAX((2-AmEur)*IF(CallPut=1,UndTree!CJ33-Strike,Strike-UndTree!CJ33),(UpProb*CK33+DownProb*CK34)*StepDiscount)))</f>
        <v>101.25684303870136</v>
      </c>
      <c r="CK33" s="17">
        <f>IF(CK$3="","",IF(CK$3=Steps,MAX(IF(CallPut=1,UndTree!CK33-Strike,Strike-UndTree!CK33),0),MAX((2-AmEur)*IF(CallPut=1,UndTree!CK33-Strike,Strike-UndTree!CK33),(UpProb*CL33+DownProb*CL34)*StepDiscount)))</f>
        <v>107.26872918288802</v>
      </c>
      <c r="CL33" s="17">
        <f>IF(CL$3="","",IF(CL$3=Steps,MAX(IF(CallPut=1,UndTree!CL33-Strike,Strike-UndTree!CL33),0),MAX((2-AmEur)*IF(CallPut=1,UndTree!CL33-Strike,Strike-UndTree!CL33),(UpProb*CM33+DownProb*CM34)*StepDiscount)))</f>
        <v>113.46416138339603</v>
      </c>
      <c r="CM33" s="17">
        <f>IF(CM$3="","",IF(CM$3=Steps,MAX(IF(CallPut=1,UndTree!CM33-Strike,Strike-UndTree!CM33),0),MAX((2-AmEur)*IF(CallPut=1,UndTree!CM33-Strike,Strike-UndTree!CM33),(UpProb*CN33+DownProb*CN34)*StepDiscount)))</f>
        <v>119.84869686554848</v>
      </c>
      <c r="CN33" s="17">
        <f>IF(CN$3="","",IF(CN$3=Steps,MAX(IF(CallPut=1,UndTree!CN33-Strike,Strike-UndTree!CN33),0),MAX((2-AmEur)*IF(CallPut=1,UndTree!CN33-Strike,Strike-UndTree!CN33),(UpProb*CO33+DownProb*CO34)*StepDiscount)))</f>
        <v>126.42806108654288</v>
      </c>
      <c r="CO33" s="17">
        <f>IF(CO$3="","",IF(CO$3=Steps,MAX(IF(CallPut=1,UndTree!CO33-Strike,Strike-UndTree!CO33),0),MAX((2-AmEur)*IF(CallPut=1,UndTree!CO33-Strike,Strike-UndTree!CO33),(UpProb*CP33+DownProb*CP34)*StepDiscount)))</f>
        <v>133.2081528282622</v>
      </c>
      <c r="CP33" s="17">
        <f>IF(CP$3="","",IF(CP$3=Steps,MAX(IF(CallPut=1,UndTree!CP33-Strike,Strike-UndTree!CP33),0),MAX((2-AmEur)*IF(CallPut=1,UndTree!CP33-Strike,Strike-UndTree!CP33),(UpProb*CQ33+DownProb*CQ34)*StepDiscount)))</f>
        <v>140.195049444256</v>
      </c>
      <c r="CQ33" s="17">
        <f>IF(CQ$3="","",IF(CQ$3=Steps,MAX(IF(CallPut=1,UndTree!CQ33-Strike,Strike-UndTree!CQ33),0),MAX((2-AmEur)*IF(CallPut=1,UndTree!CQ33-Strike,Strike-UndTree!CQ33),(UpProb*CR33+DownProb*CR34)*StepDiscount)))</f>
        <v>147.39501226555873</v>
      </c>
      <c r="CR33" s="17">
        <f>IF(CR$3="","",IF(CR$3=Steps,MAX(IF(CallPut=1,UndTree!CR33-Strike,Strike-UndTree!CR33),0),MAX((2-AmEur)*IF(CallPut=1,UndTree!CR33-Strike,Strike-UndTree!CR33),(UpProb*CS33+DownProb*CS34)*StepDiscount)))</f>
        <v>154.81449217015287</v>
      </c>
      <c r="CS33" s="17">
        <f>IF(CS$3="","",IF(CS$3=Steps,MAX(IF(CallPut=1,UndTree!CS33-Strike,Strike-UndTree!CS33),0),MAX((2-AmEur)*IF(CallPut=1,UndTree!CS33-Strike,Strike-UndTree!CS33),(UpProb*CT33+DownProb*CT34)*StepDiscount)))</f>
        <v>162.4601353210318</v>
      </c>
      <c r="CT33" s="17">
        <f>IF(CT$3="","",IF(CT$3=Steps,MAX(IF(CallPut=1,UndTree!CT33-Strike,Strike-UndTree!CT33),0),MAX((2-AmEur)*IF(CallPut=1,UndTree!CT33-Strike,Strike-UndTree!CT33),(UpProb*CU33+DownProb*CU34)*StepDiscount)))</f>
        <v>170.3387890779702</v>
      </c>
      <c r="CU33" s="17">
        <f>IF(CU$3="","",IF(CU$3=Steps,MAX(IF(CallPut=1,UndTree!CU33-Strike,Strike-UndTree!CU33),0),MAX((2-AmEur)*IF(CallPut=1,UndTree!CU33-Strike,Strike-UndTree!CU33),(UpProb*CV33+DownProb*CV34)*StepDiscount)))</f>
        <v>178.457508088266</v>
      </c>
      <c r="CV33" s="17">
        <f>IF(CV$3="","",IF(CV$3=Steps,MAX(IF(CallPut=1,UndTree!CV33-Strike,Strike-UndTree!CV33),0),MAX((2-AmEur)*IF(CallPut=1,UndTree!CV33-Strike,Strike-UndTree!CV33),(UpProb*CW33+DownProb*CW34)*StepDiscount)))</f>
        <v>186.82356056187683</v>
      </c>
      <c r="CW33" s="17">
        <f>IF(CW$3="","",IF(CW$3=Steps,MAX(IF(CallPut=1,UndTree!CW33-Strike,Strike-UndTree!CW33),0),MAX((2-AmEur)*IF(CallPut=1,UndTree!CW33-Strike,Strike-UndTree!CW33),(UpProb*CX33+DownProb*CX34)*StepDiscount)))</f>
        <v>195.44443473653405</v>
      </c>
      <c r="CX33" s="17">
        <f>IF(CX$3="","",IF(CX$3=Steps,MAX(IF(CallPut=1,UndTree!CX33-Strike,Strike-UndTree!CX33),0),MAX((2-AmEur)*IF(CallPut=1,UndTree!CX33-Strike,Strike-UndTree!CX33),(UpProb*CY33+DownProb*CY34)*StepDiscount)))</f>
        <v>204.32784553857252</v>
      </c>
      <c r="CY33" s="17">
        <f>IF(CY$3="","",IF(CY$3=Steps,MAX(IF(CallPut=1,UndTree!CY33-Strike,Strike-UndTree!CY33),0),MAX((2-AmEur)*IF(CallPut=1,UndTree!CY33-Strike,Strike-UndTree!CY33),(UpProb*CZ33+DownProb*CZ34)*StepDiscount)))</f>
        <v>213.48174144537592</v>
      </c>
      <c r="CZ33" s="17">
        <f>IF(CZ$3="","",IF(CZ$3=Steps,MAX(IF(CallPut=1,UndTree!CZ33-Strike,Strike-UndTree!CZ33),0),MAX((2-AmEur)*IF(CallPut=1,UndTree!CZ33-Strike,Strike-UndTree!CZ33),(UpProb*DA33+DownProb*DA34)*StepDiscount)))</f>
        <v>222.91431155551035</v>
      </c>
      <c r="DA33" s="17">
        <f>IF(DA$3="","",IF(DA$3=Steps,MAX(IF(CallPut=1,UndTree!DA33-Strike,Strike-UndTree!DA33),0),MAX((2-AmEur)*IF(CallPut=1,UndTree!DA33-Strike,Strike-UndTree!DA33),(UpProb*DB33+DownProb*DB34)*StepDiscount)))</f>
        <v>232.63399287280345</v>
      </c>
      <c r="DB33" s="17">
        <f>IF(DB$3="","",IF(DB$3=Steps,MAX(IF(CallPut=1,UndTree!DB33-Strike,Strike-UndTree!DB33),0),MAX((2-AmEur)*IF(CallPut=1,UndTree!DB33-Strike,Strike-UndTree!DB33),(UpProb*DC33+DownProb*DC34)*StepDiscount)))</f>
        <v>242.64947781069998</v>
      </c>
    </row>
    <row r="34" spans="1:106" x14ac:dyDescent="0.2">
      <c r="A34">
        <f>ExDivTree!A34</f>
        <v>4.1783187633559242E+25</v>
      </c>
      <c r="B34" s="71">
        <f>ExDivTree!B34</f>
        <v>1.6480561609814465E-5</v>
      </c>
      <c r="C34" s="71">
        <f>ExDivTree!C34</f>
        <v>1.8365918756259048E-5</v>
      </c>
      <c r="D34" s="177">
        <f>ExDivTree!D34</f>
        <v>30</v>
      </c>
      <c r="AI34" s="17">
        <f>IF(AI$3="","",IF(AI$3=Steps,MAX(IF(CallPut=1,UndTree!AI34-Strike,Strike-UndTree!AI34),0),MAX((2-AmEur)*IF(CallPut=1,UndTree!AI34-Strike,Strike-UndTree!AI34),(UpProb*AJ34+DownProb*AJ35)*StepDiscount)))</f>
        <v>4.304150573489495E-4</v>
      </c>
      <c r="AJ34" s="17">
        <f>IF(AJ$3="","",IF(AJ$3=Steps,MAX(IF(CallPut=1,UndTree!AJ34-Strike,Strike-UndTree!AJ34),0),MAX((2-AmEur)*IF(CallPut=1,UndTree!AJ34-Strike,Strike-UndTree!AJ34),(UpProb*AK34+DownProb*AK35)*StepDiscount)))</f>
        <v>6.4304806167254545E-4</v>
      </c>
      <c r="AK34" s="17">
        <f>IF(AK$3="","",IF(AK$3=Steps,MAX(IF(CallPut=1,UndTree!AK34-Strike,Strike-UndTree!AK34),0),MAX((2-AmEur)*IF(CallPut=1,UndTree!AK34-Strike,Strike-UndTree!AK34),(UpProb*AL34+DownProb*AL35)*StepDiscount)))</f>
        <v>9.5660007426578389E-4</v>
      </c>
      <c r="AL34" s="17">
        <f>IF(AL$3="","",IF(AL$3=Steps,MAX(IF(CallPut=1,UndTree!AL34-Strike,Strike-UndTree!AL34),0),MAX((2-AmEur)*IF(CallPut=1,UndTree!AL34-Strike,Strike-UndTree!AL34),(UpProb*AM34+DownProb*AM35)*StepDiscount)))</f>
        <v>1.4167587197816459E-3</v>
      </c>
      <c r="AM34" s="17">
        <f>IF(AM$3="","",IF(AM$3=Steps,MAX(IF(CallPut=1,UndTree!AM34-Strike,Strike-UndTree!AM34),0),MAX((2-AmEur)*IF(CallPut=1,UndTree!AM34-Strike,Strike-UndTree!AM34),(UpProb*AN34+DownProb*AN35)*StepDiscount)))</f>
        <v>2.0887451027740357E-3</v>
      </c>
      <c r="AN34" s="17">
        <f>IF(AN$3="","",IF(AN$3=Steps,MAX(IF(CallPut=1,UndTree!AN34-Strike,Strike-UndTree!AN34),0),MAX((2-AmEur)*IF(CallPut=1,UndTree!AN34-Strike,Strike-UndTree!AN34),(UpProb*AO34+DownProb*AO35)*StepDiscount)))</f>
        <v>3.0650855765912452E-3</v>
      </c>
      <c r="AO34" s="17">
        <f>IF(AO$3="","",IF(AO$3=Steps,MAX(IF(CallPut=1,UndTree!AO34-Strike,Strike-UndTree!AO34),0),MAX((2-AmEur)*IF(CallPut=1,UndTree!AO34-Strike,Strike-UndTree!AO34),(UpProb*AP34+DownProb*AP35)*StepDiscount)))</f>
        <v>4.4761933241681323E-3</v>
      </c>
      <c r="AP34" s="17">
        <f>IF(AP$3="","",IF(AP$3=Steps,MAX(IF(CallPut=1,UndTree!AP34-Strike,Strike-UndTree!AP34),0),MAX((2-AmEur)*IF(CallPut=1,UndTree!AP34-Strike,Strike-UndTree!AP34),(UpProb*AQ34+DownProb*AQ35)*StepDiscount)))</f>
        <v>6.5046428253762627E-3</v>
      </c>
      <c r="AQ34" s="17">
        <f>IF(AQ$3="","",IF(AQ$3=Steps,MAX(IF(CallPut=1,UndTree!AQ34-Strike,Strike-UndTree!AQ34),0),MAX((2-AmEur)*IF(CallPut=1,UndTree!AQ34-Strike,Strike-UndTree!AQ34),(UpProb*AR34+DownProb*AR35)*StepDiscount)))</f>
        <v>9.4042372146640046E-3</v>
      </c>
      <c r="AR34" s="17">
        <f>IF(AR$3="","",IF(AR$3=Steps,MAX(IF(CallPut=1,UndTree!AR34-Strike,Strike-UndTree!AR34),0),MAX((2-AmEur)*IF(CallPut=1,UndTree!AR34-Strike,Strike-UndTree!AR34),(UpProb*AS34+DownProb*AS35)*StepDiscount)))</f>
        <v>1.3525211233745265E-2</v>
      </c>
      <c r="AS34" s="17">
        <f>IF(AS$3="","",IF(AS$3=Steps,MAX(IF(CallPut=1,UndTree!AS34-Strike,Strike-UndTree!AS34),0),MAX((2-AmEur)*IF(CallPut=1,UndTree!AS34-Strike,Strike-UndTree!AS34),(UpProb*AT34+DownProb*AT35)*StepDiscount)))</f>
        <v>1.9347170266795329E-2</v>
      </c>
      <c r="AT34" s="17">
        <f>IF(AT$3="","",IF(AT$3=Steps,MAX(IF(CallPut=1,UndTree!AT34-Strike,Strike-UndTree!AT34),0),MAX((2-AmEur)*IF(CallPut=1,UndTree!AT34-Strike,Strike-UndTree!AT34),(UpProb*AU34+DownProb*AU35)*StepDiscount)))</f>
        <v>2.7521619474055063E-2</v>
      </c>
      <c r="AU34" s="17">
        <f>IF(AU$3="","",IF(AU$3=Steps,MAX(IF(CallPut=1,UndTree!AU34-Strike,Strike-UndTree!AU34),0),MAX((2-AmEur)*IF(CallPut=1,UndTree!AU34-Strike,Strike-UndTree!AU34),(UpProb*AV34+DownProb*AV35)*StepDiscount)))</f>
        <v>3.8926155449088472E-2</v>
      </c>
      <c r="AV34" s="17">
        <f>IF(AV$3="","",IF(AV$3=Steps,MAX(IF(CallPut=1,UndTree!AV34-Strike,Strike-UndTree!AV34),0),MAX((2-AmEur)*IF(CallPut=1,UndTree!AV34-Strike,Strike-UndTree!AV34),(UpProb*AW34+DownProb*AW35)*StepDiscount)))</f>
        <v>5.4732530755474462E-2</v>
      </c>
      <c r="AW34" s="17">
        <f>IF(AW$3="","",IF(AW$3=Steps,MAX(IF(CallPut=1,UndTree!AW34-Strike,Strike-UndTree!AW34),0),MAX((2-AmEur)*IF(CallPut=1,UndTree!AW34-Strike,Strike-UndTree!AW34),(UpProb*AX34+DownProb*AX35)*StepDiscount)))</f>
        <v>7.6490796735574032E-2</v>
      </c>
      <c r="AX34" s="17">
        <f>IF(AX$3="","",IF(AX$3=Steps,MAX(IF(CallPut=1,UndTree!AX34-Strike,Strike-UndTree!AX34),0),MAX((2-AmEur)*IF(CallPut=1,UndTree!AX34-Strike,Strike-UndTree!AX34),(UpProb*AY34+DownProb*AY35)*StepDiscount)))</f>
        <v>0.10623150127232375</v>
      </c>
      <c r="AY34" s="17">
        <f>IF(AY$3="","",IF(AY$3=Steps,MAX(IF(CallPut=1,UndTree!AY34-Strike,Strike-UndTree!AY34),0),MAX((2-AmEur)*IF(CallPut=1,UndTree!AY34-Strike,Strike-UndTree!AY34),(UpProb*AZ34+DownProb*AZ35)*StepDiscount)))</f>
        <v>0.14658736731624109</v>
      </c>
      <c r="AZ34" s="17">
        <f>IF(AZ$3="","",IF(AZ$3=Steps,MAX(IF(CallPut=1,UndTree!AZ34-Strike,Strike-UndTree!AZ34),0),MAX((2-AmEur)*IF(CallPut=1,UndTree!AZ34-Strike,Strike-UndTree!AZ34),(UpProb*BA34+DownProb*BA35)*StepDiscount)))</f>
        <v>0.20093489358072836</v>
      </c>
      <c r="BA34" s="17">
        <f>IF(BA$3="","",IF(BA$3=Steps,MAX(IF(CallPut=1,UndTree!BA34-Strike,Strike-UndTree!BA34),0),MAX((2-AmEur)*IF(CallPut=1,UndTree!BA34-Strike,Strike-UndTree!BA34),(UpProb*BB34+DownProb*BB35)*StepDiscount)))</f>
        <v>0.27355478643661324</v>
      </c>
      <c r="BB34" s="17">
        <f>IF(BB$3="","",IF(BB$3=Steps,MAX(IF(CallPut=1,UndTree!BB34-Strike,Strike-UndTree!BB34),0),MAX((2-AmEur)*IF(CallPut=1,UndTree!BB34-Strike,Strike-UndTree!BB34),(UpProb*BC34+DownProb*BC35)*StepDiscount)))</f>
        <v>0.369807951224917</v>
      </c>
      <c r="BC34" s="17">
        <f>IF(BC$3="","",IF(BC$3=Steps,MAX(IF(CallPut=1,UndTree!BC34-Strike,Strike-UndTree!BC34),0),MAX((2-AmEur)*IF(CallPut=1,UndTree!BC34-Strike,Strike-UndTree!BC34),(UpProb*BD34+DownProb*BD35)*StepDiscount)))</f>
        <v>0.49632088079334657</v>
      </c>
      <c r="BD34" s="17">
        <f>IF(BD$3="","",IF(BD$3=Steps,MAX(IF(CallPut=1,UndTree!BD34-Strike,Strike-UndTree!BD34),0),MAX((2-AmEur)*IF(CallPut=1,UndTree!BD34-Strike,Strike-UndTree!BD34),(UpProb*BE34+DownProb*BE35)*StepDiscount)))</f>
        <v>0.66117069132150652</v>
      </c>
      <c r="BE34" s="17">
        <f>IF(BE$3="","",IF(BE$3=Steps,MAX(IF(CallPut=1,UndTree!BE34-Strike,Strike-UndTree!BE34),0),MAX((2-AmEur)*IF(CallPut=1,UndTree!BE34-Strike,Strike-UndTree!BE34),(UpProb*BF34+DownProb*BF35)*StepDiscount)))</f>
        <v>0.87405589760080404</v>
      </c>
      <c r="BF34" s="17">
        <f>IF(BF$3="","",IF(BF$3=Steps,MAX(IF(CallPut=1,UndTree!BF34-Strike,Strike-UndTree!BF34),0),MAX((2-AmEur)*IF(CallPut=1,UndTree!BF34-Strike,Strike-UndTree!BF34),(UpProb*BG34+DownProb*BG35)*StepDiscount)))</f>
        <v>1.1464345785651922</v>
      </c>
      <c r="BG34" s="17">
        <f>IF(BG$3="","",IF(BG$3=Steps,MAX(IF(CallPut=1,UndTree!BG34-Strike,Strike-UndTree!BG34),0),MAX((2-AmEur)*IF(CallPut=1,UndTree!BG34-Strike,Strike-UndTree!BG34),(UpProb*BH34+DownProb*BH35)*StepDiscount)))</f>
        <v>1.4916073451625675</v>
      </c>
      <c r="BH34" s="17">
        <f>IF(BH$3="","",IF(BH$3=Steps,MAX(IF(CallPut=1,UndTree!BH34-Strike,Strike-UndTree!BH34),0),MAX((2-AmEur)*IF(CallPut=1,UndTree!BH34-Strike,Strike-UndTree!BH34),(UpProb*BI34+DownProb*BI35)*StepDiscount)))</f>
        <v>1.9247191952559319</v>
      </c>
      <c r="BI34" s="17">
        <f>IF(BI$3="","",IF(BI$3=Steps,MAX(IF(CallPut=1,UndTree!BI34-Strike,Strike-UndTree!BI34),0),MAX((2-AmEur)*IF(CallPut=1,UndTree!BI34-Strike,Strike-UndTree!BI34),(UpProb*BJ34+DownProb*BJ35)*StepDiscount)))</f>
        <v>2.4626528452245253</v>
      </c>
      <c r="BJ34" s="17">
        <f>IF(BJ$3="","",IF(BJ$3=Steps,MAX(IF(CallPut=1,UndTree!BJ34-Strike,Strike-UndTree!BJ34),0),MAX((2-AmEur)*IF(CallPut=1,UndTree!BJ34-Strike,Strike-UndTree!BJ34),(UpProb*BK34+DownProb*BK35)*StepDiscount)))</f>
        <v>3.1237875368317489</v>
      </c>
      <c r="BK34" s="17">
        <f>IF(BK$3="","",IF(BK$3=Steps,MAX(IF(CallPut=1,UndTree!BK34-Strike,Strike-UndTree!BK34),0),MAX((2-AmEur)*IF(CallPut=1,UndTree!BK34-Strike,Strike-UndTree!BK34),(UpProb*BL34+DownProb*BL35)*StepDiscount)))</f>
        <v>3.9276027211863664</v>
      </c>
      <c r="BL34" s="17">
        <f>IF(BL$3="","",IF(BL$3=Steps,MAX(IF(CallPut=1,UndTree!BL34-Strike,Strike-UndTree!BL34),0),MAX((2-AmEur)*IF(CallPut=1,UndTree!BL34-Strike,Strike-UndTree!BL34),(UpProb*BM34+DownProb*BM35)*StepDiscount)))</f>
        <v>4.894116316927283</v>
      </c>
      <c r="BM34" s="17">
        <f>IF(BM$3="","",IF(BM$3=Steps,MAX(IF(CallPut=1,UndTree!BM34-Strike,Strike-UndTree!BM34),0),MAX((2-AmEur)*IF(CallPut=1,UndTree!BM34-Strike,Strike-UndTree!BM34),(UpProb*BN34+DownProb*BN35)*StepDiscount)))</f>
        <v>6.0431628449406993</v>
      </c>
      <c r="BN34" s="17">
        <f>IF(BN$3="","",IF(BN$3=Steps,MAX(IF(CallPut=1,UndTree!BN34-Strike,Strike-UndTree!BN34),0),MAX((2-AmEur)*IF(CallPut=1,UndTree!BN34-Strike,Strike-UndTree!BN34),(UpProb*BO34+DownProb*BO35)*StepDiscount)))</f>
        <v>7.3935372617654389</v>
      </c>
      <c r="BO34" s="17">
        <f>IF(BO$3="","",IF(BO$3=Steps,MAX(IF(CallPut=1,UndTree!BO34-Strike,Strike-UndTree!BO34),0),MAX((2-AmEur)*IF(CallPut=1,UndTree!BO34-Strike,Strike-UndTree!BO34),(UpProb*BP34+DownProb*BP35)*StepDiscount)))</f>
        <v>8.9620542224731459</v>
      </c>
      <c r="BP34" s="17">
        <f>IF(BP$3="","",IF(BP$3=Steps,MAX(IF(CallPut=1,UndTree!BP34-Strike,Strike-UndTree!BP34),0),MAX((2-AmEur)*IF(CallPut=1,UndTree!BP34-Strike,Strike-UndTree!BP34),(UpProb*BQ34+DownProb*BQ35)*StepDiscount)))</f>
        <v>10.762596938760883</v>
      </c>
      <c r="BQ34" s="17">
        <f>IF(BQ$3="","",IF(BQ$3=Steps,MAX(IF(CallPut=1,UndTree!BQ34-Strike,Strike-UndTree!BQ34),0),MAX((2-AmEur)*IF(CallPut=1,UndTree!BQ34-Strike,Strike-UndTree!BQ34),(UpProb*BR34+DownProb*BR35)*StepDiscount)))</f>
        <v>12.805250588234252</v>
      </c>
      <c r="BR34" s="17">
        <f>IF(BR$3="","",IF(BR$3=Steps,MAX(IF(CallPut=1,UndTree!BR34-Strike,Strike-UndTree!BR34),0),MAX((2-AmEur)*IF(CallPut=1,UndTree!BR34-Strike,Strike-UndTree!BR34),(UpProb*BS34+DownProb*BS35)*StepDiscount)))</f>
        <v>15.095627282546822</v>
      </c>
      <c r="BS34" s="17">
        <f>IF(BS$3="","",IF(BS$3=Steps,MAX(IF(CallPut=1,UndTree!BS34-Strike,Strike-UndTree!BS34),0),MAX((2-AmEur)*IF(CallPut=1,UndTree!BS34-Strike,Strike-UndTree!BS34),(UpProb*BT34+DownProb*BT35)*StepDiscount)))</f>
        <v>17.634487725152599</v>
      </c>
      <c r="BT34" s="17">
        <f>IF(BT$3="","",IF(BT$3=Steps,MAX(IF(CallPut=1,UndTree!BT34-Strike,Strike-UndTree!BT34),0),MAX((2-AmEur)*IF(CallPut=1,UndTree!BT34-Strike,Strike-UndTree!BT34),(UpProb*BU34+DownProb*BU35)*StepDiscount)))</f>
        <v>20.417744851048763</v>
      </c>
      <c r="BU34" s="17">
        <f>IF(BU$3="","",IF(BU$3=Steps,MAX(IF(CallPut=1,UndTree!BU34-Strike,Strike-UndTree!BU34),0),MAX((2-AmEur)*IF(CallPut=1,UndTree!BU34-Strike,Strike-UndTree!BU34),(UpProb*BV34+DownProb*BV35)*StepDiscount)))</f>
        <v>23.43689557696089</v>
      </c>
      <c r="BV34" s="17">
        <f>IF(BV$3="","",IF(BV$3=Steps,MAX(IF(CallPut=1,UndTree!BV34-Strike,Strike-UndTree!BV34),0),MAX((2-AmEur)*IF(CallPut=1,UndTree!BV34-Strike,Strike-UndTree!BV34),(UpProb*BW34+DownProb*BW35)*StepDiscount)))</f>
        <v>26.679871019567479</v>
      </c>
      <c r="BW34" s="17">
        <f>IF(BW$3="","",IF(BW$3=Steps,MAX(IF(CallPut=1,UndTree!BW34-Strike,Strike-UndTree!BW34),0),MAX((2-AmEur)*IF(CallPut=1,UndTree!BW34-Strike,Strike-UndTree!BW34),(UpProb*BX34+DownProb*BX35)*StepDiscount)))</f>
        <v>30.132230759403697</v>
      </c>
      <c r="BX34" s="17">
        <f>IF(BX$3="","",IF(BX$3=Steps,MAX(IF(CallPut=1,UndTree!BX34-Strike,Strike-UndTree!BX34),0),MAX((2-AmEur)*IF(CallPut=1,UndTree!BX34-Strike,Strike-UndTree!BX34),(UpProb*BY34+DownProb*BY35)*StepDiscount)))</f>
        <v>33.778565023474421</v>
      </c>
      <c r="BY34" s="17">
        <f>IF(BY$3="","",IF(BY$3=Steps,MAX(IF(CallPut=1,UndTree!BY34-Strike,Strike-UndTree!BY34),0),MAX((2-AmEur)*IF(CallPut=1,UndTree!BY34-Strike,Strike-UndTree!BY34),(UpProb*BZ34+DownProb*BZ35)*StepDiscount)))</f>
        <v>37.603924604544773</v>
      </c>
      <c r="BZ34" s="17">
        <f>IF(BZ$3="","",IF(BZ$3=Steps,MAX(IF(CallPut=1,UndTree!BZ34-Strike,Strike-UndTree!BZ34),0),MAX((2-AmEur)*IF(CallPut=1,UndTree!BZ34-Strike,Strike-UndTree!BZ34),(UpProb*CA34+DownProb*CA35)*StepDiscount)))</f>
        <v>41.595085404968565</v>
      </c>
      <c r="CA34" s="17">
        <f>IF(CA$3="","",IF(CA$3=Steps,MAX(IF(CallPut=1,UndTree!CA34-Strike,Strike-UndTree!CA34),0),MAX((2-AmEur)*IF(CallPut=1,UndTree!CA34-Strike,Strike-UndTree!CA34),(UpProb*CB34+DownProb*CB35)*StepDiscount)))</f>
        <v>45.741480561813354</v>
      </c>
      <c r="CB34" s="17">
        <f>IF(CB$3="","",IF(CB$3=Steps,MAX(IF(CallPut=1,UndTree!CB34-Strike,Strike-UndTree!CB34),0),MAX((2-AmEur)*IF(CallPut=1,UndTree!CB34-Strike,Strike-UndTree!CB34),(UpProb*CC34+DownProb*CC35)*StepDiscount)))</f>
        <v>50.035696429456536</v>
      </c>
      <c r="CC34" s="17">
        <f>IF(CC$3="","",IF(CC$3=Steps,MAX(IF(CallPut=1,UndTree!CC34-Strike,Strike-UndTree!CC34),0),MAX((2-AmEur)*IF(CallPut=1,UndTree!CC34-Strike,Strike-UndTree!CC34),(UpProb*CD34+DownProb*CD35)*StepDiscount)))</f>
        <v>54.473516180282992</v>
      </c>
      <c r="CD34" s="17">
        <f>IF(CD$3="","",IF(CD$3=Steps,MAX(IF(CallPut=1,UndTree!CD34-Strike,Strike-UndTree!CD34),0),MAX((2-AmEur)*IF(CallPut=1,UndTree!CD34-Strike,Strike-UndTree!CD34),(UpProb*CE34+DownProb*CE35)*StepDiscount)))</f>
        <v>59.05358416799227</v>
      </c>
      <c r="CE34" s="17">
        <f>IF(CE$3="","",IF(CE$3=Steps,MAX(IF(CallPut=1,UndTree!CE34-Strike,Strike-UndTree!CE34),0),MAX((2-AmEur)*IF(CallPut=1,UndTree!CE34-Strike,Strike-UndTree!CE34),(UpProb*CF34+DownProb*CF35)*StepDiscount)))</f>
        <v>63.776830423143942</v>
      </c>
      <c r="CF34" s="17">
        <f>IF(CF$3="","",IF(CF$3=Steps,MAX(IF(CallPut=1,UndTree!CF34-Strike,Strike-UndTree!CF34),0),MAX((2-AmEur)*IF(CallPut=1,UndTree!CF34-Strike,Strike-UndTree!CF34),(UpProb*CG34+DownProb*CG35)*StepDiscount)))</f>
        <v>68.645818868636155</v>
      </c>
      <c r="CG34" s="17">
        <f>IF(CG$3="","",IF(CG$3=Steps,MAX(IF(CallPut=1,UndTree!CG34-Strike,Strike-UndTree!CG34),0),MAX((2-AmEur)*IF(CallPut=1,UndTree!CG34-Strike,Strike-UndTree!CG34),(UpProb*CH34+DownProb*CH35)*StepDiscount)))</f>
        <v>73.664160458219129</v>
      </c>
      <c r="CH34" s="17">
        <f>IF(CH$3="","",IF(CH$3=Steps,MAX(IF(CallPut=1,UndTree!CH34-Strike,Strike-UndTree!CH34),0),MAX((2-AmEur)*IF(CallPut=1,UndTree!CH34-Strike,Strike-UndTree!CH34),(UpProb*CI34+DownProb*CI35)*StepDiscount)))</f>
        <v>78.836075934273367</v>
      </c>
      <c r="CI34" s="17">
        <f>IF(CI$3="","",IF(CI$3=Steps,MAX(IF(CallPut=1,UndTree!CI34-Strike,Strike-UndTree!CI34),0),MAX((2-AmEur)*IF(CallPut=1,UndTree!CI34-Strike,Strike-UndTree!CI34),(UpProb*CJ34+DownProb*CJ35)*StepDiscount)))</f>
        <v>84.166126850286929</v>
      </c>
      <c r="CJ34" s="17">
        <f>IF(CJ$3="","",IF(CJ$3=Steps,MAX(IF(CallPut=1,UndTree!CJ34-Strike,Strike-UndTree!CJ34),0),MAX((2-AmEur)*IF(CallPut=1,UndTree!CJ34-Strike,Strike-UndTree!CJ34),(UpProb*CK34+DownProb*CK35)*StepDiscount)))</f>
        <v>89.659083203498696</v>
      </c>
      <c r="CK34" s="17">
        <f>IF(CK$3="","",IF(CK$3=Steps,MAX(IF(CallPut=1,UndTree!CK34-Strike,Strike-UndTree!CK34),0),MAX((2-AmEur)*IF(CallPut=1,UndTree!CK34-Strike,Strike-UndTree!CK34),(UpProb*CL34+DownProb*CL35)*StepDiscount)))</f>
        <v>95.319875463827941</v>
      </c>
      <c r="CL34" s="17">
        <f>IF(CL$3="","",IF(CL$3=Steps,MAX(IF(CallPut=1,UndTree!CL34-Strike,Strike-UndTree!CL34),0),MAX((2-AmEur)*IF(CallPut=1,UndTree!CL34-Strike,Strike-UndTree!CL34),(UpProb*CM34+DownProb*CM35)*StepDiscount)))</f>
        <v>101.15358526972128</v>
      </c>
      <c r="CM34" s="17">
        <f>IF(CM$3="","",IF(CM$3=Steps,MAX(IF(CallPut=1,UndTree!CM34-Strike,Strike-UndTree!CM34),0),MAX((2-AmEur)*IF(CallPut=1,UndTree!CM34-Strike,Strike-UndTree!CM34),(UpProb*CN34+DownProb*CN35)*StepDiscount)))</f>
        <v>107.16544809426075</v>
      </c>
      <c r="CN34" s="17">
        <f>IF(CN$3="","",IF(CN$3=Steps,MAX(IF(CallPut=1,UndTree!CN34-Strike,Strike-UndTree!CN34),0),MAX((2-AmEur)*IF(CallPut=1,UndTree!CN34-Strike,Strike-UndTree!CN34),(UpProb*CO34+DownProb*CO35)*StepDiscount)))</f>
        <v>113.36085790213464</v>
      </c>
      <c r="CO34" s="17">
        <f>IF(CO$3="","",IF(CO$3=Steps,MAX(IF(CallPut=1,UndTree!CO34-Strike,Strike-UndTree!CO34),0),MAX((2-AmEur)*IF(CallPut=1,UndTree!CO34-Strike,Strike-UndTree!CO34),(UpProb*CP34+DownProb*CP35)*StepDiscount)))</f>
        <v>119.74537194758744</v>
      </c>
      <c r="CP34" s="17">
        <f>IF(CP$3="","",IF(CP$3=Steps,MAX(IF(CallPut=1,UndTree!CP34-Strike,Strike-UndTree!CP34),0),MAX((2-AmEur)*IF(CallPut=1,UndTree!CP34-Strike,Strike-UndTree!CP34),(UpProb*CQ34+DownProb*CQ35)*StepDiscount)))</f>
        <v>126.32471571761609</v>
      </c>
      <c r="CQ34" s="17">
        <f>IF(CQ$3="","",IF(CQ$3=Steps,MAX(IF(CallPut=1,UndTree!CQ34-Strike,Strike-UndTree!CQ34),0),MAX((2-AmEur)*IF(CallPut=1,UndTree!CQ34-Strike,Strike-UndTree!CQ34),(UpProb*CR34+DownProb*CR35)*StepDiscount)))</f>
        <v>133.10478802480813</v>
      </c>
      <c r="CR34" s="17">
        <f>IF(CR$3="","",IF(CR$3=Steps,MAX(IF(CallPut=1,UndTree!CR34-Strike,Strike-UndTree!CR34),0),MAX((2-AmEur)*IF(CallPut=1,UndTree!CR34-Strike,Strike-UndTree!CR34),(UpProb*CS34+DownProb*CS35)*StepDiscount)))</f>
        <v>140.09166625435088</v>
      </c>
      <c r="CS34" s="17">
        <f>IF(CS$3="","",IF(CS$3=Steps,MAX(IF(CallPut=1,UndTree!CS34-Strike,Strike-UndTree!CS34),0),MAX((2-AmEur)*IF(CallPut=1,UndTree!CS34-Strike,Strike-UndTree!CS34),(UpProb*CT34+DownProb*CT35)*StepDiscount)))</f>
        <v>147.29161176987677</v>
      </c>
      <c r="CT34" s="17">
        <f>IF(CT$3="","",IF(CT$3=Steps,MAX(IF(CallPut=1,UndTree!CT34-Strike,Strike-UndTree!CT34),0),MAX((2-AmEur)*IF(CallPut=1,UndTree!CT34-Strike,Strike-UndTree!CT34),(UpProb*CU34+DownProb*CU35)*StepDiscount)))</f>
        <v>154.711075482952</v>
      </c>
      <c r="CU34" s="17">
        <f>IF(CU$3="","",IF(CU$3=Steps,MAX(IF(CallPut=1,UndTree!CU34-Strike,Strike-UndTree!CU34),0),MAX((2-AmEur)*IF(CallPut=1,UndTree!CU34-Strike,Strike-UndTree!CU34),(UpProb*CV34+DownProb*CV35)*StepDiscount)))</f>
        <v>162.35670359116384</v>
      </c>
      <c r="CV34" s="17">
        <f>IF(CV$3="","",IF(CV$3=Steps,MAX(IF(CallPut=1,UndTree!CV34-Strike,Strike-UndTree!CV34),0),MAX((2-AmEur)*IF(CallPut=1,UndTree!CV34-Strike,Strike-UndTree!CV34),(UpProb*CW34+DownProb*CW35)*StepDiscount)))</f>
        <v>170.23534348991583</v>
      </c>
      <c r="CW34" s="17">
        <f>IF(CW$3="","",IF(CW$3=Steps,MAX(IF(CallPut=1,UndTree!CW34-Strike,Strike-UndTree!CW34),0),MAX((2-AmEur)*IF(CallPut=1,UndTree!CW34-Strike,Strike-UndTree!CW34),(UpProb*CX34+DownProb*CX35)*StepDiscount)))</f>
        <v>178.354049863201</v>
      </c>
      <c r="CX34" s="17">
        <f>IF(CX$3="","",IF(CX$3=Steps,MAX(IF(CallPut=1,UndTree!CX34-Strike,Strike-UndTree!CX34),0),MAX((2-AmEur)*IF(CallPut=1,UndTree!CX34-Strike,Strike-UndTree!CX34),(UpProb*CY34+DownProb*CY35)*StepDiscount)))</f>
        <v>186.72009095878283</v>
      </c>
      <c r="CY34" s="17">
        <f>IF(CY$3="","",IF(CY$3=Steps,MAX(IF(CallPut=1,UndTree!CY34-Strike,Strike-UndTree!CY34),0),MAX((2-AmEur)*IF(CallPut=1,UndTree!CY34-Strike,Strike-UndTree!CY34),(UpProb*CZ34+DownProb*CZ35)*StepDiscount)))</f>
        <v>195.34095505336848</v>
      </c>
      <c r="CZ34" s="17">
        <f>IF(CZ$3="","",IF(CZ$3=Steps,MAX(IF(CallPut=1,UndTree!CZ34-Strike,Strike-UndTree!CZ34),0),MAX((2-AmEur)*IF(CallPut=1,UndTree!CZ34-Strike,Strike-UndTree!CZ34),(UpProb*DA34+DownProb*DA35)*StepDiscount)))</f>
        <v>204.22435711350468</v>
      </c>
      <c r="DA34" s="17">
        <f>IF(DA$3="","",IF(DA$3=Steps,MAX(IF(CallPut=1,UndTree!DA34-Strike,Strike-UndTree!DA34),0),MAX((2-AmEur)*IF(CallPut=1,UndTree!DA34-Strike,Strike-UndTree!DA34),(UpProb*DB34+DownProb*DB35)*StepDiscount)))</f>
        <v>213.37824565809106</v>
      </c>
      <c r="DB34" s="17">
        <f>IF(DB$3="","",IF(DB$3=Steps,MAX(IF(CallPut=1,UndTree!DB34-Strike,Strike-UndTree!DB34),0),MAX((2-AmEur)*IF(CallPut=1,UndTree!DB34-Strike,Strike-UndTree!DB34),(UpProb*DC34+DownProb*DC35)*StepDiscount)))</f>
        <v>222.81080982869997</v>
      </c>
    </row>
    <row r="35" spans="1:106" x14ac:dyDescent="0.2">
      <c r="A35">
        <f>ExDivTree!A35</f>
        <v>9.5696978128474354E+25</v>
      </c>
      <c r="B35" s="71">
        <f>ExDivTree!B35</f>
        <v>3.7745802396671823E-5</v>
      </c>
      <c r="C35" s="71">
        <f>ExDivTree!C35</f>
        <v>4.1841489077291681E-5</v>
      </c>
      <c r="D35" s="177">
        <f>ExDivTree!D35</f>
        <v>31</v>
      </c>
      <c r="AJ35" s="17">
        <f>IF(AJ$3="","",IF(AJ$3=Steps,MAX(IF(CallPut=1,UndTree!AJ35-Strike,Strike-UndTree!AJ35),0),MAX((2-AmEur)*IF(CallPut=1,UndTree!AJ35-Strike,Strike-UndTree!AJ35),(UpProb*AK35+DownProb*AK36)*StepDiscount)))</f>
        <v>2.1710618279719815E-4</v>
      </c>
      <c r="AK35" s="17">
        <f>IF(AK$3="","",IF(AK$3=Steps,MAX(IF(CallPut=1,UndTree!AK35-Strike,Strike-UndTree!AK35),0),MAX((2-AmEur)*IF(CallPut=1,UndTree!AK35-Strike,Strike-UndTree!AK35),(UpProb*AL35+DownProb*AL36)*StepDiscount)))</f>
        <v>3.2850821436195688E-4</v>
      </c>
      <c r="AL35" s="17">
        <f>IF(AL$3="","",IF(AL$3=Steps,MAX(IF(CallPut=1,UndTree!AL35-Strike,Strike-UndTree!AL35),0),MAX((2-AmEur)*IF(CallPut=1,UndTree!AL35-Strike,Strike-UndTree!AL35),(UpProb*AM35+DownProb*AM36)*StepDiscount)))</f>
        <v>4.9500531323896598E-4</v>
      </c>
      <c r="AM35" s="17">
        <f>IF(AM$3="","",IF(AM$3=Steps,MAX(IF(CallPut=1,UndTree!AM35-Strike,Strike-UndTree!AM35),0),MAX((2-AmEur)*IF(CallPut=1,UndTree!AM35-Strike,Strike-UndTree!AM35),(UpProb*AN35+DownProb*AN36)*StepDiscount)))</f>
        <v>7.4269602408870081E-4</v>
      </c>
      <c r="AN35" s="17">
        <f>IF(AN$3="","",IF(AN$3=Steps,MAX(IF(CallPut=1,UndTree!AN35-Strike,Strike-UndTree!AN35),0),MAX((2-AmEur)*IF(CallPut=1,UndTree!AN35-Strike,Strike-UndTree!AN35),(UpProb*AO35+DownProb*AO36)*StepDiscount)))</f>
        <v>1.1094199119867935E-3</v>
      </c>
      <c r="AO35" s="17">
        <f>IF(AO$3="","",IF(AO$3=Steps,MAX(IF(CallPut=1,UndTree!AO35-Strike,Strike-UndTree!AO35),0),MAX((2-AmEur)*IF(CallPut=1,UndTree!AO35-Strike,Strike-UndTree!AO35),(UpProb*AP35+DownProb*AP36)*StepDiscount)))</f>
        <v>1.649712787894239E-3</v>
      </c>
      <c r="AP35" s="17">
        <f>IF(AP$3="","",IF(AP$3=Steps,MAX(IF(CallPut=1,UndTree!AP35-Strike,Strike-UndTree!AP35),0),MAX((2-AmEur)*IF(CallPut=1,UndTree!AP35-Strike,Strike-UndTree!AP35),(UpProb*AQ35+DownProb*AQ36)*StepDiscount)))</f>
        <v>2.441686943415366E-3</v>
      </c>
      <c r="AQ35" s="17">
        <f>IF(AQ$3="","",IF(AQ$3=Steps,MAX(IF(CallPut=1,UndTree!AQ35-Strike,Strike-UndTree!AQ35),0),MAX((2-AmEur)*IF(CallPut=1,UndTree!AQ35-Strike,Strike-UndTree!AQ35),(UpProb*AR35+DownProb*AR36)*StepDiscount)))</f>
        <v>3.5965023194877367E-3</v>
      </c>
      <c r="AR35" s="17">
        <f>IF(AR$3="","",IF(AR$3=Steps,MAX(IF(CallPut=1,UndTree!AR35-Strike,Strike-UndTree!AR35),0),MAX((2-AmEur)*IF(CallPut=1,UndTree!AR35-Strike,Strike-UndTree!AR35),(UpProb*AS35+DownProb*AS36)*StepDiscount)))</f>
        <v>5.2712857827467039E-3</v>
      </c>
      <c r="AS35" s="17">
        <f>IF(AS$3="","",IF(AS$3=Steps,MAX(IF(CallPut=1,UndTree!AS35-Strike,Strike-UndTree!AS35),0),MAX((2-AmEur)*IF(CallPut=1,UndTree!AS35-Strike,Strike-UndTree!AS35),(UpProb*AT35+DownProb*AT36)*StepDiscount)))</f>
        <v>7.6865834786611102E-3</v>
      </c>
      <c r="AT35" s="17">
        <f>IF(AT$3="","",IF(AT$3=Steps,MAX(IF(CallPut=1,UndTree!AT35-Strike,Strike-UndTree!AT35),0),MAX((2-AmEur)*IF(CallPut=1,UndTree!AT35-Strike,Strike-UndTree!AT35),(UpProb*AU35+DownProb*AU36)*StepDiscount)))</f>
        <v>1.1149693562182912E-2</v>
      </c>
      <c r="AU35" s="17">
        <f>IF(AU$3="","",IF(AU$3=Steps,MAX(IF(CallPut=1,UndTree!AU35-Strike,Strike-UndTree!AU35),0),MAX((2-AmEur)*IF(CallPut=1,UndTree!AU35-Strike,Strike-UndTree!AU35),(UpProb*AV35+DownProb*AV36)*StepDiscount)))</f>
        <v>1.608551570844273E-2</v>
      </c>
      <c r="AV35" s="17">
        <f>IF(AV$3="","",IF(AV$3=Steps,MAX(IF(CallPut=1,UndTree!AV35-Strike,Strike-UndTree!AV35),0),MAX((2-AmEur)*IF(CallPut=1,UndTree!AV35-Strike,Strike-UndTree!AV35),(UpProb*AW35+DownProb*AW36)*StepDiscount)))</f>
        <v>2.3076853352444464E-2</v>
      </c>
      <c r="AW35" s="17">
        <f>IF(AW$3="","",IF(AW$3=Steps,MAX(IF(CallPut=1,UndTree!AW35-Strike,Strike-UndTree!AW35),0),MAX((2-AmEur)*IF(CallPut=1,UndTree!AW35-Strike,Strike-UndTree!AW35),(UpProb*AX35+DownProb*AX36)*StepDiscount)))</f>
        <v>3.2916386335989221E-2</v>
      </c>
      <c r="AX35" s="17">
        <f>IF(AX$3="","",IF(AX$3=Steps,MAX(IF(CallPut=1,UndTree!AX35-Strike,Strike-UndTree!AX35),0),MAX((2-AmEur)*IF(CallPut=1,UndTree!AX35-Strike,Strike-UndTree!AX35),(UpProb*AY35+DownProb*AY36)*StepDiscount)))</f>
        <v>4.6672751609464838E-2</v>
      </c>
      <c r="AY35" s="17">
        <f>IF(AY$3="","",IF(AY$3=Steps,MAX(IF(CallPut=1,UndTree!AY35-Strike,Strike-UndTree!AY35),0),MAX((2-AmEur)*IF(CallPut=1,UndTree!AY35-Strike,Strike-UndTree!AY35),(UpProb*AZ35+DownProb*AZ36)*StepDiscount)))</f>
        <v>6.5773264552406049E-2</v>
      </c>
      <c r="AZ35" s="17">
        <f>IF(AZ$3="","",IF(AZ$3=Steps,MAX(IF(CallPut=1,UndTree!AZ35-Strike,Strike-UndTree!AZ35),0),MAX((2-AmEur)*IF(CallPut=1,UndTree!AZ35-Strike,Strike-UndTree!AZ35),(UpProb*BA35+DownProb*BA36)*StepDiscount)))</f>
        <v>9.2105697871168124E-2</v>
      </c>
      <c r="BA35" s="17">
        <f>IF(BA$3="","",IF(BA$3=Steps,MAX(IF(CallPut=1,UndTree!BA35-Strike,Strike-UndTree!BA35),0),MAX((2-AmEur)*IF(CallPut=1,UndTree!BA35-Strike,Strike-UndTree!BA35),(UpProb*BB35+DownProb*BB36)*StepDiscount)))</f>
        <v>0.12814110045945565</v>
      </c>
      <c r="BB35" s="17">
        <f>IF(BB$3="","",IF(BB$3=Steps,MAX(IF(CallPut=1,UndTree!BB35-Strike,Strike-UndTree!BB35),0),MAX((2-AmEur)*IF(CallPut=1,UndTree!BB35-Strike,Strike-UndTree!BB35),(UpProb*BC35+DownProb*BC36)*StepDiscount)))</f>
        <v>0.17707875650423535</v>
      </c>
      <c r="BC35" s="17">
        <f>IF(BC$3="","",IF(BC$3=Steps,MAX(IF(CallPut=1,UndTree!BC35-Strike,Strike-UndTree!BC35),0),MAX((2-AmEur)*IF(CallPut=1,UndTree!BC35-Strike,Strike-UndTree!BC35),(UpProb*BD35+DownProb*BD36)*StepDiscount)))</f>
        <v>0.24301291537897732</v>
      </c>
      <c r="BD35" s="17">
        <f>IF(BD$3="","",IF(BD$3=Steps,MAX(IF(CallPut=1,UndTree!BD35-Strike,Strike-UndTree!BD35),0),MAX((2-AmEur)*IF(CallPut=1,UndTree!BD35-Strike,Strike-UndTree!BD35),(UpProb*BE35+DownProb*BE36)*StepDiscount)))</f>
        <v>0.33111873043530371</v>
      </c>
      <c r="BE35" s="17">
        <f>IF(BE$3="","",IF(BE$3=Steps,MAX(IF(CallPut=1,UndTree!BE35-Strike,Strike-UndTree!BE35),0),MAX((2-AmEur)*IF(CallPut=1,UndTree!BE35-Strike,Strike-UndTree!BE35),(UpProb*BF35+DownProb*BF36)*StepDiscount)))</f>
        <v>0.44785182646586663</v>
      </c>
      <c r="BF35" s="17">
        <f>IF(BF$3="","",IF(BF$3=Steps,MAX(IF(CallPut=1,UndTree!BF35-Strike,Strike-UndTree!BF35),0),MAX((2-AmEur)*IF(CallPut=1,UndTree!BF35-Strike,Strike-UndTree!BF35),(UpProb*BG35+DownProb*BG36)*StepDiscount)))</f>
        <v>0.60115203830124386</v>
      </c>
      <c r="BG35" s="17">
        <f>IF(BG$3="","",IF(BG$3=Steps,MAX(IF(CallPut=1,UndTree!BG35-Strike,Strike-UndTree!BG35),0),MAX((2-AmEur)*IF(CallPut=1,UndTree!BG35-Strike,Strike-UndTree!BG35),(UpProb*BH35+DownProb*BH36)*StepDiscount)))</f>
        <v>0.8006372132054842</v>
      </c>
      <c r="BH35" s="17">
        <f>IF(BH$3="","",IF(BH$3=Steps,MAX(IF(CallPut=1,UndTree!BH35-Strike,Strike-UndTree!BH35),0),MAX((2-AmEur)*IF(CallPut=1,UndTree!BH35-Strike,Strike-UndTree!BH35),(UpProb*BI35+DownProb*BI36)*StepDiscount)))</f>
        <v>1.0577678104055945</v>
      </c>
      <c r="BI35" s="17">
        <f>IF(BI$3="","",IF(BI$3=Steps,MAX(IF(CallPut=1,UndTree!BI35-Strike,Strike-UndTree!BI35),0),MAX((2-AmEur)*IF(CallPut=1,UndTree!BI35-Strike,Strike-UndTree!BI35),(UpProb*BJ35+DownProb*BJ36)*StepDiscount)))</f>
        <v>1.3859578580566314</v>
      </c>
      <c r="BJ35" s="17">
        <f>IF(BJ$3="","",IF(BJ$3=Steps,MAX(IF(CallPut=1,UndTree!BJ35-Strike,Strike-UndTree!BJ35),0),MAX((2-AmEur)*IF(CallPut=1,UndTree!BJ35-Strike,Strike-UndTree!BJ35),(UpProb*BK35+DownProb*BK36)*StepDiscount)))</f>
        <v>1.8006034119972885</v>
      </c>
      <c r="BK35" s="17">
        <f>IF(BK$3="","",IF(BK$3=Steps,MAX(IF(CallPut=1,UndTree!BK35-Strike,Strike-UndTree!BK35),0),MAX((2-AmEur)*IF(CallPut=1,UndTree!BK35-Strike,Strike-UndTree!BK35),(UpProb*BL35+DownProb*BL36)*StepDiscount)))</f>
        <v>2.3189970554412254</v>
      </c>
      <c r="BL35" s="17">
        <f>IF(BL$3="","",IF(BL$3=Steps,MAX(IF(CallPut=1,UndTree!BL35-Strike,Strike-UndTree!BL35),0),MAX((2-AmEur)*IF(CallPut=1,UndTree!BL35-Strike,Strike-UndTree!BL35),(UpProb*BM35+DownProb*BM36)*StepDiscount)))</f>
        <v>2.9600974696663838</v>
      </c>
      <c r="BM35" s="17">
        <f>IF(BM$3="","",IF(BM$3=Steps,MAX(IF(CallPut=1,UndTree!BM35-Strike,Strike-UndTree!BM35),0),MAX((2-AmEur)*IF(CallPut=1,UndTree!BM35-Strike,Strike-UndTree!BM35),(UpProb*BN35+DownProb*BN36)*StepDiscount)))</f>
        <v>3.7441280738376697</v>
      </c>
      <c r="BN35" s="17">
        <f>IF(BN$3="","",IF(BN$3=Steps,MAX(IF(CallPut=1,UndTree!BN35-Strike,Strike-UndTree!BN35),0),MAX((2-AmEur)*IF(CallPut=1,UndTree!BN35-Strike,Strike-UndTree!BN35),(UpProb*BO35+DownProb*BO36)*StepDiscount)))</f>
        <v>4.6919894129572484</v>
      </c>
      <c r="BO35" s="17">
        <f>IF(BO$3="","",IF(BO$3=Steps,MAX(IF(CallPut=1,UndTree!BO35-Strike,Strike-UndTree!BO35),0),MAX((2-AmEur)*IF(CallPut=1,UndTree!BO35-Strike,Strike-UndTree!BO35),(UpProb*BP35+DownProb*BP36)*StepDiscount)))</f>
        <v>5.8244871076460223</v>
      </c>
      <c r="BP35" s="17">
        <f>IF(BP$3="","",IF(BP$3=Steps,MAX(IF(CallPut=1,UndTree!BP35-Strike,Strike-UndTree!BP35),0),MAX((2-AmEur)*IF(CallPut=1,UndTree!BP35-Strike,Strike-UndTree!BP35),(UpProb*BQ35+DownProb*BQ36)*StepDiscount)))</f>
        <v>7.1614005842079438</v>
      </c>
      <c r="BQ35" s="17">
        <f>IF(BQ$3="","",IF(BQ$3=Steps,MAX(IF(CallPut=1,UndTree!BQ35-Strike,Strike-UndTree!BQ35),0),MAX((2-AmEur)*IF(CallPut=1,UndTree!BQ35-Strike,Strike-UndTree!BQ35),(UpProb*BR35+DownProb*BR36)*StepDiscount)))</f>
        <v>8.7204459282515661</v>
      </c>
      <c r="BR35" s="17">
        <f>IF(BR$3="","",IF(BR$3=Steps,MAX(IF(CallPut=1,UndTree!BR35-Strike,Strike-UndTree!BR35),0),MAX((2-AmEur)*IF(CallPut=1,UndTree!BR35-Strike,Strike-UndTree!BR35),(UpProb*BS35+DownProb*BS36)*StepDiscount)))</f>
        <v>10.516215802325863</v>
      </c>
      <c r="BS35" s="17">
        <f>IF(BS$3="","",IF(BS$3=Steps,MAX(IF(CallPut=1,UndTree!BS35-Strike,Strike-UndTree!BS35),0),MAX((2-AmEur)*IF(CallPut=1,UndTree!BS35-Strike,Strike-UndTree!BS35),(UpProb*BT35+DownProb*BT36)*StepDiscount)))</f>
        <v>12.559205435062616</v>
      </c>
      <c r="BT35" s="17">
        <f>IF(BT$3="","",IF(BT$3=Steps,MAX(IF(CallPut=1,UndTree!BT35-Strike,Strike-UndTree!BT35),0),MAX((2-AmEur)*IF(CallPut=1,UndTree!BT35-Strike,Strike-UndTree!BT35),(UpProb*BU35+DownProb*BU36)*StepDiscount)))</f>
        <v>14.85504986736437</v>
      </c>
      <c r="BU35" s="17">
        <f>IF(BU$3="","",IF(BU$3=Steps,MAX(IF(CallPut=1,UndTree!BU35-Strike,Strike-UndTree!BU35),0),MAX((2-AmEur)*IF(CallPut=1,UndTree!BU35-Strike,Strike-UndTree!BU35),(UpProb*BV35+DownProb*BV36)*StepDiscount)))</f>
        <v>17.404097210120351</v>
      </c>
      <c r="BV35" s="17">
        <f>IF(BV$3="","",IF(BV$3=Steps,MAX(IF(CallPut=1,UndTree!BV35-Strike,Strike-UndTree!BV35),0),MAX((2-AmEur)*IF(CallPut=1,UndTree!BV35-Strike,Strike-UndTree!BV35),(UpProb*BW35+DownProb*BW36)*StepDiscount)))</f>
        <v>20.201420157868998</v>
      </c>
      <c r="BW35" s="17">
        <f>IF(BW$3="","",IF(BW$3=Steps,MAX(IF(CallPut=1,UndTree!BW35-Strike,Strike-UndTree!BW35),0),MAX((2-AmEur)*IF(CallPut=1,UndTree!BW35-Strike,Strike-UndTree!BW35),(UpProb*BX35+DownProb*BX36)*StepDiscount)))</f>
        <v>23.237321230092086</v>
      </c>
      <c r="BX35" s="17">
        <f>IF(BX$3="","",IF(BX$3=Steps,MAX(IF(CallPut=1,UndTree!BX35-Strike,Strike-UndTree!BX35),0),MAX((2-AmEur)*IF(CallPut=1,UndTree!BX35-Strike,Strike-UndTree!BX35),(UpProb*BY35+DownProb*BY36)*StepDiscount)))</f>
        <v>26.498319271803478</v>
      </c>
      <c r="BY35" s="17">
        <f>IF(BY$3="","",IF(BY$3=Steps,MAX(IF(CallPut=1,UndTree!BY35-Strike,Strike-UndTree!BY35),0),MAX((2-AmEur)*IF(CallPut=1,UndTree!BY35-Strike,Strike-UndTree!BY35),(UpProb*BZ35+DownProb*BZ36)*StepDiscount)))</f>
        <v>29.96852523200323</v>
      </c>
      <c r="BZ35" s="17">
        <f>IF(BZ$3="","",IF(BZ$3=Steps,MAX(IF(CallPut=1,UndTree!BZ35-Strike,Strike-UndTree!BZ35),0),MAX((2-AmEur)*IF(CallPut=1,UndTree!BZ35-Strike,Strike-UndTree!BZ35),(UpProb*CA35+DownProb*CA36)*StepDiscount)))</f>
        <v>33.631239846623117</v>
      </c>
      <c r="CA35" s="17">
        <f>IF(CA$3="","",IF(CA$3=Steps,MAX(IF(CallPut=1,UndTree!CA35-Strike,Strike-UndTree!CA35),0),MAX((2-AmEur)*IF(CallPut=1,UndTree!CA35-Strike,Strike-UndTree!CA35),(UpProb*CB35+DownProb*CB36)*StepDiscount)))</f>
        <v>37.470553702547356</v>
      </c>
      <c r="CB35" s="17">
        <f>IF(CB$3="","",IF(CB$3=Steps,MAX(IF(CallPut=1,UndTree!CB35-Strike,Strike-UndTree!CB35),0),MAX((2-AmEur)*IF(CallPut=1,UndTree!CB35-Strike,Strike-UndTree!CB35),(UpProb*CC35+DownProb*CC36)*StepDiscount)))</f>
        <v>41.472718807199165</v>
      </c>
      <c r="CC35" s="17">
        <f>IF(CC$3="","",IF(CC$3=Steps,MAX(IF(CallPut=1,UndTree!CC35-Strike,Strike-UndTree!CC35),0),MAX((2-AmEur)*IF(CallPut=1,UndTree!CC35-Strike,Strike-UndTree!CC35),(UpProb*CD35+DownProb*CD36)*StepDiscount)))</f>
        <v>45.627099880952336</v>
      </c>
      <c r="CD35" s="17">
        <f>IF(CD$3="","",IF(CD$3=Steps,MAX(IF(CallPut=1,UndTree!CD35-Strike,Strike-UndTree!CD35),0),MAX((2-AmEur)*IF(CallPut=1,UndTree!CD35-Strike,Strike-UndTree!CD35),(UpProb*CE35+DownProb*CE36)*StepDiscount)))</f>
        <v>49.926599256901405</v>
      </c>
      <c r="CE35" s="17">
        <f>IF(CE$3="","",IF(CE$3=Steps,MAX(IF(CallPut=1,UndTree!CE35-Strike,Strike-UndTree!CE35),0),MAX((2-AmEur)*IF(CallPut=1,UndTree!CE35-Strike,Strike-UndTree!CE35),(UpProb*CF35+DownProb*CF36)*StepDiscount)))</f>
        <v>54.367562032589113</v>
      </c>
      <c r="CF35" s="17">
        <f>IF(CF$3="","",IF(CF$3=Steps,MAX(IF(CallPut=1,UndTree!CF35-Strike,Strike-UndTree!CF35),0),MAX((2-AmEur)*IF(CallPut=1,UndTree!CF35-Strike,Strike-UndTree!CF35),(UpProb*CG35+DownProb*CG36)*StepDiscount)))</f>
        <v>58.949276643631514</v>
      </c>
      <c r="CG35" s="17">
        <f>IF(CG$3="","",IF(CG$3=Steps,MAX(IF(CallPut=1,UndTree!CG35-Strike,Strike-UndTree!CG35),0),MAX((2-AmEur)*IF(CallPut=1,UndTree!CG35-Strike,Strike-UndTree!CG35),(UpProb*CH35+DownProb*CH36)*StepDiscount)))</f>
        <v>63.673257123163872</v>
      </c>
      <c r="CH35" s="17">
        <f>IF(CH$3="","",IF(CH$3=Steps,MAX(IF(CallPut=1,UndTree!CH35-Strike,Strike-UndTree!CH35),0),MAX((2-AmEur)*IF(CallPut=1,UndTree!CH35-Strike,Strike-UndTree!CH35),(UpProb*CI35+DownProb*CI36)*StepDiscount)))</f>
        <v>68.542505206450684</v>
      </c>
      <c r="CI35" s="17">
        <f>IF(CI$3="","",IF(CI$3=Steps,MAX(IF(CallPut=1,UndTree!CI35-Strike,Strike-UndTree!CI35),0),MAX((2-AmEur)*IF(CallPut=1,UndTree!CI35-Strike,Strike-UndTree!CI35),(UpProb*CJ35+DownProb*CJ36)*StepDiscount)))</f>
        <v>73.560903468141092</v>
      </c>
      <c r="CJ35" s="17">
        <f>IF(CJ$3="","",IF(CJ$3=Steps,MAX(IF(CallPut=1,UndTree!CJ35-Strike,Strike-UndTree!CJ35),0),MAX((2-AmEur)*IF(CallPut=1,UndTree!CJ35-Strike,Strike-UndTree!CJ35),(UpProb*CK35+DownProb*CK36)*StepDiscount)))</f>
        <v>78.732808724597632</v>
      </c>
      <c r="CK35" s="17">
        <f>IF(CK$3="","",IF(CK$3=Steps,MAX(IF(CallPut=1,UndTree!CK35-Strike,Strike-UndTree!CK35),0),MAX((2-AmEur)*IF(CallPut=1,UndTree!CK35-Strike,Strike-UndTree!CK35),(UpProb*CL35+DownProb*CL36)*StepDiscount)))</f>
        <v>84.062834681975403</v>
      </c>
      <c r="CL35" s="17">
        <f>IF(CL$3="","",IF(CL$3=Steps,MAX(IF(CallPut=1,UndTree!CL35-Strike,Strike-UndTree!CL35),0),MAX((2-AmEur)*IF(CallPut=1,UndTree!CL35-Strike,Strike-UndTree!CL35),(UpProb*CM35+DownProb*CM36)*StepDiscount)))</f>
        <v>89.555765042086492</v>
      </c>
      <c r="CM35" s="17">
        <f>IF(CM$3="","",IF(CM$3=Steps,MAX(IF(CallPut=1,UndTree!CM35-Strike,Strike-UndTree!CM35),0),MAX((2-AmEur)*IF(CallPut=1,UndTree!CM35-Strike,Strike-UndTree!CM35),(UpProb*CN35+DownProb*CN36)*StepDiscount)))</f>
        <v>95.216532154543344</v>
      </c>
      <c r="CN35" s="17">
        <f>IF(CN$3="","",IF(CN$3=Steps,MAX(IF(CallPut=1,UndTree!CN35-Strike,Strike-UndTree!CN35),0),MAX((2-AmEur)*IF(CallPut=1,UndTree!CN35-Strike,Strike-UndTree!CN35),(UpProb*CO35+DownProb*CO36)*StepDiscount)))</f>
        <v>101.05021768423647</v>
      </c>
      <c r="CO35" s="17">
        <f>IF(CO$3="","",IF(CO$3=Steps,MAX(IF(CallPut=1,UndTree!CO35-Strike,Strike-UndTree!CO35),0),MAX((2-AmEur)*IF(CallPut=1,UndTree!CO35-Strike,Strike-UndTree!CO35),(UpProb*CP35+DownProb*CP36)*StepDiscount)))</f>
        <v>107.06205713149207</v>
      </c>
      <c r="CP35" s="17">
        <f>IF(CP$3="","",IF(CP$3=Steps,MAX(IF(CallPut=1,UndTree!CP35-Strike,Strike-UndTree!CP35),0),MAX((2-AmEur)*IF(CallPut=1,UndTree!CP35-Strike,Strike-UndTree!CP35),(UpProb*CQ35+DownProb*CQ36)*StepDiscount)))</f>
        <v>113.25744448906781</v>
      </c>
      <c r="CQ35" s="17">
        <f>IF(CQ$3="","",IF(CQ$3=Steps,MAX(IF(CallPut=1,UndTree!CQ35-Strike,Strike-UndTree!CQ35),0),MAX((2-AmEur)*IF(CallPut=1,UndTree!CQ35-Strike,Strike-UndTree!CQ35),(UpProb*CR35+DownProb*CR36)*StepDiscount)))</f>
        <v>119.64193704012884</v>
      </c>
      <c r="CR35" s="17">
        <f>IF(CR$3="","",IF(CR$3=Steps,MAX(IF(CallPut=1,UndTree!CR35-Strike,Strike-UndTree!CR35),0),MAX((2-AmEur)*IF(CallPut=1,UndTree!CR35-Strike,Strike-UndTree!CR35),(UpProb*CS35+DownProb*CS36)*StepDiscount)))</f>
        <v>126.2212603014711</v>
      </c>
      <c r="CS35" s="17">
        <f>IF(CS$3="","",IF(CS$3=Steps,MAX(IF(CallPut=1,UndTree!CS35-Strike,Strike-UndTree!CS35),0),MAX((2-AmEur)*IF(CallPut=1,UndTree!CS35-Strike,Strike-UndTree!CS35),(UpProb*CT35+DownProb*CT36)*StepDiscount)))</f>
        <v>133.00131311638805</v>
      </c>
      <c r="CT35" s="17">
        <f>IF(CT$3="","",IF(CT$3=Steps,MAX(IF(CallPut=1,UndTree!CT35-Strike,Strike-UndTree!CT35),0),MAX((2-AmEur)*IF(CallPut=1,UndTree!CT35-Strike,Strike-UndTree!CT35),(UpProb*CU35+DownProb*CU36)*StepDiscount)))</f>
        <v>139.9881729017082</v>
      </c>
      <c r="CU35" s="17">
        <f>IF(CU$3="","",IF(CU$3=Steps,MAX(IF(CallPut=1,UndTree!CU35-Strike,Strike-UndTree!CU35),0),MAX((2-AmEur)*IF(CallPut=1,UndTree!CU35-Strike,Strike-UndTree!CU35),(UpProb*CV35+DownProb*CV36)*StepDiscount)))</f>
        <v>147.18810105366779</v>
      </c>
      <c r="CV35" s="17">
        <f>IF(CV$3="","",IF(CV$3=Steps,MAX(IF(CallPut=1,UndTree!CV35-Strike,Strike-UndTree!CV35),0),MAX((2-AmEur)*IF(CallPut=1,UndTree!CV35-Strike,Strike-UndTree!CV35),(UpProb*CW35+DownProb*CW36)*StepDiscount)))</f>
        <v>154.60754851742286</v>
      </c>
      <c r="CW35" s="17">
        <f>IF(CW$3="","",IF(CW$3=Steps,MAX(IF(CallPut=1,UndTree!CW35-Strike,Strike-UndTree!CW35),0),MAX((2-AmEur)*IF(CallPut=1,UndTree!CW35-Strike,Strike-UndTree!CW35),(UpProb*CX35+DownProb*CX36)*StepDiscount)))</f>
        <v>162.25316152515512</v>
      </c>
      <c r="CX35" s="17">
        <f>IF(CX$3="","",IF(CX$3=Steps,MAX(IF(CallPut=1,UndTree!CX35-Strike,Strike-UndTree!CX35),0),MAX((2-AmEur)*IF(CallPut=1,UndTree!CX35-Strike,Strike-UndTree!CX35),(UpProb*CY35+DownProb*CY36)*StepDiscount)))</f>
        <v>170.1317875078856</v>
      </c>
      <c r="CY35" s="17">
        <f>IF(CY$3="","",IF(CY$3=Steps,MAX(IF(CallPut=1,UndTree!CY35-Strike,Strike-UndTree!CY35),0),MAX((2-AmEur)*IF(CallPut=1,UndTree!CY35-Strike,Strike-UndTree!CY35),(UpProb*CZ35+DownProb*CZ36)*StepDiscount)))</f>
        <v>178.25048118627666</v>
      </c>
      <c r="CZ35" s="17">
        <f>IF(CZ$3="","",IF(CZ$3=Steps,MAX(IF(CallPut=1,UndTree!CZ35-Strike,Strike-UndTree!CZ35),0),MAX((2-AmEur)*IF(CallPut=1,UndTree!CZ35-Strike,Strike-UndTree!CZ35),(UpProb*DA35+DownProb*DA36)*StepDiscount)))</f>
        <v>186.61651084586615</v>
      </c>
      <c r="DA35" s="17">
        <f>IF(DA$3="","",IF(DA$3=Steps,MAX(IF(CallPut=1,UndTree!DA35-Strike,Strike-UndTree!DA35),0),MAX((2-AmEur)*IF(CallPut=1,UndTree!DA35-Strike,Strike-UndTree!DA35),(UpProb*DB35+DownProb*DB36)*StepDiscount)))</f>
        <v>195.23736480230446</v>
      </c>
      <c r="DB35" s="17">
        <f>IF(DB$3="","",IF(DB$3=Steps,MAX(IF(CallPut=1,UndTree!DB35-Strike,Strike-UndTree!DB35),0),MAX((2-AmEur)*IF(CallPut=1,UndTree!DB35-Strike,Strike-UndTree!DB35),(UpProb*DC35+DownProb*DC36)*StepDiscount)))</f>
        <v>204.12075806220003</v>
      </c>
    </row>
    <row r="36" spans="1:106" x14ac:dyDescent="0.2">
      <c r="A36">
        <f>ExDivTree!A36</f>
        <v>2.093371396560375E+26</v>
      </c>
      <c r="B36" s="71">
        <f>ExDivTree!B36</f>
        <v>8.2568942742719555E-5</v>
      </c>
      <c r="C36" s="71">
        <f>ExDivTree!C36</f>
        <v>9.104435259700581E-5</v>
      </c>
      <c r="D36" s="177">
        <f>ExDivTree!D36</f>
        <v>32</v>
      </c>
      <c r="AK36" s="17">
        <f>IF(AK$3="","",IF(AK$3=Steps,MAX(IF(CallPut=1,UndTree!AK36-Strike,Strike-UndTree!AK36),0),MAX((2-AmEur)*IF(CallPut=1,UndTree!AK36-Strike,Strike-UndTree!AK36),(UpProb*AL36+DownProb*AL37)*StepDiscount)))</f>
        <v>1.0534119024812928E-4</v>
      </c>
      <c r="AL36" s="17">
        <f>IF(AL$3="","",IF(AL$3=Steps,MAX(IF(CallPut=1,UndTree!AL36-Strike,Strike-UndTree!AL36),0),MAX((2-AmEur)*IF(CallPut=1,UndTree!AL36-Strike,Strike-UndTree!AL36),(UpProb*AM36+DownProb*AM37)*StepDiscount)))</f>
        <v>1.6147290157865618E-4</v>
      </c>
      <c r="AM36" s="17">
        <f>IF(AM$3="","",IF(AM$3=Steps,MAX(IF(CallPut=1,UndTree!AM36-Strike,Strike-UndTree!AM36),0),MAX((2-AmEur)*IF(CallPut=1,UndTree!AM36-Strike,Strike-UndTree!AM36),(UpProb*AN36+DownProb*AN37)*StepDiscount)))</f>
        <v>2.4652057098939066E-4</v>
      </c>
      <c r="AN36" s="17">
        <f>IF(AN$3="","",IF(AN$3=Steps,MAX(IF(CallPut=1,UndTree!AN36-Strike,Strike-UndTree!AN36),0),MAX((2-AmEur)*IF(CallPut=1,UndTree!AN36-Strike,Strike-UndTree!AN36),(UpProb*AO36+DownProb*AO37)*StepDiscount)))</f>
        <v>3.748068645144078E-4</v>
      </c>
      <c r="AO36" s="17">
        <f>IF(AO$3="","",IF(AO$3=Steps,MAX(IF(CallPut=1,UndTree!AO36-Strike,Strike-UndTree!AO36),0),MAX((2-AmEur)*IF(CallPut=1,UndTree!AO36-Strike,Strike-UndTree!AO36),(UpProb*AP36+DownProb*AP37)*StepDiscount)))</f>
        <v>5.674262980053398E-4</v>
      </c>
      <c r="AP36" s="17">
        <f>IF(AP$3="","",IF(AP$3=Steps,MAX(IF(CallPut=1,UndTree!AP36-Strike,Strike-UndTree!AP36),0),MAX((2-AmEur)*IF(CallPut=1,UndTree!AP36-Strike,Strike-UndTree!AP36),(UpProb*AQ36+DownProb*AQ37)*StepDiscount)))</f>
        <v>8.5527045182030436E-4</v>
      </c>
      <c r="AQ36" s="17">
        <f>IF(AQ$3="","",IF(AQ$3=Steps,MAX(IF(CallPut=1,UndTree!AQ36-Strike,Strike-UndTree!AQ36),0),MAX((2-AmEur)*IF(CallPut=1,UndTree!AQ36-Strike,Strike-UndTree!AQ36),(UpProb*AR36+DownProb*AR37)*StepDiscount)))</f>
        <v>1.2833107624975935E-3</v>
      </c>
      <c r="AR36" s="17">
        <f>IF(AR$3="","",IF(AR$3=Steps,MAX(IF(CallPut=1,UndTree!AR36-Strike,Strike-UndTree!AR36),0),MAX((2-AmEur)*IF(CallPut=1,UndTree!AR36-Strike,Strike-UndTree!AR36),(UpProb*AS36+DownProb*AS37)*StepDiscount)))</f>
        <v>1.9166132533155905E-3</v>
      </c>
      <c r="AS36" s="17">
        <f>IF(AS$3="","",IF(AS$3=Steps,MAX(IF(CallPut=1,UndTree!AS36-Strike,Strike-UndTree!AS36),0),MAX((2-AmEur)*IF(CallPut=1,UndTree!AS36-Strike,Strike-UndTree!AS36),(UpProb*AT36+DownProb*AT37)*StepDiscount)))</f>
        <v>2.8487142760935591E-3</v>
      </c>
      <c r="AT36" s="17">
        <f>IF(AT$3="","",IF(AT$3=Steps,MAX(IF(CallPut=1,UndTree!AT36-Strike,Strike-UndTree!AT36),0),MAX((2-AmEur)*IF(CallPut=1,UndTree!AT36-Strike,Strike-UndTree!AT36),(UpProb*AU36+DownProb*AU37)*StepDiscount)))</f>
        <v>4.2131796525149172E-3</v>
      </c>
      <c r="AU36" s="17">
        <f>IF(AU$3="","",IF(AU$3=Steps,MAX(IF(CallPut=1,UndTree!AU36-Strike,Strike-UndTree!AU36),0),MAX((2-AmEur)*IF(CallPut=1,UndTree!AU36-Strike,Strike-UndTree!AU36),(UpProb*AV36+DownProb*AV37)*StepDiscount)))</f>
        <v>6.1994052993526571E-3</v>
      </c>
      <c r="AV36" s="17">
        <f>IF(AV$3="","",IF(AV$3=Steps,MAX(IF(CallPut=1,UndTree!AV36-Strike,Strike-UndTree!AV36),0),MAX((2-AmEur)*IF(CallPut=1,UndTree!AV36-Strike,Strike-UndTree!AV36),(UpProb*AW36+DownProb*AW37)*StepDiscount)))</f>
        <v>9.0739963287540405E-3</v>
      </c>
      <c r="AW36" s="17">
        <f>IF(AW$3="","",IF(AW$3=Steps,MAX(IF(CallPut=1,UndTree!AW36-Strike,Strike-UndTree!AW36),0),MAX((2-AmEur)*IF(CallPut=1,UndTree!AW36-Strike,Strike-UndTree!AW36),(UpProb*AX36+DownProb*AX37)*StepDiscount)))</f>
        <v>1.3209379389163379E-2</v>
      </c>
      <c r="AX36" s="17">
        <f>IF(AX$3="","",IF(AX$3=Steps,MAX(IF(CallPut=1,UndTree!AX36-Strike,Strike-UndTree!AX36),0),MAX((2-AmEur)*IF(CallPut=1,UndTree!AX36-Strike,Strike-UndTree!AX36),(UpProb*AY36+DownProb*AY37)*StepDiscount)))</f>
        <v>1.9121647127219043E-2</v>
      </c>
      <c r="AY36" s="17">
        <f>IF(AY$3="","",IF(AY$3=Steps,MAX(IF(CallPut=1,UndTree!AY36-Strike,Strike-UndTree!AY36),0),MAX((2-AmEur)*IF(CallPut=1,UndTree!AY36-Strike,Strike-UndTree!AY36),(UpProb*AZ36+DownProb*AZ37)*StepDiscount)))</f>
        <v>2.7519979570334367E-2</v>
      </c>
      <c r="AZ36" s="17">
        <f>IF(AZ$3="","",IF(AZ$3=Steps,MAX(IF(CallPut=1,UndTree!AZ36-Strike,Strike-UndTree!AZ36),0),MAX((2-AmEur)*IF(CallPut=1,UndTree!AZ36-Strike,Strike-UndTree!AZ36),(UpProb*BA36+DownProb*BA37)*StepDiscount)))</f>
        <v>3.9370293886885413E-2</v>
      </c>
      <c r="BA36" s="17">
        <f>IF(BA$3="","",IF(BA$3=Steps,MAX(IF(CallPut=1,UndTree!BA36-Strike,Strike-UndTree!BA36),0),MAX((2-AmEur)*IF(CallPut=1,UndTree!BA36-Strike,Strike-UndTree!BA36),(UpProb*BB36+DownProb*BB37)*StepDiscount)))</f>
        <v>5.5975978915711377E-2</v>
      </c>
      <c r="BB36" s="17">
        <f>IF(BB$3="","",IF(BB$3=Steps,MAX(IF(CallPut=1,UndTree!BB36-Strike,Strike-UndTree!BB36),0),MAX((2-AmEur)*IF(CallPut=1,UndTree!BB36-Strike,Strike-UndTree!BB36),(UpProb*BC36+DownProb*BC37)*StepDiscount)))</f>
        <v>7.9078585734618775E-2</v>
      </c>
      <c r="BC36" s="17">
        <f>IF(BC$3="","",IF(BC$3=Steps,MAX(IF(CallPut=1,UndTree!BC36-Strike,Strike-UndTree!BC36),0),MAX((2-AmEur)*IF(CallPut=1,UndTree!BC36-Strike,Strike-UndTree!BC36),(UpProb*BD36+DownProb*BD37)*StepDiscount)))</f>
        <v>0.11098105326403707</v>
      </c>
      <c r="BD36" s="17">
        <f>IF(BD$3="","",IF(BD$3=Steps,MAX(IF(CallPut=1,UndTree!BD36-Strike,Strike-UndTree!BD36),0),MAX((2-AmEur)*IF(CallPut=1,UndTree!BD36-Strike,Strike-UndTree!BD36),(UpProb*BE36+DownProb*BE37)*StepDiscount)))</f>
        <v>0.15469530314155572</v>
      </c>
      <c r="BE36" s="17">
        <f>IF(BE$3="","",IF(BE$3=Steps,MAX(IF(CallPut=1,UndTree!BE36-Strike,Strike-UndTree!BE36),0),MAX((2-AmEur)*IF(CallPut=1,UndTree!BE36-Strike,Strike-UndTree!BE36),(UpProb*BF36+DownProb*BF37)*StepDiscount)))</f>
        <v>0.21411467365532388</v>
      </c>
      <c r="BF36" s="17">
        <f>IF(BF$3="","",IF(BF$3=Steps,MAX(IF(CallPut=1,UndTree!BF36-Strike,Strike-UndTree!BF36),0),MAX((2-AmEur)*IF(CallPut=1,UndTree!BF36-Strike,Strike-UndTree!BF36),(UpProb*BG36+DownProb*BG37)*StepDiscount)))</f>
        <v>0.294209504537563</v>
      </c>
      <c r="BG36" s="17">
        <f>IF(BG$3="","",IF(BG$3=Steps,MAX(IF(CallPut=1,UndTree!BG36-Strike,Strike-UndTree!BG36),0),MAX((2-AmEur)*IF(CallPut=1,UndTree!BG36-Strike,Strike-UndTree!BG36),(UpProb*BH36+DownProb*BH37)*StepDiscount)))</f>
        <v>0.40124107961102101</v>
      </c>
      <c r="BH36" s="17">
        <f>IF(BH$3="","",IF(BH$3=Steps,MAX(IF(CallPut=1,UndTree!BH36-Strike,Strike-UndTree!BH36),0),MAX((2-AmEur)*IF(CallPut=1,UndTree!BH36-Strike,Strike-UndTree!BH36),(UpProb*BI36+DownProb*BI37)*StepDiscount)))</f>
        <v>0.54298499181474691</v>
      </c>
      <c r="BI36" s="17">
        <f>IF(BI$3="","",IF(BI$3=Steps,MAX(IF(CallPut=1,UndTree!BI36-Strike,Strike-UndTree!BI36),0),MAX((2-AmEur)*IF(CallPut=1,UndTree!BI36-Strike,Strike-UndTree!BI36),(UpProb*BJ36+DownProb*BJ37)*StepDiscount)))</f>
        <v>0.72894984413792119</v>
      </c>
      <c r="BJ36" s="17">
        <f>IF(BJ$3="","",IF(BJ$3=Steps,MAX(IF(CallPut=1,UndTree!BJ36-Strike,Strike-UndTree!BJ36),0),MAX((2-AmEur)*IF(CallPut=1,UndTree!BJ36-Strike,Strike-UndTree!BJ36),(UpProb*BK36+DownProb*BK37)*StepDiscount)))</f>
        <v>0.97057126038613128</v>
      </c>
      <c r="BK36" s="17">
        <f>IF(BK$3="","",IF(BK$3=Steps,MAX(IF(CallPut=1,UndTree!BK36-Strike,Strike-UndTree!BK36),0),MAX((2-AmEur)*IF(CallPut=1,UndTree!BK36-Strike,Strike-UndTree!BK36),(UpProb*BL36+DownProb*BL37)*StepDiscount)))</f>
        <v>1.2813549387356109</v>
      </c>
      <c r="BL36" s="17">
        <f>IF(BL$3="","",IF(BL$3=Steps,MAX(IF(CallPut=1,UndTree!BL36-Strike,Strike-UndTree!BL36),0),MAX((2-AmEur)*IF(CallPut=1,UndTree!BL36-Strike,Strike-UndTree!BL36),(UpProb*BM36+DownProb*BM37)*StepDiscount)))</f>
        <v>1.6769367604889316</v>
      </c>
      <c r="BM36" s="17">
        <f>IF(BM$3="","",IF(BM$3=Steps,MAX(IF(CallPut=1,UndTree!BM36-Strike,Strike-UndTree!BM36),0),MAX((2-AmEur)*IF(CallPut=1,UndTree!BM36-Strike,Strike-UndTree!BM36),(UpProb*BN36+DownProb*BN37)*StepDiscount)))</f>
        <v>2.1750239569283734</v>
      </c>
      <c r="BN36" s="17">
        <f>IF(BN$3="","",IF(BN$3=Steps,MAX(IF(CallPut=1,UndTree!BN36-Strike,Strike-UndTree!BN36),0),MAX((2-AmEur)*IF(CallPut=1,UndTree!BN36-Strike,Strike-UndTree!BN36),(UpProb*BO36+DownProb*BO37)*StepDiscount)))</f>
        <v>2.7951805673304446</v>
      </c>
      <c r="BO36" s="17">
        <f>IF(BO$3="","",IF(BO$3=Steps,MAX(IF(CallPut=1,UndTree!BO36-Strike,Strike-UndTree!BO36),0),MAX((2-AmEur)*IF(CallPut=1,UndTree!BO36-Strike,Strike-UndTree!BO36),(UpProb*BP36+DownProb*BP37)*StepDiscount)))</f>
        <v>3.5584246251841249</v>
      </c>
      <c r="BP36" s="17">
        <f>IF(BP$3="","",IF(BP$3=Steps,MAX(IF(CallPut=1,UndTree!BP36-Strike,Strike-UndTree!BP36),0),MAX((2-AmEur)*IF(CallPut=1,UndTree!BP36-Strike,Strike-UndTree!BP36),(UpProb*BQ36+DownProb*BQ37)*StepDiscount)))</f>
        <v>4.4866153590853166</v>
      </c>
      <c r="BQ36" s="17">
        <f>IF(BQ$3="","",IF(BQ$3=Steps,MAX(IF(CallPut=1,UndTree!BQ36-Strike,Strike-UndTree!BQ36),0),MAX((2-AmEur)*IF(CallPut=1,UndTree!BQ36-Strike,Strike-UndTree!BQ36),(UpProb*BR36+DownProb*BR37)*StepDiscount)))</f>
        <v>5.6016273790686784</v>
      </c>
      <c r="BR36" s="17">
        <f>IF(BR$3="","",IF(BR$3=Steps,MAX(IF(CallPut=1,UndTree!BR36-Strike,Strike-UndTree!BR36),0),MAX((2-AmEur)*IF(CallPut=1,UndTree!BR36-Strike,Strike-UndTree!BR36),(UpProb*BS36+DownProb*BS37)*StepDiscount)))</f>
        <v>6.924335493459667</v>
      </c>
      <c r="BS36" s="17">
        <f>IF(BS$3="","",IF(BS$3=Steps,MAX(IF(CallPut=1,UndTree!BS36-Strike,Strike-UndTree!BS36),0),MAX((2-AmEur)*IF(CallPut=1,UndTree!BS36-Strike,Strike-UndTree!BS36),(UpProb*BT36+DownProb*BT37)*StepDiscount)))</f>
        <v>8.4734669786610315</v>
      </c>
      <c r="BT36" s="17">
        <f>IF(BT$3="","",IF(BT$3=Steps,MAX(IF(CallPut=1,UndTree!BT36-Strike,Strike-UndTree!BT36),0),MAX((2-AmEur)*IF(CallPut=1,UndTree!BT36-Strike,Strike-UndTree!BT36),(UpProb*BU36+DownProb*BU37)*StepDiscount)))</f>
        <v>10.264414160384755</v>
      </c>
      <c r="BU36" s="17">
        <f>IF(BU$3="","",IF(BU$3=Steps,MAX(IF(CallPut=1,UndTree!BU36-Strike,Strike-UndTree!BU36),0),MAX((2-AmEur)*IF(CallPut=1,UndTree!BU36-Strike,Strike-UndTree!BU36),(UpProb*BV36+DownProb*BV37)*StepDiscount)))</f>
        <v>12.308133057343831</v>
      </c>
      <c r="BV36" s="17">
        <f>IF(BV$3="","",IF(BV$3=Steps,MAX(IF(CallPut=1,UndTree!BV36-Strike,Strike-UndTree!BV36),0),MAX((2-AmEur)*IF(CallPut=1,UndTree!BV36-Strike,Strike-UndTree!BV36),(UpProb*BW36+DownProb*BW37)*StepDiscount)))</f>
        <v>14.610275603264714</v>
      </c>
      <c r="BW36" s="17">
        <f>IF(BW$3="","",IF(BW$3=Steps,MAX(IF(CallPut=1,UndTree!BW36-Strike,Strike-UndTree!BW36),0),MAX((2-AmEur)*IF(CallPut=1,UndTree!BW36-Strike,Strike-UndTree!BW36),(UpProb*BX36+DownProb*BX37)*StepDiscount)))</f>
        <v>17.170704820886172</v>
      </c>
      <c r="BX36" s="17">
        <f>IF(BX$3="","",IF(BX$3=Steps,MAX(IF(CallPut=1,UndTree!BX36-Strike,Strike-UndTree!BX36),0),MAX((2-AmEur)*IF(CallPut=1,UndTree!BX36-Strike,Strike-UndTree!BX36),(UpProb*BY36+DownProb*BY37)*StepDiscount)))</f>
        <v>19.983516779303674</v>
      </c>
      <c r="BY36" s="17">
        <f>IF(BY$3="","",IF(BY$3=Steps,MAX(IF(CallPut=1,UndTree!BY36-Strike,Strike-UndTree!BY36),0),MAX((2-AmEur)*IF(CallPut=1,UndTree!BY36-Strike,Strike-UndTree!BY36),(UpProb*BZ36+DownProb*BZ37)*StepDiscount)))</f>
        <v>23.037636788870415</v>
      </c>
      <c r="BZ36" s="17">
        <f>IF(BZ$3="","",IF(BZ$3=Steps,MAX(IF(CallPut=1,UndTree!BZ36-Strike,Strike-UndTree!BZ36),0),MAX((2-AmEur)*IF(CallPut=1,UndTree!BZ36-Strike,Strike-UndTree!BZ36),(UpProb*CA36+DownProb*CA37)*StepDiscount)))</f>
        <v>26.317973547799586</v>
      </c>
      <c r="CA36" s="17">
        <f>IF(CA$3="","",IF(CA$3=Steps,MAX(IF(CallPut=1,UndTree!CA36-Strike,Strike-UndTree!CA36),0),MAX((2-AmEur)*IF(CallPut=1,UndTree!CA36-Strike,Strike-UndTree!CA36),(UpProb*CB36+DownProb*CB37)*StepDiscount)))</f>
        <v>29.807016117661181</v>
      </c>
      <c r="CB36" s="17">
        <f>IF(CB$3="","",IF(CB$3=Steps,MAX(IF(CallPut=1,UndTree!CB36-Strike,Strike-UndTree!CB36),0),MAX((2-AmEur)*IF(CallPut=1,UndTree!CB36-Strike,Strike-UndTree!CB36),(UpProb*CC36+DownProb*CC37)*StepDiscount)))</f>
        <v>33.486665385090006</v>
      </c>
      <c r="CC36" s="17">
        <f>IF(CC$3="","",IF(CC$3=Steps,MAX(IF(CallPut=1,UndTree!CC36-Strike,Strike-UndTree!CC36),0),MAX((2-AmEur)*IF(CallPut=1,UndTree!CC36-Strike,Strike-UndTree!CC36),(UpProb*CD36+DownProb*CD37)*StepDiscount)))</f>
        <v>37.340029589968459</v>
      </c>
      <c r="CD36" s="17">
        <f>IF(CD$3="","",IF(CD$3=Steps,MAX(IF(CallPut=1,UndTree!CD36-Strike,Strike-UndTree!CD36),0),MAX((2-AmEur)*IF(CallPut=1,UndTree!CD36-Strike,Strike-UndTree!CD36),(UpProb*CE36+DownProb*CE37)*StepDiscount)))</f>
        <v>41.352905812325822</v>
      </c>
      <c r="CE36" s="17">
        <f>IF(CE$3="","",IF(CE$3=Steps,MAX(IF(CallPut=1,UndTree!CE36-Strike,Strike-UndTree!CE36),0),MAX((2-AmEur)*IF(CallPut=1,UndTree!CE36-Strike,Strike-UndTree!CE36),(UpProb*CF36+DownProb*CF37)*StepDiscount)))</f>
        <v>45.514727831097289</v>
      </c>
      <c r="CF36" s="17">
        <f>IF(CF$3="","",IF(CF$3=Steps,MAX(IF(CallPut=1,UndTree!CF36-Strike,Strike-UndTree!CF36),0),MAX((2-AmEur)*IF(CallPut=1,UndTree!CF36-Strike,Strike-UndTree!CF36),(UpProb*CG36+DownProb*CG37)*StepDiscount)))</f>
        <v>49.818877904196377</v>
      </c>
      <c r="CG36" s="17">
        <f>IF(CG$3="","",IF(CG$3=Steps,MAX(IF(CallPut=1,UndTree!CG36-Strike,Strike-UndTree!CG36),0),MAX((2-AmEur)*IF(CallPut=1,UndTree!CG36-Strike,Strike-UndTree!CG36),(UpProb*CH36+DownProb*CH37)*StepDiscount)))</f>
        <v>54.262406289546725</v>
      </c>
      <c r="CH36" s="17">
        <f>IF(CH$3="","",IF(CH$3=Steps,MAX(IF(CallPut=1,UndTree!CH36-Strike,Strike-UndTree!CH36),0),MAX((2-AmEur)*IF(CallPut=1,UndTree!CH36-Strike,Strike-UndTree!CH36),(UpProb*CI36+DownProb*CI37)*StepDiscount)))</f>
        <v>58.845333008945168</v>
      </c>
      <c r="CI36" s="17">
        <f>IF(CI$3="","",IF(CI$3=Steps,MAX(IF(CallPut=1,UndTree!CI36-Strike,Strike-UndTree!CI36),0),MAX((2-AmEur)*IF(CallPut=1,UndTree!CI36-Strike,Strike-UndTree!CI36),(UpProb*CJ36+DownProb*CJ37)*StepDiscount)))</f>
        <v>63.569777444766835</v>
      </c>
      <c r="CJ36" s="17">
        <f>IF(CJ$3="","",IF(CJ$3=Steps,MAX(IF(CallPut=1,UndTree!CJ36-Strike,Strike-UndTree!CJ36),0),MAX((2-AmEur)*IF(CallPut=1,UndTree!CJ36-Strike,Strike-UndTree!CJ36),(UpProb*CK36+DownProb*CK37)*StepDiscount)))</f>
        <v>68.439149507213401</v>
      </c>
      <c r="CK36" s="17">
        <f>IF(CK$3="","",IF(CK$3=Steps,MAX(IF(CallPut=1,UndTree!CK36-Strike,Strike-UndTree!CK36),0),MAX((2-AmEur)*IF(CallPut=1,UndTree!CK36-Strike,Strike-UndTree!CK36),(UpProb*CL36+DownProb*CL37)*StepDiscount)))</f>
        <v>73.457552355896496</v>
      </c>
      <c r="CL36" s="17">
        <f>IF(CL$3="","",IF(CL$3=Steps,MAX(IF(CallPut=1,UndTree!CL36-Strike,Strike-UndTree!CL36),0),MAX((2-AmEur)*IF(CallPut=1,UndTree!CL36-Strike,Strike-UndTree!CL36),(UpProb*CM36+DownProb*CM37)*StepDiscount)))</f>
        <v>78.629433667337707</v>
      </c>
      <c r="CM36" s="17">
        <f>IF(CM$3="","",IF(CM$3=Steps,MAX(IF(CallPut=1,UndTree!CM36-Strike,Strike-UndTree!CM36),0),MAX((2-AmEur)*IF(CallPut=1,UndTree!CM36-Strike,Strike-UndTree!CM36),(UpProb*CN36+DownProb*CN37)*StepDiscount)))</f>
        <v>83.959432754459527</v>
      </c>
      <c r="CN36" s="17">
        <f>IF(CN$3="","",IF(CN$3=Steps,MAX(IF(CallPut=1,UndTree!CN36-Strike,Strike-UndTree!CN36),0),MAX((2-AmEur)*IF(CallPut=1,UndTree!CN36-Strike,Strike-UndTree!CN36),(UpProb*CO36+DownProb*CO37)*StepDiscount)))</f>
        <v>89.452337063850621</v>
      </c>
      <c r="CO36" s="17">
        <f>IF(CO$3="","",IF(CO$3=Steps,MAX(IF(CallPut=1,UndTree!CO36-Strike,Strike-UndTree!CO36),0),MAX((2-AmEur)*IF(CallPut=1,UndTree!CO36-Strike,Strike-UndTree!CO36),(UpProb*CP36+DownProb*CP37)*StepDiscount)))</f>
        <v>95.113078970790696</v>
      </c>
      <c r="CP36" s="17">
        <f>IF(CP$3="","",IF(CP$3=Steps,MAX(IF(CallPut=1,UndTree!CP36-Strike,Strike-UndTree!CP36),0),MAX((2-AmEur)*IF(CallPut=1,UndTree!CP36-Strike,Strike-UndTree!CP36),(UpProb*CQ36+DownProb*CQ37)*StepDiscount)))</f>
        <v>100.94674016661358</v>
      </c>
      <c r="CQ36" s="17">
        <f>IF(CQ$3="","",IF(CQ$3=Steps,MAX(IF(CallPut=1,UndTree!CQ36-Strike,Strike-UndTree!CQ36),0),MAX((2-AmEur)*IF(CallPut=1,UndTree!CQ36-Strike,Strike-UndTree!CQ36),(UpProb*CR36+DownProb*CR37)*StepDiscount)))</f>
        <v>106.95855617888873</v>
      </c>
      <c r="CR36" s="17">
        <f>IF(CR$3="","",IF(CR$3=Steps,MAX(IF(CallPut=1,UndTree!CR36-Strike,Strike-UndTree!CR36),0),MAX((2-AmEur)*IF(CallPut=1,UndTree!CR36-Strike,Strike-UndTree!CR36),(UpProb*CS36+DownProb*CS37)*StepDiscount)))</f>
        <v>113.15392102844183</v>
      </c>
      <c r="CS36" s="17">
        <f>IF(CS$3="","",IF(CS$3=Steps,MAX(IF(CallPut=1,UndTree!CS36-Strike,Strike-UndTree!CS36),0),MAX((2-AmEur)*IF(CallPut=1,UndTree!CS36-Strike,Strike-UndTree!CS36),(UpProb*CT36+DownProb*CT37)*StepDiscount)))</f>
        <v>119.53839202735696</v>
      </c>
      <c r="CT36" s="17">
        <f>IF(CT$3="","",IF(CT$3=Steps,MAX(IF(CallPut=1,UndTree!CT36-Strike,Strike-UndTree!CT36),0),MAX((2-AmEur)*IF(CallPut=1,UndTree!CT36-Strike,Strike-UndTree!CT36),(UpProb*CU36+DownProb*CU37)*StepDiscount)))</f>
        <v>126.11769472222802</v>
      </c>
      <c r="CU36" s="17">
        <f>IF(CU$3="","",IF(CU$3=Steps,MAX(IF(CallPut=1,UndTree!CU36-Strike,Strike-UndTree!CU36),0),MAX((2-AmEur)*IF(CallPut=1,UndTree!CU36-Strike,Strike-UndTree!CU36),(UpProb*CV36+DownProb*CV37)*StepDiscount)))</f>
        <v>132.89772798705525</v>
      </c>
      <c r="CV36" s="17">
        <f>IF(CV$3="","",IF(CV$3=Steps,MAX(IF(CallPut=1,UndTree!CV36-Strike,Strike-UndTree!CV36),0),MAX((2-AmEur)*IF(CallPut=1,UndTree!CV36-Strike,Strike-UndTree!CV36),(UpProb*CW36+DownProb*CW37)*StepDiscount)))</f>
        <v>139.88456927031424</v>
      </c>
      <c r="CW36" s="17">
        <f>IF(CW$3="","",IF(CW$3=Steps,MAX(IF(CallPut=1,UndTree!CW36-Strike,Strike-UndTree!CW36),0),MAX((2-AmEur)*IF(CallPut=1,UndTree!CW36-Strike,Strike-UndTree!CW36),(UpProb*CX36+DownProb*CX37)*StepDiscount)))</f>
        <v>147.0844800008565</v>
      </c>
      <c r="CX36" s="17">
        <f>IF(CX$3="","",IF(CX$3=Steps,MAX(IF(CallPut=1,UndTree!CX36-Strike,Strike-UndTree!CX36),0),MAX((2-AmEur)*IF(CallPut=1,UndTree!CX36-Strike,Strike-UndTree!CX36),(UpProb*CY36+DownProb*CY37)*StepDiscount)))</f>
        <v>154.50391115744063</v>
      </c>
      <c r="CY36" s="17">
        <f>IF(CY$3="","",IF(CY$3=Steps,MAX(IF(CallPut=1,UndTree!CY36-Strike,Strike-UndTree!CY36),0),MAX((2-AmEur)*IF(CallPut=1,UndTree!CY36-Strike,Strike-UndTree!CY36),(UpProb*CZ36+DownProb*CZ37)*StepDiscount)))</f>
        <v>162.14950900684593</v>
      </c>
      <c r="CZ36" s="17">
        <f>IF(CZ$3="","",IF(CZ$3=Steps,MAX(IF(CallPut=1,UndTree!CZ36-Strike,Strike-UndTree!CZ36),0),MAX((2-AmEur)*IF(CallPut=1,UndTree!CZ36-Strike,Strike-UndTree!CZ36),(UpProb*DA36+DownProb*DA37)*StepDiscount)))</f>
        <v>170.02812101569052</v>
      </c>
      <c r="DA36" s="17">
        <f>IF(DA$3="","",IF(DA$3=Steps,MAX(IF(CallPut=1,UndTree!DA36-Strike,Strike-UndTree!DA36),0),MAX((2-AmEur)*IF(CallPut=1,UndTree!DA36-Strike,Strike-UndTree!DA36),(UpProb*DB36+DownProb*DB37)*StepDiscount)))</f>
        <v>178.1468019412759</v>
      </c>
      <c r="DB36" s="17">
        <f>IF(DB$3="","",IF(DB$3=Steps,MAX(IF(CallPut=1,UndTree!DB36-Strike,Strike-UndTree!DB36),0),MAX((2-AmEur)*IF(CallPut=1,UndTree!DB36-Strike,Strike-UndTree!DB36),(UpProb*DC36+DownProb*DC37)*StepDiscount)))</f>
        <v>186.51282010699998</v>
      </c>
    </row>
    <row r="37" spans="1:106" x14ac:dyDescent="0.2">
      <c r="A37">
        <f>ExDivTree!A37</f>
        <v>4.377049283717151E+26</v>
      </c>
      <c r="B37" s="71">
        <f>ExDivTree!B37</f>
        <v>1.7264415300750465E-4</v>
      </c>
      <c r="C37" s="71">
        <f>ExDivTree!C37</f>
        <v>1.893590129944577E-4</v>
      </c>
      <c r="D37" s="177">
        <f>ExDivTree!D37</f>
        <v>33</v>
      </c>
      <c r="AL37" s="17">
        <f>IF(AL$3="","",IF(AL$3=Steps,MAX(IF(CallPut=1,UndTree!AL37-Strike,Strike-UndTree!AL37),0),MAX((2-AmEur)*IF(CallPut=1,UndTree!AL37-Strike,Strike-UndTree!AL37),(UpProb*AM37+DownProb*AM38)*StepDiscount)))</f>
        <v>4.9022319243429353E-5</v>
      </c>
      <c r="AM37" s="17">
        <f>IF(AM$3="","",IF(AM$3=Steps,MAX(IF(CallPut=1,UndTree!AM37-Strike,Strike-UndTree!AM37),0),MAX((2-AmEur)*IF(CallPut=1,UndTree!AM37-Strike,Strike-UndTree!AM37),(UpProb*AN37+DownProb*AN38)*StepDiscount)))</f>
        <v>7.6143627376075914E-5</v>
      </c>
      <c r="AN37" s="17">
        <f>IF(AN$3="","",IF(AN$3=Steps,MAX(IF(CallPut=1,UndTree!AN37-Strike,Strike-UndTree!AN37),0),MAX((2-AmEur)*IF(CallPut=1,UndTree!AN37-Strike,Strike-UndTree!AN37),(UpProb*AO37+DownProb*AO38)*StepDiscount)))</f>
        <v>1.1781262143521018E-4</v>
      </c>
      <c r="AO37" s="17">
        <f>IF(AO$3="","",IF(AO$3=Steps,MAX(IF(CallPut=1,UndTree!AO37-Strike,Strike-UndTree!AO37),0),MAX((2-AmEur)*IF(CallPut=1,UndTree!AO37-Strike,Strike-UndTree!AO37),(UpProb*AP37+DownProb*AP38)*StepDiscount)))</f>
        <v>1.815592418812068E-4</v>
      </c>
      <c r="AP37" s="17">
        <f>IF(AP$3="","",IF(AP$3=Steps,MAX(IF(CallPut=1,UndTree!AP37-Strike,Strike-UndTree!AP37),0),MAX((2-AmEur)*IF(CallPut=1,UndTree!AP37-Strike,Strike-UndTree!AP37),(UpProb*AQ37+DownProb*AQ38)*StepDiscount)))</f>
        <v>2.7865113253389536E-4</v>
      </c>
      <c r="AQ37" s="17">
        <f>IF(AQ$3="","",IF(AQ$3=Steps,MAX(IF(CallPut=1,UndTree!AQ37-Strike,Strike-UndTree!AQ37),0),MAX((2-AmEur)*IF(CallPut=1,UndTree!AQ37-Strike,Strike-UndTree!AQ37),(UpProb*AR37+DownProb*AR38)*StepDiscount)))</f>
        <v>4.2585778717648407E-4</v>
      </c>
      <c r="AR37" s="17">
        <f>IF(AR$3="","",IF(AR$3=Steps,MAX(IF(CallPut=1,UndTree!AR37-Strike,Strike-UndTree!AR37),0),MAX((2-AmEur)*IF(CallPut=1,UndTree!AR37-Strike,Strike-UndTree!AR37),(UpProb*AS37+DownProb*AS38)*StepDiscount)))</f>
        <v>6.4799671730382752E-4</v>
      </c>
      <c r="AS37" s="17">
        <f>IF(AS$3="","",IF(AS$3=Steps,MAX(IF(CallPut=1,UndTree!AS37-Strike,Strike-UndTree!AS37),0),MAX((2-AmEur)*IF(CallPut=1,UndTree!AS37-Strike,Strike-UndTree!AS37),(UpProb*AT37+DownProb*AT38)*StepDiscount)))</f>
        <v>9.8158097083791713E-4</v>
      </c>
      <c r="AT37" s="17">
        <f>IF(AT$3="","",IF(AT$3=Steps,MAX(IF(CallPut=1,UndTree!AT37-Strike,Strike-UndTree!AT37),0),MAX((2-AmEur)*IF(CallPut=1,UndTree!AT37-Strike,Strike-UndTree!AT37),(UpProb*AU37+DownProb*AU38)*StepDiscount)))</f>
        <v>1.480003394712945E-3</v>
      </c>
      <c r="AU37" s="17">
        <f>IF(AU$3="","",IF(AU$3=Steps,MAX(IF(CallPut=1,UndTree!AU37-Strike,Strike-UndTree!AU37),0),MAX((2-AmEur)*IF(CallPut=1,UndTree!AU37-Strike,Strike-UndTree!AU37),(UpProb*AV37+DownProb*AV38)*StepDiscount)))</f>
        <v>2.2208439487718897E-3</v>
      </c>
      <c r="AV37" s="17">
        <f>IF(AV$3="","",IF(AV$3=Steps,MAX(IF(CallPut=1,UndTree!AV37-Strike,Strike-UndTree!AV37),0),MAX((2-AmEur)*IF(CallPut=1,UndTree!AV37-Strike,Strike-UndTree!AV37),(UpProb*AW37+DownProb*AW38)*StepDiscount)))</f>
        <v>3.3160788829350862E-3</v>
      </c>
      <c r="AW37" s="17">
        <f>IF(AW$3="","",IF(AW$3=Steps,MAX(IF(CallPut=1,UndTree!AW37-Strike,Strike-UndTree!AW37),0),MAX((2-AmEur)*IF(CallPut=1,UndTree!AW37-Strike,Strike-UndTree!AW37),(UpProb*AX37+DownProb*AX38)*StepDiscount)))</f>
        <v>4.9262107165247036E-3</v>
      </c>
      <c r="AX37" s="17">
        <f>IF(AX$3="","",IF(AX$3=Steps,MAX(IF(CallPut=1,UndTree!AX37-Strike,Strike-UndTree!AX37),0),MAX((2-AmEur)*IF(CallPut=1,UndTree!AX37-Strike,Strike-UndTree!AX37),(UpProb*AY37+DownProb*AY38)*StepDiscount)))</f>
        <v>7.2796295881115917E-3</v>
      </c>
      <c r="AY37" s="17">
        <f>IF(AY$3="","",IF(AY$3=Steps,MAX(IF(CallPut=1,UndTree!AY37-Strike,Strike-UndTree!AY37),0),MAX((2-AmEur)*IF(CallPut=1,UndTree!AY37-Strike,Strike-UndTree!AY37),(UpProb*AZ37+DownProb*AZ38)*StepDiscount)))</f>
        <v>1.0698859207997886E-2</v>
      </c>
      <c r="AZ37" s="17">
        <f>IF(AZ$3="","",IF(AZ$3=Steps,MAX(IF(CallPut=1,UndTree!AZ37-Strike,Strike-UndTree!AZ37),0),MAX((2-AmEur)*IF(CallPut=1,UndTree!AZ37-Strike,Strike-UndTree!AZ37),(UpProb*BA37+DownProb*BA38)*StepDiscount)))</f>
        <v>1.5635726400765111E-2</v>
      </c>
      <c r="BA37" s="17">
        <f>IF(BA$3="","",IF(BA$3=Steps,MAX(IF(CallPut=1,UndTree!BA37-Strike,Strike-UndTree!BA37),0),MAX((2-AmEur)*IF(CallPut=1,UndTree!BA37-Strike,Strike-UndTree!BA37),(UpProb*BB37+DownProb*BB38)*StepDiscount)))</f>
        <v>2.2717902469282913E-2</v>
      </c>
      <c r="BB37" s="17">
        <f>IF(BB$3="","",IF(BB$3=Steps,MAX(IF(CallPut=1,UndTree!BB37-Strike,Strike-UndTree!BB37),0),MAX((2-AmEur)*IF(CallPut=1,UndTree!BB37-Strike,Strike-UndTree!BB37),(UpProb*BC37+DownProb*BC38)*StepDiscount)))</f>
        <v>3.2809660829613951E-2</v>
      </c>
      <c r="BC37" s="17">
        <f>IF(BC$3="","",IF(BC$3=Steps,MAX(IF(CallPut=1,UndTree!BC37-Strike,Strike-UndTree!BC37),0),MAX((2-AmEur)*IF(CallPut=1,UndTree!BC37-Strike,Strike-UndTree!BC37),(UpProb*BD37+DownProb*BD38)*StepDiscount)))</f>
        <v>4.7090019043991314E-2</v>
      </c>
      <c r="BD37" s="17">
        <f>IF(BD$3="","",IF(BD$3=Steps,MAX(IF(CallPut=1,UndTree!BD37-Strike,Strike-UndTree!BD37),0),MAX((2-AmEur)*IF(CallPut=1,UndTree!BD37-Strike,Strike-UndTree!BD37),(UpProb*BE37+DownProb*BE38)*StepDiscount)))</f>
        <v>6.7151595688881807E-2</v>
      </c>
      <c r="BE37" s="17">
        <f>IF(BE$3="","",IF(BE$3=Steps,MAX(IF(CallPut=1,UndTree!BE37-Strike,Strike-UndTree!BE37),0),MAX((2-AmEur)*IF(CallPut=1,UndTree!BE37-Strike,Strike-UndTree!BE37),(UpProb*BF37+DownProb*BF38)*StepDiscount)))</f>
        <v>9.5123389929667304E-2</v>
      </c>
      <c r="BF37" s="17">
        <f>IF(BF$3="","",IF(BF$3=Steps,MAX(IF(CallPut=1,UndTree!BF37-Strike,Strike-UndTree!BF37),0),MAX((2-AmEur)*IF(CallPut=1,UndTree!BF37-Strike,Strike-UndTree!BF37),(UpProb*BG37+DownProb*BG38)*StepDiscount)))</f>
        <v>0.13382012354228978</v>
      </c>
      <c r="BG37" s="17">
        <f>IF(BG$3="","",IF(BG$3=Steps,MAX(IF(CallPut=1,UndTree!BG37-Strike,Strike-UndTree!BG37),0),MAX((2-AmEur)*IF(CallPut=1,UndTree!BG37-Strike,Strike-UndTree!BG37),(UpProb*BH37+DownProb*BH38)*StepDiscount)))</f>
        <v>0.18691957671191059</v>
      </c>
      <c r="BH37" s="17">
        <f>IF(BH$3="","",IF(BH$3=Steps,MAX(IF(CallPut=1,UndTree!BH37-Strike,Strike-UndTree!BH37),0),MAX((2-AmEur)*IF(CallPut=1,UndTree!BH37-Strike,Strike-UndTree!BH37),(UpProb*BI37+DownProb*BI38)*StepDiscount)))</f>
        <v>0.25916728402645101</v>
      </c>
      <c r="BI37" s="17">
        <f>IF(BI$3="","",IF(BI$3=Steps,MAX(IF(CallPut=1,UndTree!BI37-Strike,Strike-UndTree!BI37),0),MAX((2-AmEur)*IF(CallPut=1,UndTree!BI37-Strike,Strike-UndTree!BI37),(UpProb*BJ37+DownProb*BJ38)*StepDiscount)))</f>
        <v>0.3566048241358305</v>
      </c>
      <c r="BJ37" s="17">
        <f>IF(BJ$3="","",IF(BJ$3=Steps,MAX(IF(CallPut=1,UndTree!BJ37-Strike,Strike-UndTree!BJ37),0),MAX((2-AmEur)*IF(CallPut=1,UndTree!BJ37-Strike,Strike-UndTree!BJ37),(UpProb*BK37+DownProb*BK38)*StepDiscount)))</f>
        <v>0.48681357291160998</v>
      </c>
      <c r="BK37" s="17">
        <f>IF(BK$3="","",IF(BK$3=Steps,MAX(IF(CallPut=1,UndTree!BK37-Strike,Strike-UndTree!BK37),0),MAX((2-AmEur)*IF(CallPut=1,UndTree!BK37-Strike,Strike-UndTree!BK37),(UpProb*BL37+DownProb*BL38)*StepDiscount)))</f>
        <v>0.65916014703471348</v>
      </c>
      <c r="BL37" s="17">
        <f>IF(BL$3="","",IF(BL$3=Steps,MAX(IF(CallPut=1,UndTree!BL37-Strike,Strike-UndTree!BL37),0),MAX((2-AmEur)*IF(CallPut=1,UndTree!BL37-Strike,Strike-UndTree!BL37),(UpProb*BM37+DownProb*BM38)*StepDiscount)))</f>
        <v>0.8850229941900305</v>
      </c>
      <c r="BM37" s="17">
        <f>IF(BM$3="","",IF(BM$3=Steps,MAX(IF(CallPut=1,UndTree!BM37-Strike,Strike-UndTree!BM37),0),MAX((2-AmEur)*IF(CallPut=1,UndTree!BM37-Strike,Strike-UndTree!BM37),(UpProb*BN37+DownProb*BN38)*StepDiscount)))</f>
        <v>1.1779721393479663</v>
      </c>
      <c r="BN37" s="17">
        <f>IF(BN$3="","",IF(BN$3=Steps,MAX(IF(CallPut=1,UndTree!BN37-Strike,Strike-UndTree!BN37),0),MAX((2-AmEur)*IF(CallPut=1,UndTree!BN37-Strike,Strike-UndTree!BN37),(UpProb*BO37+DownProb*BO38)*StepDiscount)))</f>
        <v>1.5538668259603072</v>
      </c>
      <c r="BO37" s="17">
        <f>IF(BO$3="","",IF(BO$3=Steps,MAX(IF(CallPut=1,UndTree!BO37-Strike,Strike-UndTree!BO37),0),MAX((2-AmEur)*IF(CallPut=1,UndTree!BO37-Strike,Strike-UndTree!BO37),(UpProb*BP37+DownProb*BP38)*StepDiscount)))</f>
        <v>2.0308300200045926</v>
      </c>
      <c r="BP37" s="17">
        <f>IF(BP$3="","",IF(BP$3=Steps,MAX(IF(CallPut=1,UndTree!BP37-Strike,Strike-UndTree!BP37),0),MAX((2-AmEur)*IF(CallPut=1,UndTree!BP37-Strike,Strike-UndTree!BP37),(UpProb*BQ37+DownProb*BQ38)*StepDiscount)))</f>
        <v>2.6290562724557343</v>
      </c>
      <c r="BQ37" s="17">
        <f>IF(BQ$3="","",IF(BQ$3=Steps,MAX(IF(CallPut=1,UndTree!BQ37-Strike,Strike-UndTree!BQ37),0),MAX((2-AmEur)*IF(CallPut=1,UndTree!BQ37-Strike,Strike-UndTree!BQ37),(UpProb*BR37+DownProb*BR38)*StepDiscount)))</f>
        <v>3.3704124201432144</v>
      </c>
      <c r="BR37" s="17">
        <f>IF(BR$3="","",IF(BR$3=Steps,MAX(IF(CallPut=1,UndTree!BR37-Strike,Strike-UndTree!BR37),0),MAX((2-AmEur)*IF(CallPut=1,UndTree!BR37-Strike,Strike-UndTree!BR37),(UpProb*BS37+DownProb*BS38)*StepDiscount)))</f>
        <v>4.2778012764609636</v>
      </c>
      <c r="BS37" s="17">
        <f>IF(BS$3="","",IF(BS$3=Steps,MAX(IF(CallPut=1,UndTree!BS37-Strike,Strike-UndTree!BS37),0),MAX((2-AmEur)*IF(CallPut=1,UndTree!BS37-Strike,Strike-UndTree!BS37),(UpProb*BT37+DownProb*BT38)*StepDiscount)))</f>
        <v>5.3742786282986357</v>
      </c>
      <c r="BT37" s="17">
        <f>IF(BT$3="","",IF(BT$3=Steps,MAX(IF(CallPut=1,UndTree!BT37-Strike,Strike-UndTree!BT37),0),MAX((2-AmEur)*IF(CallPut=1,UndTree!BT37-Strike,Strike-UndTree!BT37),(UpProb*BU37+DownProb*BU38)*StepDiscount)))</f>
        <v>6.6819441939518534</v>
      </c>
      <c r="BU37" s="17">
        <f>IF(BU$3="","",IF(BU$3=Steps,MAX(IF(CallPut=1,UndTree!BU37-Strike,Strike-UndTree!BU37),0),MAX((2-AmEur)*IF(CallPut=1,UndTree!BU37-Strike,Strike-UndTree!BU37),(UpProb*BV37+DownProb*BV38)*StepDiscount)))</f>
        <v>8.2206664312018169</v>
      </c>
      <c r="BV37" s="17">
        <f>IF(BV$3="","",IF(BV$3=Steps,MAX(IF(CallPut=1,UndTree!BV37-Strike,Strike-UndTree!BV37),0),MAX((2-AmEur)*IF(CallPut=1,UndTree!BV37-Strike,Strike-UndTree!BV37),(UpProb*BW37+DownProb*BW38)*StepDiscount)))</f>
        <v>10.006745198775629</v>
      </c>
      <c r="BW37" s="17">
        <f>IF(BW$3="","",IF(BW$3=Steps,MAX(IF(CallPut=1,UndTree!BW37-Strike,Strike-UndTree!BW37),0),MAX((2-AmEur)*IF(CallPut=1,UndTree!BW37-Strike,Strike-UndTree!BW37),(UpProb*BX37+DownProb*BX38)*StepDiscount)))</f>
        <v>12.051658075065253</v>
      </c>
      <c r="BX37" s="17">
        <f>IF(BX$3="","",IF(BX$3=Steps,MAX(IF(CallPut=1,UndTree!BX37-Strike,Strike-UndTree!BX37),0),MAX((2-AmEur)*IF(CallPut=1,UndTree!BX37-Strike,Strike-UndTree!BX37),(UpProb*BY37+DownProb*BY38)*StepDiscount)))</f>
        <v>14.361065543493062</v>
      </c>
      <c r="BY37" s="17">
        <f>IF(BY$3="","",IF(BY$3=Steps,MAX(IF(CallPut=1,UndTree!BY37-Strike,Strike-UndTree!BY37),0),MAX((2-AmEur)*IF(CallPut=1,UndTree!BY37-Strike,Strike-UndTree!BY37),(UpProb*BZ37+DownProb*BZ38)*StepDiscount)))</f>
        <v>16.934255683376563</v>
      </c>
      <c r="BZ37" s="17">
        <f>IF(BZ$3="","",IF(BZ$3=Steps,MAX(IF(CallPut=1,UndTree!BZ37-Strike,Strike-UndTree!BZ37),0),MAX((2-AmEur)*IF(CallPut=1,UndTree!BZ37-Strike,Strike-UndTree!BZ37),(UpProb*CA37+DownProb*CA38)*StepDiscount)))</f>
        <v>19.764180076846941</v>
      </c>
      <c r="CA37" s="17">
        <f>IF(CA$3="","",IF(CA$3=Steps,MAX(IF(CallPut=1,UndTree!CA37-Strike,Strike-UndTree!CA37),0),MAX((2-AmEur)*IF(CallPut=1,UndTree!CA37-Strike,Strike-UndTree!CA37),(UpProb*CB37+DownProb*CB38)*StepDiscount)))</f>
        <v>22.838163991051065</v>
      </c>
      <c r="CB37" s="17">
        <f>IF(CB$3="","",IF(CB$3=Steps,MAX(IF(CallPut=1,UndTree!CB37-Strike,Strike-UndTree!CB37),0),MAX((2-AmEur)*IF(CallPut=1,UndTree!CB37-Strike,Strike-UndTree!CB37),(UpProb*CC37+DownProb*CC38)*StepDiscount)))</f>
        <v>26.139269306667778</v>
      </c>
      <c r="CC37" s="17">
        <f>IF(CC$3="","",IF(CC$3=Steps,MAX(IF(CallPut=1,UndTree!CC37-Strike,Strike-UndTree!CC37),0),MAX((2-AmEur)*IF(CallPut=1,UndTree!CC37-Strike,Strike-UndTree!CC37),(UpProb*CD37+DownProb*CD38)*StepDiscount)))</f>
        <v>29.648164037154302</v>
      </c>
      <c r="CD37" s="17">
        <f>IF(CD$3="","",IF(CD$3=Steps,MAX(IF(CallPut=1,UndTree!CD37-Strike,Strike-UndTree!CD37),0),MAX((2-AmEur)*IF(CallPut=1,UndTree!CD37-Strike,Strike-UndTree!CD37),(UpProb*CE37+DownProb*CE38)*StepDiscount)))</f>
        <v>33.345235462454461</v>
      </c>
      <c r="CE37" s="17">
        <f>IF(CE$3="","",IF(CE$3=Steps,MAX(IF(CallPut=1,UndTree!CE37-Strike,Strike-UndTree!CE37),0),MAX((2-AmEur)*IF(CallPut=1,UndTree!CE37-Strike,Strike-UndTree!CE37),(UpProb*CF37+DownProb*CF38)*StepDiscount)))</f>
        <v>37.212609643937562</v>
      </c>
      <c r="CF37" s="17">
        <f>IF(CF$3="","",IF(CF$3=Steps,MAX(IF(CallPut=1,UndTree!CF37-Strike,Strike-UndTree!CF37),0),MAX((2-AmEur)*IF(CallPut=1,UndTree!CF37-Strike,Strike-UndTree!CF37),(UpProb*CG37+DownProb*CG38)*StepDiscount)))</f>
        <v>41.235739743052612</v>
      </c>
      <c r="CG37" s="17">
        <f>IF(CG$3="","",IF(CG$3=Steps,MAX(IF(CallPut=1,UndTree!CG37-Strike,Strike-UndTree!CG37),0),MAX((2-AmEur)*IF(CallPut=1,UndTree!CG37-Strike,Strike-UndTree!CG37),(UpProb*CH37+DownProb*CH38)*StepDiscount)))</f>
        <v>45.404313537393776</v>
      </c>
      <c r="CH37" s="17">
        <f>IF(CH$3="","",IF(CH$3=Steps,MAX(IF(CallPut=1,UndTree!CH37-Strike,Strike-UndTree!CH37),0),MAX((2-AmEur)*IF(CallPut=1,UndTree!CH37-Strike,Strike-UndTree!CH37),(UpProb*CI37+DownProb*CI38)*StepDiscount)))</f>
        <v>49.712392623266155</v>
      </c>
      <c r="CI37" s="17">
        <f>IF(CI$3="","",IF(CI$3=Steps,MAX(IF(CallPut=1,UndTree!CI37-Strike,Strike-UndTree!CI37),0),MAX((2-AmEur)*IF(CallPut=1,UndTree!CI37-Strike,Strike-UndTree!CI37),(UpProb*CJ37+DownProb*CJ38)*StepDiscount)))</f>
        <v>54.157886524826061</v>
      </c>
      <c r="CJ37" s="17">
        <f>IF(CJ$3="","",IF(CJ$3=Steps,MAX(IF(CallPut=1,UndTree!CJ37-Strike,Strike-UndTree!CJ37),0),MAX((2-AmEur)*IF(CallPut=1,UndTree!CJ37-Strike,Strike-UndTree!CJ37),(UpProb*CK37+DownProb*CK38)*StepDiscount)))</f>
        <v>58.741619474321659</v>
      </c>
      <c r="CK37" s="17">
        <f>IF(CK$3="","",IF(CK$3=Steps,MAX(IF(CallPut=1,UndTree!CK37-Strike,Strike-UndTree!CK37),0),MAX((2-AmEur)*IF(CallPut=1,UndTree!CK37-Strike,Strike-UndTree!CK37),(UpProb*CL37+DownProb*CL38)*StepDiscount)))</f>
        <v>63.466308046899186</v>
      </c>
      <c r="CL37" s="17">
        <f>IF(CL$3="","",IF(CL$3=Steps,MAX(IF(CallPut=1,UndTree!CL37-Strike,Strike-UndTree!CL37),0),MAX((2-AmEur)*IF(CallPut=1,UndTree!CL37-Strike,Strike-UndTree!CL37),(UpProb*CM37+DownProb*CM38)*StepDiscount)))</f>
        <v>68.335713384836666</v>
      </c>
      <c r="CM37" s="17">
        <f>IF(CM$3="","",IF(CM$3=Steps,MAX(IF(CallPut=1,UndTree!CM37-Strike,Strike-UndTree!CM37),0),MAX((2-AmEur)*IF(CallPut=1,UndTree!CM37-Strike,Strike-UndTree!CM37),(UpProb*CN37+DownProb*CN38)*StepDiscount)))</f>
        <v>73.354095204020027</v>
      </c>
      <c r="CN37" s="17">
        <f>IF(CN$3="","",IF(CN$3=Steps,MAX(IF(CallPut=1,UndTree!CN37-Strike,Strike-UndTree!CN37),0),MAX((2-AmEur)*IF(CallPut=1,UndTree!CN37-Strike,Strike-UndTree!CN37),(UpProb*CO37+DownProb*CO38)*StepDiscount)))</f>
        <v>78.525948792953074</v>
      </c>
      <c r="CO37" s="17">
        <f>IF(CO$3="","",IF(CO$3=Steps,MAX(IF(CallPut=1,UndTree!CO37-Strike,Strike-UndTree!CO37),0),MAX((2-AmEur)*IF(CallPut=1,UndTree!CO37-Strike,Strike-UndTree!CO37),(UpProb*CP37+DownProb*CP38)*StepDiscount)))</f>
        <v>83.85592095216407</v>
      </c>
      <c r="CP37" s="17">
        <f>IF(CP$3="","",IF(CP$3=Steps,MAX(IF(CallPut=1,UndTree!CP37-Strike,Strike-UndTree!CP37),0),MAX((2-AmEur)*IF(CallPut=1,UndTree!CP37-Strike,Strike-UndTree!CP37),(UpProb*CQ37+DownProb*CQ38)*StepDiscount)))</f>
        <v>89.34879915315571</v>
      </c>
      <c r="CQ37" s="17">
        <f>IF(CQ$3="","",IF(CQ$3=Steps,MAX(IF(CallPut=1,UndTree!CQ37-Strike,Strike-UndTree!CQ37),0),MAX((2-AmEur)*IF(CallPut=1,UndTree!CQ37-Strike,Strike-UndTree!CQ37),(UpProb*CR37+DownProb*CR38)*StepDiscount)))</f>
        <v>95.009515796874823</v>
      </c>
      <c r="CR37" s="17">
        <f>IF(CR$3="","",IF(CR$3=Steps,MAX(IF(CallPut=1,UndTree!CR37-Strike,Strike-UndTree!CR37),0),MAX((2-AmEur)*IF(CallPut=1,UndTree!CR37-Strike,Strike-UndTree!CR37),(UpProb*CS37+DownProb*CS38)*StepDiscount)))</f>
        <v>100.84315260109808</v>
      </c>
      <c r="CS37" s="17">
        <f>IF(CS$3="","",IF(CS$3=Steps,MAX(IF(CallPut=1,UndTree!CS37-Strike,Strike-UndTree!CS37),0),MAX((2-AmEur)*IF(CallPut=1,UndTree!CS37-Strike,Strike-UndTree!CS37),(UpProb*CT37+DownProb*CT38)*StepDiscount)))</f>
        <v>106.85494512063711</v>
      </c>
      <c r="CT37" s="17">
        <f>IF(CT$3="","",IF(CT$3=Steps,MAX(IF(CallPut=1,UndTree!CT37-Strike,Strike-UndTree!CT37),0),MAX((2-AmEur)*IF(CallPut=1,UndTree!CT37-Strike,Strike-UndTree!CT37),(UpProb*CU37+DownProb*CU38)*StepDiscount)))</f>
        <v>113.05028740438344</v>
      </c>
      <c r="CU37" s="17">
        <f>IF(CU$3="","",IF(CU$3=Steps,MAX(IF(CallPut=1,UndTree!CU37-Strike,Strike-UndTree!CU37),0),MAX((2-AmEur)*IF(CallPut=1,UndTree!CU37-Strike,Strike-UndTree!CU37),(UpProb*CV37+DownProb*CV38)*StepDiscount)))</f>
        <v>119.43473679333677</v>
      </c>
      <c r="CV37" s="17">
        <f>IF(CV$3="","",IF(CV$3=Steps,MAX(IF(CallPut=1,UndTree!CV37-Strike,Strike-UndTree!CV37),0),MAX((2-AmEur)*IF(CallPut=1,UndTree!CV37-Strike,Strike-UndTree!CV37),(UpProb*CW37+DownProb*CW38)*StepDiscount)))</f>
        <v>126.01401886388506</v>
      </c>
      <c r="CW37" s="17">
        <f>IF(CW$3="","",IF(CW$3=Steps,MAX(IF(CallPut=1,UndTree!CW37-Strike,Strike-UndTree!CW37),0),MAX((2-AmEur)*IF(CallPut=1,UndTree!CW37-Strike,Strike-UndTree!CW37),(UpProb*CX37+DownProb*CX38)*StepDiscount)))</f>
        <v>132.7940325207355</v>
      </c>
      <c r="CX37" s="17">
        <f>IF(CX$3="","",IF(CX$3=Steps,MAX(IF(CallPut=1,UndTree!CX37-Strike,Strike-UndTree!CX37),0),MAX((2-AmEur)*IF(CallPut=1,UndTree!CX37-Strike,Strike-UndTree!CX37),(UpProb*CY37+DownProb*CY38)*StepDiscount)))</f>
        <v>139.78085524402104</v>
      </c>
      <c r="CY37" s="17">
        <f>IF(CY$3="","",IF(CY$3=Steps,MAX(IF(CallPut=1,UndTree!CY37-Strike,Strike-UndTree!CY37),0),MAX((2-AmEur)*IF(CallPut=1,UndTree!CY37-Strike,Strike-UndTree!CY37),(UpProb*CZ37+DownProb*CZ38)*StepDiscount)))</f>
        <v>146.98074849523067</v>
      </c>
      <c r="CZ37" s="17">
        <f>IF(CZ$3="","",IF(CZ$3=Steps,MAX(IF(CallPut=1,UndTree!CZ37-Strike,Strike-UndTree!CZ37),0),MAX((2-AmEur)*IF(CallPut=1,UndTree!CZ37-Strike,Strike-UndTree!CZ37),(UpProb*DA37+DownProb*DA38)*StepDiscount)))</f>
        <v>154.4001632867525</v>
      </c>
      <c r="DA37" s="17">
        <f>IF(DA$3="","",IF(DA$3=Steps,MAX(IF(CallPut=1,UndTree!DA37-Strike,Strike-UndTree!DA37),0),MAX((2-AmEur)*IF(CallPut=1,UndTree!DA37-Strike,Strike-UndTree!DA37),(UpProb*DB37+DownProb*DB38)*StepDiscount)))</f>
        <v>162.04574591995274</v>
      </c>
      <c r="DB37" s="17">
        <f>IF(DB$3="","",IF(DB$3=Steps,MAX(IF(CallPut=1,UndTree!DB37-Strike,Strike-UndTree!DB37),0),MAX((2-AmEur)*IF(CallPut=1,UndTree!DB37-Strike,Strike-UndTree!DB37),(UpProb*DC37+DownProb*DC38)*StepDiscount)))</f>
        <v>169.92434389689998</v>
      </c>
    </row>
    <row r="38" spans="1:106" x14ac:dyDescent="0.2">
      <c r="A38">
        <f>ExDivTree!A38</f>
        <v>8.7540985674343115E+26</v>
      </c>
      <c r="B38" s="71">
        <f>ExDivTree!B38</f>
        <v>3.4528830601500968E-4</v>
      </c>
      <c r="C38" s="71">
        <f>ExDivTree!C38</f>
        <v>3.7671576504127308E-4</v>
      </c>
      <c r="D38" s="177">
        <f>ExDivTree!D38</f>
        <v>34</v>
      </c>
      <c r="AM38" s="17">
        <f>IF(AM$3="","",IF(AM$3=Steps,MAX(IF(CallPut=1,UndTree!AM38-Strike,Strike-UndTree!AM38),0),MAX((2-AmEur)*IF(CallPut=1,UndTree!AM38-Strike,Strike-UndTree!AM38),(UpProb*AN38+DownProb*AN39)*StepDiscount)))</f>
        <v>2.1808600995702798E-5</v>
      </c>
      <c r="AN38" s="17">
        <f>IF(AN$3="","",IF(AN$3=Steps,MAX(IF(CallPut=1,UndTree!AN38-Strike,Strike-UndTree!AN38),0),MAX((2-AmEur)*IF(CallPut=1,UndTree!AN38-Strike,Strike-UndTree!AN38),(UpProb*AO38+DownProb*AO39)*StepDiscount)))</f>
        <v>3.4333526919833549E-5</v>
      </c>
      <c r="AO38" s="17">
        <f>IF(AO$3="","",IF(AO$3=Steps,MAX(IF(CallPut=1,UndTree!AO38-Strike,Strike-UndTree!AO38),0),MAX((2-AmEur)*IF(CallPut=1,UndTree!AO38-Strike,Strike-UndTree!AO38),(UpProb*AP38+DownProb*AP39)*StepDiscount)))</f>
        <v>5.3851530766949695E-5</v>
      </c>
      <c r="AP38" s="17">
        <f>IF(AP$3="","",IF(AP$3=Steps,MAX(IF(CallPut=1,UndTree!AP38-Strike,Strike-UndTree!AP38),0),MAX((2-AmEur)*IF(CallPut=1,UndTree!AP38-Strike,Strike-UndTree!AP38),(UpProb*AQ38+DownProb*AQ39)*StepDiscount)))</f>
        <v>8.4142931090335483E-5</v>
      </c>
      <c r="AQ38" s="17">
        <f>IF(AQ$3="","",IF(AQ$3=Steps,MAX(IF(CallPut=1,UndTree!AQ38-Strike,Strike-UndTree!AQ38),0),MAX((2-AmEur)*IF(CallPut=1,UndTree!AQ38-Strike,Strike-UndTree!AQ38),(UpProb*AR38+DownProb*AR39)*StepDiscount)))</f>
        <v>1.309561716581492E-4</v>
      </c>
      <c r="AR38" s="17">
        <f>IF(AR$3="","",IF(AR$3=Steps,MAX(IF(CallPut=1,UndTree!AR38-Strike,Strike-UndTree!AR38),0),MAX((2-AmEur)*IF(CallPut=1,UndTree!AR38-Strike,Strike-UndTree!AR38),(UpProb*AS38+DownProb*AS39)*StepDiscount)))</f>
        <v>2.0298765241285303E-4</v>
      </c>
      <c r="AS38" s="17">
        <f>IF(AS$3="","",IF(AS$3=Steps,MAX(IF(CallPut=1,UndTree!AS38-Strike,Strike-UndTree!AS38),0),MAX((2-AmEur)*IF(CallPut=1,UndTree!AS38-Strike,Strike-UndTree!AS38),(UpProb*AT38+DownProb*AT39)*StepDiscount)))</f>
        <v>3.1332337988786439E-4</v>
      </c>
      <c r="AT38" s="17">
        <f>IF(AT$3="","",IF(AT$3=Steps,MAX(IF(CallPut=1,UndTree!AT38-Strike,Strike-UndTree!AT38),0),MAX((2-AmEur)*IF(CallPut=1,UndTree!AT38-Strike,Strike-UndTree!AT38),(UpProb*AU38+DownProb*AU39)*StepDiscount)))</f>
        <v>4.8154542398259881E-4</v>
      </c>
      <c r="AU38" s="17">
        <f>IF(AU$3="","",IF(AU$3=Steps,MAX(IF(CallPut=1,UndTree!AU38-Strike,Strike-UndTree!AU38),0),MAX((2-AmEur)*IF(CallPut=1,UndTree!AU38-Strike,Strike-UndTree!AU38),(UpProb*AV38+DownProb*AV39)*StepDiscount)))</f>
        <v>7.3678731687868467E-4</v>
      </c>
      <c r="AV38" s="17">
        <f>IF(AV$3="","",IF(AV$3=Steps,MAX(IF(CallPut=1,UndTree!AV38-Strike,Strike-UndTree!AV38),0),MAX((2-AmEur)*IF(CallPut=1,UndTree!AV38-Strike,Strike-UndTree!AV38),(UpProb*AW38+DownProb*AW39)*StepDiscount)))</f>
        <v>1.1221317926717038E-3</v>
      </c>
      <c r="AW38" s="17">
        <f>IF(AW$3="","",IF(AW$3=Steps,MAX(IF(CallPut=1,UndTree!AW38-Strike,Strike-UndTree!AW38),0),MAX((2-AmEur)*IF(CallPut=1,UndTree!AW38-Strike,Strike-UndTree!AW38),(UpProb*AX38+DownProb*AX39)*StepDiscount)))</f>
        <v>1.7008890984709624E-3</v>
      </c>
      <c r="AX38" s="17">
        <f>IF(AX$3="","",IF(AX$3=Steps,MAX(IF(CallPut=1,UndTree!AX38-Strike,Strike-UndTree!AX38),0),MAX((2-AmEur)*IF(CallPut=1,UndTree!AX38-Strike,Strike-UndTree!AX38),(UpProb*AY38+DownProb*AY39)*StepDiscount)))</f>
        <v>2.5654827117889381E-3</v>
      </c>
      <c r="AY38" s="17">
        <f>IF(AY$3="","",IF(AY$3=Steps,MAX(IF(CallPut=1,UndTree!AY38-Strike,Strike-UndTree!AY38),0),MAX((2-AmEur)*IF(CallPut=1,UndTree!AY38-Strike,Strike-UndTree!AY38),(UpProb*AZ38+DownProb*AZ39)*StepDiscount)))</f>
        <v>3.8499099308124825E-3</v>
      </c>
      <c r="AZ38" s="17">
        <f>IF(AZ$3="","",IF(AZ$3=Steps,MAX(IF(CallPut=1,UndTree!AZ38-Strike,Strike-UndTree!AZ38),0),MAX((2-AmEur)*IF(CallPut=1,UndTree!AZ38-Strike,Strike-UndTree!AZ38),(UpProb*BA38+DownProb*BA39)*StepDiscount)))</f>
        <v>5.7470445089578288E-3</v>
      </c>
      <c r="BA38" s="17">
        <f>IF(BA$3="","",IF(BA$3=Steps,MAX(IF(CallPut=1,UndTree!BA38-Strike,Strike-UndTree!BA38),0),MAX((2-AmEur)*IF(CallPut=1,UndTree!BA38-Strike,Strike-UndTree!BA38),(UpProb*BB38+DownProb*BB39)*StepDiscount)))</f>
        <v>8.5324110540828772E-3</v>
      </c>
      <c r="BB38" s="17">
        <f>IF(BB$3="","",IF(BB$3=Steps,MAX(IF(CallPut=1,UndTree!BB38-Strike,Strike-UndTree!BB38),0),MAX((2-AmEur)*IF(CallPut=1,UndTree!BB38-Strike,Strike-UndTree!BB38),(UpProb*BC38+DownProb*BC39)*StepDiscount)))</f>
        <v>1.259648368379233E-2</v>
      </c>
      <c r="BC38" s="17">
        <f>IF(BC$3="","",IF(BC$3=Steps,MAX(IF(CallPut=1,UndTree!BC38-Strike,Strike-UndTree!BC38),0),MAX((2-AmEur)*IF(CallPut=1,UndTree!BC38-Strike,Strike-UndTree!BC38),(UpProb*BD38+DownProb*BD39)*StepDiscount)))</f>
        <v>1.8488030990356469E-2</v>
      </c>
      <c r="BD38" s="17">
        <f>IF(BD$3="","",IF(BD$3=Steps,MAX(IF(CallPut=1,UndTree!BD38-Strike,Strike-UndTree!BD38),0),MAX((2-AmEur)*IF(CallPut=1,UndTree!BD38-Strike,Strike-UndTree!BD38),(UpProb*BE38+DownProb*BE39)*StepDiscount)))</f>
        <v>2.6971515613713561E-2</v>
      </c>
      <c r="BE38" s="17">
        <f>IF(BE$3="","",IF(BE$3=Steps,MAX(IF(CallPut=1,UndTree!BE38-Strike,Strike-UndTree!BE38),0),MAX((2-AmEur)*IF(CallPut=1,UndTree!BE38-Strike,Strike-UndTree!BE38),(UpProb*BF38+DownProb*BF39)*StepDiscount)))</f>
        <v>3.9102005591616813E-2</v>
      </c>
      <c r="BF38" s="17">
        <f>IF(BF$3="","",IF(BF$3=Steps,MAX(IF(CallPut=1,UndTree!BF38-Strike,Strike-UndTree!BF38),0),MAX((2-AmEur)*IF(CallPut=1,UndTree!BF38-Strike,Strike-UndTree!BF38),(UpProb*BG38+DownProb*BG39)*StepDiscount)))</f>
        <v>5.6321379895050046E-2</v>
      </c>
      <c r="BG38" s="17">
        <f>IF(BG$3="","",IF(BG$3=Steps,MAX(IF(CallPut=1,UndTree!BG38-Strike,Strike-UndTree!BG38),0),MAX((2-AmEur)*IF(CallPut=1,UndTree!BG38-Strike,Strike-UndTree!BG38),(UpProb*BH38+DownProb*BH39)*StepDiscount)))</f>
        <v>8.0579685508433085E-2</v>
      </c>
      <c r="BH38" s="17">
        <f>IF(BH$3="","",IF(BH$3=Steps,MAX(IF(CallPut=1,UndTree!BH38-Strike,Strike-UndTree!BH38),0),MAX((2-AmEur)*IF(CallPut=1,UndTree!BH38-Strike,Strike-UndTree!BH38),(UpProb*BI38+DownProb*BI39)*StepDiscount)))</f>
        <v>0.11448515478265521</v>
      </c>
      <c r="BI38" s="17">
        <f>IF(BI$3="","",IF(BI$3=Steps,MAX(IF(CallPut=1,UndTree!BI38-Strike,Strike-UndTree!BI38),0),MAX((2-AmEur)*IF(CallPut=1,UndTree!BI38-Strike,Strike-UndTree!BI38),(UpProb*BJ38+DownProb*BJ39)*StepDiscount)))</f>
        <v>0.16148539840888779</v>
      </c>
      <c r="BJ38" s="17">
        <f>IF(BJ$3="","",IF(BJ$3=Steps,MAX(IF(CallPut=1,UndTree!BJ38-Strike,Strike-UndTree!BJ38),0),MAX((2-AmEur)*IF(CallPut=1,UndTree!BJ38-Strike,Strike-UndTree!BJ38),(UpProb*BK38+DownProb*BK39)*StepDiscount)))</f>
        <v>0.22608039033762106</v>
      </c>
      <c r="BK38" s="17">
        <f>IF(BK$3="","",IF(BK$3=Steps,MAX(IF(CallPut=1,UndTree!BK38-Strike,Strike-UndTree!BK38),0),MAX((2-AmEur)*IF(CallPut=1,UndTree!BK38-Strike,Strike-UndTree!BK38),(UpProb*BL38+DownProb*BL39)*StepDiscount)))</f>
        <v>0.31406477879594497</v>
      </c>
      <c r="BL38" s="17">
        <f>IF(BL$3="","",IF(BL$3=Steps,MAX(IF(CallPut=1,UndTree!BL38-Strike,Strike-UndTree!BL38),0),MAX((2-AmEur)*IF(CallPut=1,UndTree!BL38-Strike,Strike-UndTree!BL38),(UpProb*BM38+DownProb*BM39)*StepDiscount)))</f>
        <v>0.43279254252959426</v>
      </c>
      <c r="BM38" s="17">
        <f>IF(BM$3="","",IF(BM$3=Steps,MAX(IF(CallPut=1,UndTree!BM38-Strike,Strike-UndTree!BM38),0),MAX((2-AmEur)*IF(CallPut=1,UndTree!BM38-Strike,Strike-UndTree!BM38),(UpProb*BN38+DownProb*BN39)*StepDiscount)))</f>
        <v>0.5914509130437553</v>
      </c>
      <c r="BN38" s="17">
        <f>IF(BN$3="","",IF(BN$3=Steps,MAX(IF(CallPut=1,UndTree!BN38-Strike,Strike-UndTree!BN38),0),MAX((2-AmEur)*IF(CallPut=1,UndTree!BN38-Strike,Strike-UndTree!BN38),(UpProb*BO38+DownProb*BO39)*StepDiscount)))</f>
        <v>0.80132285207651843</v>
      </c>
      <c r="BO38" s="17">
        <f>IF(BO$3="","",IF(BO$3=Steps,MAX(IF(CallPut=1,UndTree!BO38-Strike,Strike-UndTree!BO38),0),MAX((2-AmEur)*IF(CallPut=1,UndTree!BO38-Strike,Strike-UndTree!BO38),(UpProb*BP38+DownProb*BP39)*StepDiscount)))</f>
        <v>1.0760085874815006</v>
      </c>
      <c r="BP38" s="17">
        <f>IF(BP$3="","",IF(BP$3=Steps,MAX(IF(CallPut=1,UndTree!BP38-Strike,Strike-UndTree!BP38),0),MAX((2-AmEur)*IF(CallPut=1,UndTree!BP38-Strike,Strike-UndTree!BP38),(UpProb*BQ38+DownProb*BQ39)*StepDiscount)))</f>
        <v>1.4315676176424676</v>
      </c>
      <c r="BQ38" s="17">
        <f>IF(BQ$3="","",IF(BQ$3=Steps,MAX(IF(CallPut=1,UndTree!BQ38-Strike,Strike-UndTree!BQ38),0),MAX((2-AmEur)*IF(CallPut=1,UndTree!BQ38-Strike,Strike-UndTree!BQ38),(UpProb*BR38+DownProb*BR39)*StepDiscount)))</f>
        <v>1.8865346338400666</v>
      </c>
      <c r="BR38" s="17">
        <f>IF(BR$3="","",IF(BR$3=Steps,MAX(IF(CallPut=1,UndTree!BR38-Strike,Strike-UndTree!BR38),0),MAX((2-AmEur)*IF(CallPut=1,UndTree!BR38-Strike,Strike-UndTree!BR38),(UpProb*BS38+DownProb*BS39)*StepDiscount)))</f>
        <v>2.4617580695335919</v>
      </c>
      <c r="BS38" s="17">
        <f>IF(BS$3="","",IF(BS$3=Steps,MAX(IF(CallPut=1,UndTree!BS38-Strike,Strike-UndTree!BS38),0),MAX((2-AmEur)*IF(CallPut=1,UndTree!BS38-Strike,Strike-UndTree!BS38),(UpProb*BT38+DownProb*BT39)*StepDiscount)))</f>
        <v>3.1800111244421947</v>
      </c>
      <c r="BT38" s="17">
        <f>IF(BT$3="","",IF(BT$3=Steps,MAX(IF(CallPut=1,UndTree!BT38-Strike,Strike-UndTree!BT38),0),MAX((2-AmEur)*IF(CallPut=1,UndTree!BT38-Strike,Strike-UndTree!BT38),(UpProb*BU38+DownProb*BU39)*StepDiscount)))</f>
        <v>4.0653350699348358</v>
      </c>
      <c r="BU38" s="17">
        <f>IF(BU$3="","",IF(BU$3=Steps,MAX(IF(CallPut=1,UndTree!BU38-Strike,Strike-UndTree!BU38),0),MAX((2-AmEur)*IF(CallPut=1,UndTree!BU38-Strike,Strike-UndTree!BU38),(UpProb*BV38+DownProb*BV39)*StepDiscount)))</f>
        <v>5.1420960693211963</v>
      </c>
      <c r="BV38" s="17">
        <f>IF(BV$3="","",IF(BV$3=Steps,MAX(IF(CallPut=1,UndTree!BV38-Strike,Strike-UndTree!BV38),0),MAX((2-AmEur)*IF(CallPut=1,UndTree!BV38-Strike,Strike-UndTree!BV38),(UpProb*BW38+DownProb*BW39)*StepDiscount)))</f>
        <v>6.4337711169553033</v>
      </c>
      <c r="BW38" s="17">
        <f>IF(BW$3="","",IF(BW$3=Steps,MAX(IF(CallPut=1,UndTree!BW38-Strike,Strike-UndTree!BW38),0),MAX((2-AmEur)*IF(CallPut=1,UndTree!BW38-Strike,Strike-UndTree!BW38),(UpProb*BX38+DownProb*BX39)*StepDiscount)))</f>
        <v>7.9615251862949474</v>
      </c>
      <c r="BX38" s="17">
        <f>IF(BX$3="","",IF(BX$3=Steps,MAX(IF(CallPut=1,UndTree!BX38-Strike,Strike-UndTree!BX38),0),MAX((2-AmEur)*IF(CallPut=1,UndTree!BX38-Strike,Strike-UndTree!BX38),(UpProb*BY38+DownProb*BY39)*StepDiscount)))</f>
        <v>9.742695982882605</v>
      </c>
      <c r="BY38" s="17">
        <f>IF(BY$3="","",IF(BY$3=Steps,MAX(IF(CallPut=1,UndTree!BY38-Strike,Strike-UndTree!BY38),0),MAX((2-AmEur)*IF(CallPut=1,UndTree!BY38-Strike,Strike-UndTree!BY38),(UpProb*BZ38+DownProb*BZ39)*StepDiscount)))</f>
        <v>11.789356238238872</v>
      </c>
      <c r="BZ38" s="17">
        <f>IF(BZ$3="","",IF(BZ$3=Steps,MAX(IF(CallPut=1,UndTree!BZ38-Strike,Strike-UndTree!BZ38),0),MAX((2-AmEur)*IF(CallPut=1,UndTree!BZ38-Strike,Strike-UndTree!BZ38),(UpProb*CA38+DownProb*CA39)*StepDiscount)))</f>
        <v>14.107163456230275</v>
      </c>
      <c r="CA38" s="17">
        <f>IF(CA$3="","",IF(CA$3=Steps,MAX(IF(CallPut=1,UndTree!CA38-Strike,Strike-UndTree!CA38),0),MAX((2-AmEur)*IF(CallPut=1,UndTree!CA38-Strike,Strike-UndTree!CA38),(UpProb*CB38+DownProb*CB39)*StepDiscount)))</f>
        <v>16.69471799879949</v>
      </c>
      <c r="CB38" s="17">
        <f>IF(CB$3="","",IF(CB$3=Steps,MAX(IF(CallPut=1,UndTree!CB38-Strike,Strike-UndTree!CB38),0),MAX((2-AmEur)*IF(CallPut=1,UndTree!CB38-Strike,Strike-UndTree!CB38),(UpProb*CC38+DownProb*CC39)*StepDiscount)))</f>
        <v>19.543617802042778</v>
      </c>
      <c r="CC38" s="17">
        <f>IF(CC$3="","",IF(CC$3=Steps,MAX(IF(CallPut=1,UndTree!CC38-Strike,Strike-UndTree!CC38),0),MAX((2-AmEur)*IF(CallPut=1,UndTree!CC38-Strike,Strike-UndTree!CC38),(UpProb*CD38+DownProb*CD39)*StepDiscount)))</f>
        <v>22.639313459953232</v>
      </c>
      <c r="CD38" s="17">
        <f>IF(CD$3="","",IF(CD$3=Steps,MAX(IF(CallPut=1,UndTree!CD38-Strike,Strike-UndTree!CD38),0),MAX((2-AmEur)*IF(CallPut=1,UndTree!CD38-Strike,Strike-UndTree!CD38),(UpProb*CE38+DownProb*CE39)*StepDiscount)))</f>
        <v>25.962734807576602</v>
      </c>
      <c r="CE38" s="17">
        <f>IF(CE$3="","",IF(CE$3=Steps,MAX(IF(CallPut=1,UndTree!CE38-Strike,Strike-UndTree!CE38),0),MAX((2-AmEur)*IF(CallPut=1,UndTree!CE38-Strike,Strike-UndTree!CE38),(UpProb*CF38+DownProb*CF39)*StepDiscount)))</f>
        <v>29.492500401393709</v>
      </c>
      <c r="CF38" s="17">
        <f>IF(CF$3="","",IF(CF$3=Steps,MAX(IF(CallPut=1,UndTree!CF38-Strike,Strike-UndTree!CF38),0),MAX((2-AmEur)*IF(CallPut=1,UndTree!CF38-Strike,Strike-UndTree!CF38),(UpProb*CG38+DownProb*CG39)*StepDiscount)))</f>
        <v>33.207372653877748</v>
      </c>
      <c r="CG38" s="17">
        <f>IF(CG$3="","",IF(CG$3=Steps,MAX(IF(CallPut=1,UndTree!CG38-Strike,Strike-UndTree!CG38),0),MAX((2-AmEur)*IF(CallPut=1,UndTree!CG38-Strike,Strike-UndTree!CG38),(UpProb*CH38+DownProb*CH39)*StepDiscount)))</f>
        <v>37.088532249631527</v>
      </c>
      <c r="CH38" s="17">
        <f>IF(CH$3="","",IF(CH$3=Steps,MAX(IF(CallPut=1,UndTree!CH38-Strike,Strike-UndTree!CH38),0),MAX((2-AmEur)*IF(CallPut=1,UndTree!CH38-Strike,Strike-UndTree!CH38),(UpProb*CI38+DownProb*CI39)*StepDiscount)))</f>
        <v>41.121259016414946</v>
      </c>
      <c r="CI38" s="17">
        <f>IF(CI$3="","",IF(CI$3=Steps,MAX(IF(CallPut=1,UndTree!CI38-Strike,Strike-UndTree!CI38),0),MAX((2-AmEur)*IF(CallPut=1,UndTree!CI38-Strike,Strike-UndTree!CI38),(UpProb*CJ38+DownProb*CJ39)*StepDiscount)))</f>
        <v>45.295739903059157</v>
      </c>
      <c r="CJ38" s="17">
        <f>IF(CJ$3="","",IF(CJ$3=Steps,MAX(IF(CallPut=1,UndTree!CJ38-Strike,Strike-UndTree!CJ38),0),MAX((2-AmEur)*IF(CallPut=1,UndTree!CJ38-Strike,Strike-UndTree!CJ38),(UpProb*CK38+DownProb*CK39)*StepDiscount)))</f>
        <v>49.606952027423745</v>
      </c>
      <c r="CK38" s="17">
        <f>IF(CK$3="","",IF(CK$3=Steps,MAX(IF(CallPut=1,UndTree!CK38-Strike,Strike-UndTree!CK38),0),MAX((2-AmEur)*IF(CallPut=1,UndTree!CK38-Strike,Strike-UndTree!CK38),(UpProb*CL38+DownProb*CL39)*StepDiscount)))</f>
        <v>54.05381809091238</v>
      </c>
      <c r="CL38" s="17">
        <f>IF(CL$3="","",IF(CL$3=Steps,MAX(IF(CallPut=1,UndTree!CL38-Strike,Strike-UndTree!CL38),0),MAX((2-AmEur)*IF(CallPut=1,UndTree!CL38-Strike,Strike-UndTree!CL38),(UpProb*CM38+DownProb*CM39)*StepDiscount)))</f>
        <v>58.638007416841049</v>
      </c>
      <c r="CM38" s="17">
        <f>IF(CM$3="","",IF(CM$3=Steps,MAX(IF(CallPut=1,UndTree!CM38-Strike,Strike-UndTree!CM38),0),MAX((2-AmEur)*IF(CallPut=1,UndTree!CM38-Strike,Strike-UndTree!CM38),(UpProb*CN38+DownProb*CN39)*StepDiscount)))</f>
        <v>63.36278389365431</v>
      </c>
      <c r="CN38" s="17">
        <f>IF(CN$3="","",IF(CN$3=Steps,MAX(IF(CallPut=1,UndTree!CN38-Strike,Strike-UndTree!CN38),0),MAX((2-AmEur)*IF(CallPut=1,UndTree!CN38-Strike,Strike-UndTree!CN38),(UpProb*CO38+DownProb*CO39)*StepDiscount)))</f>
        <v>68.232174908478484</v>
      </c>
      <c r="CO38" s="17">
        <f>IF(CO$3="","",IF(CO$3=Steps,MAX(IF(CallPut=1,UndTree!CO38-Strike,Strike-UndTree!CO38),0),MAX((2-AmEur)*IF(CallPut=1,UndTree!CO38-Strike,Strike-UndTree!CO38),(UpProb*CP38+DownProb*CP39)*StepDiscount)))</f>
        <v>73.250528177073122</v>
      </c>
      <c r="CP38" s="17">
        <f>IF(CP$3="","",IF(CP$3=Steps,MAX(IF(CallPut=1,UndTree!CP38-Strike,Strike-UndTree!CP38),0),MAX((2-AmEur)*IF(CallPut=1,UndTree!CP38-Strike,Strike-UndTree!CP38),(UpProb*CQ38+DownProb*CQ39)*StepDiscount)))</f>
        <v>78.42235398580705</v>
      </c>
      <c r="CQ38" s="17">
        <f>IF(CQ$3="","",IF(CQ$3=Steps,MAX(IF(CallPut=1,UndTree!CQ38-Strike,Strike-UndTree!CQ38),0),MAX((2-AmEur)*IF(CallPut=1,UndTree!CQ38-Strike,Strike-UndTree!CQ38),(UpProb*CR38+DownProb*CR39)*StepDiscount)))</f>
        <v>83.752299159391697</v>
      </c>
      <c r="CR38" s="17">
        <f>IF(CR$3="","",IF(CR$3=Steps,MAX(IF(CallPut=1,UndTree!CR38-Strike,Strike-UndTree!CR38),0),MAX((2-AmEur)*IF(CallPut=1,UndTree!CR38-Strike,Strike-UndTree!CR38),(UpProb*CS38+DownProb*CS39)*StepDiscount)))</f>
        <v>89.245151194244158</v>
      </c>
      <c r="CS38" s="17">
        <f>IF(CS$3="","",IF(CS$3=Steps,MAX(IF(CallPut=1,UndTree!CS38-Strike,Strike-UndTree!CS38),0),MAX((2-AmEur)*IF(CallPut=1,UndTree!CS38-Strike,Strike-UndTree!CS38),(UpProb*CT38+DownProb*CT39)*StepDiscount)))</f>
        <v>94.905842516978453</v>
      </c>
      <c r="CT38" s="17">
        <f>IF(CT$3="","",IF(CT$3=Steps,MAX(IF(CallPut=1,UndTree!CT38-Strike,Strike-UndTree!CT38),0),MAX((2-AmEur)*IF(CallPut=1,UndTree!CT38-Strike,Strike-UndTree!CT38),(UpProb*CU38+DownProb*CU39)*StepDiscount)))</f>
        <v>100.739454871814</v>
      </c>
      <c r="CU38" s="17">
        <f>IF(CU$3="","",IF(CU$3=Steps,MAX(IF(CallPut=1,UndTree!CU38-Strike,Strike-UndTree!CU38),0),MAX((2-AmEur)*IF(CallPut=1,UndTree!CU38-Strike,Strike-UndTree!CU38),(UpProb*CV38+DownProb*CV39)*StepDiscount)))</f>
        <v>106.75122384080377</v>
      </c>
      <c r="CV38" s="17">
        <f>IF(CV$3="","",IF(CV$3=Steps,MAX(IF(CallPut=1,UndTree!CV38-Strike,Strike-UndTree!CV38),0),MAX((2-AmEur)*IF(CallPut=1,UndTree!CV38-Strike,Strike-UndTree!CV38),(UpProb*CW38+DownProb*CW39)*StepDiscount)))</f>
        <v>112.94654350090219</v>
      </c>
      <c r="CW38" s="17">
        <f>IF(CW$3="","",IF(CW$3=Steps,MAX(IF(CallPut=1,UndTree!CW38-Strike,Strike-UndTree!CW38),0),MAX((2-AmEur)*IF(CallPut=1,UndTree!CW38-Strike,Strike-UndTree!CW38),(UpProb*CX38+DownProb*CX39)*StepDiscount)))</f>
        <v>119.33097122201681</v>
      </c>
      <c r="CX38" s="17">
        <f>IF(CX$3="","",IF(CX$3=Steps,MAX(IF(CallPut=1,UndTree!CX38-Strike,Strike-UndTree!CX38),0),MAX((2-AmEur)*IF(CallPut=1,UndTree!CX38-Strike,Strike-UndTree!CX38),(UpProb*CY38+DownProb*CY39)*StepDiscount)))</f>
        <v>125.91023261031945</v>
      </c>
      <c r="CY38" s="17">
        <f>IF(CY$3="","",IF(CY$3=Steps,MAX(IF(CallPut=1,UndTree!CY38-Strike,Strike-UndTree!CY38),0),MAX((2-AmEur)*IF(CallPut=1,UndTree!CY38-Strike,Strike-UndTree!CY38),(UpProb*CZ38+DownProb*CZ39)*StepDiscount)))</f>
        <v>132.69022660122278</v>
      </c>
      <c r="CZ38" s="17">
        <f>IF(CZ$3="","",IF(CZ$3=Steps,MAX(IF(CallPut=1,UndTree!CZ38-Strike,Strike-UndTree!CZ38),0),MAX((2-AmEur)*IF(CallPut=1,UndTree!CZ38-Strike,Strike-UndTree!CZ38),(UpProb*DA38+DownProb*DA39)*StepDiscount)))</f>
        <v>139.67703070653423</v>
      </c>
      <c r="DA38" s="17">
        <f>IF(DA$3="","",IF(DA$3=Steps,MAX(IF(CallPut=1,UndTree!DA38-Strike,Strike-UndTree!DA38),0),MAX((2-AmEur)*IF(CallPut=1,UndTree!DA38-Strike,Strike-UndTree!DA38),(UpProb*DB38+DownProb*DB39)*StepDiscount)))</f>
        <v>146.87690642044564</v>
      </c>
      <c r="DB38" s="17">
        <f>IF(DB$3="","",IF(DB$3=Steps,MAX(IF(CallPut=1,UndTree!DB38-Strike,Strike-UndTree!DB38),0),MAX((2-AmEur)*IF(CallPut=1,UndTree!DB38-Strike,Strike-UndTree!DB38),(UpProb*DC38+DownProb*DC39)*StepDiscount)))</f>
        <v>154.29630478909999</v>
      </c>
    </row>
    <row r="39" spans="1:106" x14ac:dyDescent="0.2">
      <c r="A39">
        <f>ExDivTree!A39</f>
        <v>1.6757845829088522E+27</v>
      </c>
      <c r="B39" s="71">
        <f>ExDivTree!B39</f>
        <v>6.6098047151444644E-4</v>
      </c>
      <c r="C39" s="71">
        <f>ExDivTree!C39</f>
        <v>7.1732897216105992E-4</v>
      </c>
      <c r="D39" s="177">
        <f>ExDivTree!D39</f>
        <v>35</v>
      </c>
      <c r="AN39" s="17">
        <f>IF(AN$3="","",IF(AN$3=Steps,MAX(IF(CallPut=1,UndTree!AN39-Strike,Strike-UndTree!AN39),0),MAX((2-AmEur)*IF(CallPut=1,UndTree!AN39-Strike,Strike-UndTree!AN39),(UpProb*AO39+DownProb*AO40)*StepDiscount)))</f>
        <v>9.2401225267227965E-6</v>
      </c>
      <c r="AO39" s="17">
        <f>IF(AO$3="","",IF(AO$3=Steps,MAX(IF(CallPut=1,UndTree!AO39-Strike,Strike-UndTree!AO39),0),MAX((2-AmEur)*IF(CallPut=1,UndTree!AO39-Strike,Strike-UndTree!AO39),(UpProb*AP39+DownProb*AP40)*StepDiscount)))</f>
        <v>1.4748021501330754E-5</v>
      </c>
      <c r="AP39" s="17">
        <f>IF(AP$3="","",IF(AP$3=Steps,MAX(IF(CallPut=1,UndTree!AP39-Strike,Strike-UndTree!AP39),0),MAX((2-AmEur)*IF(CallPut=1,UndTree!AP39-Strike,Strike-UndTree!AP39),(UpProb*AQ39+DownProb*AQ40)*StepDiscount)))</f>
        <v>2.3455968162281334E-5</v>
      </c>
      <c r="AQ39" s="17">
        <f>IF(AQ$3="","",IF(AQ$3=Steps,MAX(IF(CallPut=1,UndTree!AQ39-Strike,Strike-UndTree!AQ39),0),MAX((2-AmEur)*IF(CallPut=1,UndTree!AQ39-Strike,Strike-UndTree!AQ39),(UpProb*AR39+DownProb*AR40)*StepDiscount)))</f>
        <v>3.7169685130397927E-5</v>
      </c>
      <c r="AR39" s="17">
        <f>IF(AR$3="","",IF(AR$3=Steps,MAX(IF(CallPut=1,UndTree!AR39-Strike,Strike-UndTree!AR39),0),MAX((2-AmEur)*IF(CallPut=1,UndTree!AR39-Strike,Strike-UndTree!AR39),(UpProb*AS39+DownProb*AS40)*StepDiscount)))</f>
        <v>5.8680058704066152E-5</v>
      </c>
      <c r="AS39" s="17">
        <f>IF(AS$3="","",IF(AS$3=Steps,MAX(IF(CallPut=1,UndTree!AS39-Strike,Strike-UndTree!AS39),0),MAX((2-AmEur)*IF(CallPut=1,UndTree!AS39-Strike,Strike-UndTree!AS39),(UpProb*AT39+DownProb*AT40)*StepDiscount)))</f>
        <v>9.227972993779043E-5</v>
      </c>
      <c r="AT39" s="17">
        <f>IF(AT$3="","",IF(AT$3=Steps,MAX(IF(CallPut=1,UndTree!AT39-Strike,Strike-UndTree!AT39),0),MAX((2-AmEur)*IF(CallPut=1,UndTree!AT39-Strike,Strike-UndTree!AT39),(UpProb*AU39+DownProb*AU40)*StepDiscount)))</f>
        <v>1.4453792682195951E-4</v>
      </c>
      <c r="AU39" s="17">
        <f>IF(AU$3="","",IF(AU$3=Steps,MAX(IF(CallPut=1,UndTree!AU39-Strike,Strike-UndTree!AU39),0),MAX((2-AmEur)*IF(CallPut=1,UndTree!AU39-Strike,Strike-UndTree!AU39),(UpProb*AV39+DownProb*AV40)*StepDiscount)))</f>
        <v>2.2545515851696491E-4</v>
      </c>
      <c r="AV39" s="17">
        <f>IF(AV$3="","",IF(AV$3=Steps,MAX(IF(CallPut=1,UndTree!AV39-Strike,Strike-UndTree!AV39),0),MAX((2-AmEur)*IF(CallPut=1,UndTree!AV39-Strike,Strike-UndTree!AV39),(UpProb*AW39+DownProb*AW40)*StepDiscount)))</f>
        <v>3.5017236378875373E-4</v>
      </c>
      <c r="AW39" s="17">
        <f>IF(AW$3="","",IF(AW$3=Steps,MAX(IF(CallPut=1,UndTree!AW39-Strike,Strike-UndTree!AW39),0),MAX((2-AmEur)*IF(CallPut=1,UndTree!AW39-Strike,Strike-UndTree!AW39),(UpProb*AX39+DownProb*AX40)*StepDiscount)))</f>
        <v>5.4148272546696171E-4</v>
      </c>
      <c r="AX39" s="17">
        <f>IF(AX$3="","",IF(AX$3=Steps,MAX(IF(CallPut=1,UndTree!AX39-Strike,Strike-UndTree!AX39),0),MAX((2-AmEur)*IF(CallPut=1,UndTree!AX39-Strike,Strike-UndTree!AX39),(UpProb*AY39+DownProb*AY40)*StepDiscount)))</f>
        <v>8.3349534324819502E-4</v>
      </c>
      <c r="AY39" s="17">
        <f>IF(AY$3="","",IF(AY$3=Steps,MAX(IF(CallPut=1,UndTree!AY39-Strike,Strike-UndTree!AY39),0),MAX((2-AmEur)*IF(CallPut=1,UndTree!AY39-Strike,Strike-UndTree!AY39),(UpProb*AZ39+DownProb*AZ40)*StepDiscount)))</f>
        <v>1.2769364560683916E-3</v>
      </c>
      <c r="AZ39" s="17">
        <f>IF(AZ$3="","",IF(AZ$3=Steps,MAX(IF(CallPut=1,UndTree!AZ39-Strike,Strike-UndTree!AZ39),0),MAX((2-AmEur)*IF(CallPut=1,UndTree!AZ39-Strike,Strike-UndTree!AZ39),(UpProb*BA39+DownProb*BA40)*StepDiscount)))</f>
        <v>1.9467554039992213E-3</v>
      </c>
      <c r="BA39" s="17">
        <f>IF(BA$3="","",IF(BA$3=Steps,MAX(IF(CallPut=1,UndTree!BA39-Strike,Strike-UndTree!BA39),0),MAX((2-AmEur)*IF(CallPut=1,UndTree!BA39-Strike,Strike-UndTree!BA39),(UpProb*BB39+DownProb*BB40)*StepDiscount)))</f>
        <v>2.9529393625773097E-3</v>
      </c>
      <c r="BB39" s="17">
        <f>IF(BB$3="","",IF(BB$3=Steps,MAX(IF(CallPut=1,UndTree!BB39-Strike,Strike-UndTree!BB39),0),MAX((2-AmEur)*IF(CallPut=1,UndTree!BB39-Strike,Strike-UndTree!BB39),(UpProb*BC39+DownProb*BC40)*StepDiscount)))</f>
        <v>4.4557432719268316E-3</v>
      </c>
      <c r="BC39" s="17">
        <f>IF(BC$3="","",IF(BC$3=Steps,MAX(IF(CallPut=1,UndTree!BC39-Strike,Strike-UndTree!BC39),0),MAX((2-AmEur)*IF(CallPut=1,UndTree!BC39-Strike,Strike-UndTree!BC39),(UpProb*BD39+DownProb*BD40)*StepDiscount)))</f>
        <v>6.6869175605942443E-3</v>
      </c>
      <c r="BD39" s="17">
        <f>IF(BD$3="","",IF(BD$3=Steps,MAX(IF(CallPut=1,UndTree!BD39-Strike,Strike-UndTree!BD39),0),MAX((2-AmEur)*IF(CallPut=1,UndTree!BD39-Strike,Strike-UndTree!BD39),(UpProb*BE39+DownProb*BE40)*StepDiscount)))</f>
        <v>9.978969550166604E-3</v>
      </c>
      <c r="BE39" s="17">
        <f>IF(BE$3="","",IF(BE$3=Steps,MAX(IF(CallPut=1,UndTree!BE39-Strike,Strike-UndTree!BE39),0),MAX((2-AmEur)*IF(CallPut=1,UndTree!BE39-Strike,Strike-UndTree!BE39),(UpProb*BF39+DownProb*BF40)*StepDiscount)))</f>
        <v>1.4805018757908198E-2</v>
      </c>
      <c r="BF39" s="17">
        <f>IF(BF$3="","",IF(BF$3=Steps,MAX(IF(CallPut=1,UndTree!BF39-Strike,Strike-UndTree!BF39),0),MAX((2-AmEur)*IF(CallPut=1,UndTree!BF39-Strike,Strike-UndTree!BF39),(UpProb*BG39+DownProb*BG40)*StepDiscount)))</f>
        <v>2.1832379947638491E-2</v>
      </c>
      <c r="BG39" s="17">
        <f>IF(BG$3="","",IF(BG$3=Steps,MAX(IF(CallPut=1,UndTree!BG39-Strike,Strike-UndTree!BG39),0),MAX((2-AmEur)*IF(CallPut=1,UndTree!BG39-Strike,Strike-UndTree!BG39),(UpProb*BH39+DownProb*BH40)*StepDiscount)))</f>
        <v>3.1993584979369168E-2</v>
      </c>
      <c r="BH39" s="17">
        <f>IF(BH$3="","",IF(BH$3=Steps,MAX(IF(CallPut=1,UndTree!BH39-Strike,Strike-UndTree!BH39),0),MAX((2-AmEur)*IF(CallPut=1,UndTree!BH39-Strike,Strike-UndTree!BH39),(UpProb*BI39+DownProb*BI40)*StepDiscount)))</f>
        <v>4.6579055372963613E-2</v>
      </c>
      <c r="BI39" s="17">
        <f>IF(BI$3="","",IF(BI$3=Steps,MAX(IF(CallPut=1,UndTree!BI39-Strike,Strike-UndTree!BI39),0),MAX((2-AmEur)*IF(CallPut=1,UndTree!BI39-Strike,Strike-UndTree!BI39),(UpProb*BJ39+DownProb*BJ40)*StepDiscount)))</f>
        <v>6.7355936677107445E-2</v>
      </c>
      <c r="BJ39" s="17">
        <f>IF(BJ$3="","",IF(BJ$3=Steps,MAX(IF(CallPut=1,UndTree!BJ39-Strike,Strike-UndTree!BJ39),0),MAX((2-AmEur)*IF(CallPut=1,UndTree!BJ39-Strike,Strike-UndTree!BJ39),(UpProb*BK39+DownProb*BK40)*StepDiscount)))</f>
        <v>9.6717521763276637E-2</v>
      </c>
      <c r="BK39" s="17">
        <f>IF(BK$3="","",IF(BK$3=Steps,MAX(IF(CallPut=1,UndTree!BK39-Strike,Strike-UndTree!BK39),0),MAX((2-AmEur)*IF(CallPut=1,UndTree!BK39-Strike,Strike-UndTree!BK39),(UpProb*BL39+DownProb*BL40)*StepDiscount)))</f>
        <v>0.13786697857295324</v>
      </c>
      <c r="BL39" s="17">
        <f>IF(BL$3="","",IF(BL$3=Steps,MAX(IF(CallPut=1,UndTree!BL39-Strike,Strike-UndTree!BL39),0),MAX((2-AmEur)*IF(CallPut=1,UndTree!BL39-Strike,Strike-UndTree!BL39),(UpProb*BM39+DownProb*BM40)*StepDiscount)))</f>
        <v>0.19503745289258434</v>
      </c>
      <c r="BM39" s="17">
        <f>IF(BM$3="","",IF(BM$3=Steps,MAX(IF(CallPut=1,UndTree!BM39-Strike,Strike-UndTree!BM39),0),MAX((2-AmEur)*IF(CallPut=1,UndTree!BM39-Strike,Strike-UndTree!BM39),(UpProb*BN39+DownProb*BN40)*StepDiscount)))</f>
        <v>0.2737476886803446</v>
      </c>
      <c r="BN39" s="17">
        <f>IF(BN$3="","",IF(BN$3=Steps,MAX(IF(CallPut=1,UndTree!BN39-Strike,Strike-UndTree!BN39),0),MAX((2-AmEur)*IF(CallPut=1,UndTree!BN39-Strike,Strike-UndTree!BN39),(UpProb*BO39+DownProb*BO40)*StepDiscount)))</f>
        <v>0.38108774501625553</v>
      </c>
      <c r="BO39" s="17">
        <f>IF(BO$3="","",IF(BO$3=Steps,MAX(IF(CallPut=1,UndTree!BO39-Strike,Strike-UndTree!BO39),0),MAX((2-AmEur)*IF(CallPut=1,UndTree!BO39-Strike,Strike-UndTree!BO39),(UpProb*BP39+DownProb*BP40)*StepDiscount)))</f>
        <v>0.52602290980591448</v>
      </c>
      <c r="BP39" s="17">
        <f>IF(BP$3="","",IF(BP$3=Steps,MAX(IF(CallPut=1,UndTree!BP39-Strike,Strike-UndTree!BP39),0),MAX((2-AmEur)*IF(CallPut=1,UndTree!BP39-Strike,Strike-UndTree!BP39),(UpProb*BQ39+DownProb*BQ40)*StepDiscount)))</f>
        <v>0.71969542366547301</v>
      </c>
      <c r="BQ39" s="17">
        <f>IF(BQ$3="","",IF(BQ$3=Steps,MAX(IF(CallPut=1,UndTree!BQ39-Strike,Strike-UndTree!BQ39),0),MAX((2-AmEur)*IF(CallPut=1,UndTree!BQ39-Strike,Strike-UndTree!BQ39),(UpProb*BR39+DownProb*BR40)*StepDiscount)))</f>
        <v>0.97569338639503245</v>
      </c>
      <c r="BR39" s="17">
        <f>IF(BR$3="","",IF(BR$3=Steps,MAX(IF(CallPut=1,UndTree!BR39-Strike,Strike-UndTree!BR39),0),MAX((2-AmEur)*IF(CallPut=1,UndTree!BR39-Strike,Strike-UndTree!BR39),(UpProb*BS39+DownProb*BS40)*StepDiscount)))</f>
        <v>1.3102450119814706</v>
      </c>
      <c r="BS39" s="17">
        <f>IF(BS$3="","",IF(BS$3=Steps,MAX(IF(CallPut=1,UndTree!BS39-Strike,Strike-UndTree!BS39),0),MAX((2-AmEur)*IF(CallPut=1,UndTree!BS39-Strike,Strike-UndTree!BS39),(UpProb*BT39+DownProb*BT40)*StepDiscount)))</f>
        <v>1.742285741983346</v>
      </c>
      <c r="BT39" s="17">
        <f>IF(BT$3="","",IF(BT$3=Steps,MAX(IF(CallPut=1,UndTree!BT39-Strike,Strike-UndTree!BT39),0),MAX((2-AmEur)*IF(CallPut=1,UndTree!BT39-Strike,Strike-UndTree!BT39),(UpProb*BU39+DownProb*BU40)*StepDiscount)))</f>
        <v>2.2933380006935868</v>
      </c>
      <c r="BU39" s="17">
        <f>IF(BU$3="","",IF(BU$3=Steps,MAX(IF(CallPut=1,UndTree!BU39-Strike,Strike-UndTree!BU39),0),MAX((2-AmEur)*IF(CallPut=1,UndTree!BU39-Strike,Strike-UndTree!BU39),(UpProb*BV39+DownProb*BV40)*StepDiscount)))</f>
        <v>2.9871418151980489</v>
      </c>
      <c r="BV39" s="17">
        <f>IF(BV$3="","",IF(BV$3=Steps,MAX(IF(CallPut=1,UndTree!BV39-Strike,Strike-UndTree!BV39),0),MAX((2-AmEur)*IF(CallPut=1,UndTree!BV39-Strike,Strike-UndTree!BV39),(UpProb*BW39+DownProb*BW40)*StepDiscount)))</f>
        <v>3.8489829611157496</v>
      </c>
      <c r="BW39" s="17">
        <f>IF(BW$3="","",IF(BW$3=Steps,MAX(IF(CallPut=1,UndTree!BW39-Strike,Strike-UndTree!BW39),0),MAX((2-AmEur)*IF(CallPut=1,UndTree!BW39-Strike,Strike-UndTree!BW39),(UpProb*BX39+DownProb*BX40)*StepDiscount)))</f>
        <v>4.9046875210940621</v>
      </c>
      <c r="BX39" s="17">
        <f>IF(BX$3="","",IF(BX$3=Steps,MAX(IF(CallPut=1,UndTree!BX39-Strike,Strike-UndTree!BX39),0),MAX((2-AmEur)*IF(CallPut=1,UndTree!BX39-Strike,Strike-UndTree!BX39),(UpProb*BY39+DownProb*BY40)*StepDiscount)))</f>
        <v>6.1792904172748075</v>
      </c>
      <c r="BY39" s="17">
        <f>IF(BY$3="","",IF(BY$3=Steps,MAX(IF(CallPut=1,UndTree!BY39-Strike,Strike-UndTree!BY39),0),MAX((2-AmEur)*IF(CallPut=1,UndTree!BY39-Strike,Strike-UndTree!BY39),(UpProb*BZ39+DownProb*BZ40)*StepDiscount)))</f>
        <v>7.6954406119547016</v>
      </c>
      <c r="BZ39" s="17">
        <f>IF(BZ$3="","",IF(BZ$3=Steps,MAX(IF(CallPut=1,UndTree!BZ39-Strike,Strike-UndTree!BZ39),0),MAX((2-AmEur)*IF(CallPut=1,UndTree!BZ39-Strike,Strike-UndTree!BZ39),(UpProb*CA39+DownProb*CA40)*StepDiscount)))</f>
        <v>9.4716729037481624</v>
      </c>
      <c r="CA39" s="17">
        <f>IF(CA$3="","",IF(CA$3=Steps,MAX(IF(CallPut=1,UndTree!CA39-Strike,Strike-UndTree!CA39),0),MAX((2-AmEur)*IF(CallPut=1,UndTree!CA39-Strike,Strike-UndTree!CA39),(UpProb*CB39+DownProb*CB40)*StepDiscount)))</f>
        <v>11.520745418705912</v>
      </c>
      <c r="CB39" s="17">
        <f>IF(CB$3="","",IF(CB$3=Steps,MAX(IF(CallPut=1,UndTree!CB39-Strike,Strike-UndTree!CB39),0),MAX((2-AmEur)*IF(CallPut=1,UndTree!CB39-Strike,Strike-UndTree!CB39),(UpProb*CC39+DownProb*CC40)*StepDiscount)))</f>
        <v>13.848296685565478</v>
      </c>
      <c r="CC39" s="17">
        <f>IF(CC$3="","",IF(CC$3=Steps,MAX(IF(CallPut=1,UndTree!CC39-Strike,Strike-UndTree!CC39),0),MAX((2-AmEur)*IF(CallPut=1,UndTree!CC39-Strike,Strike-UndTree!CC39),(UpProb*CD39+DownProb*CD40)*StepDiscount)))</f>
        <v>16.452095787923618</v>
      </c>
      <c r="CD39" s="17">
        <f>IF(CD$3="","",IF(CD$3=Steps,MAX(IF(CallPut=1,UndTree!CD39-Strike,Strike-UndTree!CD39),0),MAX((2-AmEur)*IF(CallPut=1,UndTree!CD39-Strike,Strike-UndTree!CD39),(UpProb*CE39+DownProb*CE40)*StepDiscount)))</f>
        <v>19.322122750515614</v>
      </c>
      <c r="CE39" s="17">
        <f>IF(CE$3="","",IF(CE$3=Steps,MAX(IF(CallPut=1,UndTree!CE39-Strike,Strike-UndTree!CE39),0),MAX((2-AmEur)*IF(CallPut=1,UndTree!CE39-Strike,Strike-UndTree!CE39),(UpProb*CF39+DownProb*CF40)*StepDiscount)))</f>
        <v>22.44161084380487</v>
      </c>
      <c r="CF39" s="17">
        <f>IF(CF$3="","",IF(CF$3=Steps,MAX(IF(CallPut=1,UndTree!CF39-Strike,Strike-UndTree!CF39),0),MAX((2-AmEur)*IF(CallPut=1,UndTree!CF39-Strike,Strike-UndTree!CF39),(UpProb*CG39+DownProb*CG40)*StepDiscount)))</f>
        <v>25.789011436534011</v>
      </c>
      <c r="CG39" s="17">
        <f>IF(CG$3="","",IF(CG$3=Steps,MAX(IF(CallPut=1,UndTree!CG39-Strike,Strike-UndTree!CG39),0),MAX((2-AmEur)*IF(CallPut=1,UndTree!CG39-Strike,Strike-UndTree!CG39),(UpProb*CH39+DownProb*CH40)*StepDiscount)))</f>
        <v>29.340633400511923</v>
      </c>
      <c r="CH39" s="17">
        <f>IF(CH$3="","",IF(CH$3=Steps,MAX(IF(CallPut=1,UndTree!CH39-Strike,Strike-UndTree!CH39),0),MAX((2-AmEur)*IF(CallPut=1,UndTree!CH39-Strike,Strike-UndTree!CH39),(UpProb*CI39+DownProb*CI40)*StepDiscount)))</f>
        <v>33.073516627122501</v>
      </c>
      <c r="CI39" s="17">
        <f>IF(CI$3="","",IF(CI$3=Steps,MAX(IF(CallPut=1,UndTree!CI39-Strike,Strike-UndTree!CI39),0),MAX((2-AmEur)*IF(CallPut=1,UndTree!CI39-Strike,Strike-UndTree!CI39),(UpProb*CJ39+DownProb*CJ40)*StepDiscount)))</f>
        <v>36.967992205014077</v>
      </c>
      <c r="CJ39" s="17">
        <f>IF(CJ$3="","",IF(CJ$3=Steps,MAX(IF(CallPut=1,UndTree!CJ39-Strike,Strike-UndTree!CJ39),0),MAX((2-AmEur)*IF(CallPut=1,UndTree!CJ39-Strike,Strike-UndTree!CJ39),(UpProb*CK39+DownProb*CK40)*StepDiscount)))</f>
        <v>41.009421096798313</v>
      </c>
      <c r="CK39" s="17">
        <f>IF(CK$3="","",IF(CK$3=Steps,MAX(IF(CallPut=1,UndTree!CK39-Strike,Strike-UndTree!CK39),0),MAX((2-AmEur)*IF(CallPut=1,UndTree!CK39-Strike,Strike-UndTree!CK39),(UpProb*CL39+DownProb*CL40)*StepDiscount)))</f>
        <v>45.188808564415211</v>
      </c>
      <c r="CL39" s="17">
        <f>IF(CL$3="","",IF(CL$3=Steps,MAX(IF(CallPut=1,UndTree!CL39-Strike,Strike-UndTree!CL39),0),MAX((2-AmEur)*IF(CallPut=1,UndTree!CL39-Strike,Strike-UndTree!CL39),(UpProb*CM39+DownProb*CM40)*StepDiscount)))</f>
        <v>49.502314951899308</v>
      </c>
      <c r="CM39" s="17">
        <f>IF(CM$3="","",IF(CM$3=Steps,MAX(IF(CallPut=1,UndTree!CM39-Strike,Strike-UndTree!CM39),0),MAX((2-AmEur)*IF(CallPut=1,UndTree!CM39-Strike,Strike-UndTree!CM39),(UpProb*CN39+DownProb*CN40)*StepDiscount)))</f>
        <v>53.950008304149023</v>
      </c>
      <c r="CN39" s="17">
        <f>IF(CN$3="","",IF(CN$3=Steps,MAX(IF(CallPut=1,UndTree!CN39-Strike,Strike-UndTree!CN39),0),MAX((2-AmEur)*IF(CallPut=1,UndTree!CN39-Strike,Strike-UndTree!CN39),(UpProb*CO39+DownProb*CO40)*StepDiscount)))</f>
        <v>58.534388397784262</v>
      </c>
      <c r="CO39" s="17">
        <f>IF(CO$3="","",IF(CO$3=Steps,MAX(IF(CallPut=1,UndTree!CO39-Strike,Strike-UndTree!CO39),0),MAX((2-AmEur)*IF(CallPut=1,UndTree!CO39-Strike,Strike-UndTree!CO39),(UpProb*CP39+DownProb*CP40)*StepDiscount)))</f>
        <v>63.25916483946191</v>
      </c>
      <c r="CP39" s="17">
        <f>IF(CP$3="","",IF(CP$3=Steps,MAX(IF(CallPut=1,UndTree!CP39-Strike,Strike-UndTree!CP39),0),MAX((2-AmEur)*IF(CallPut=1,UndTree!CP39-Strike,Strike-UndTree!CP39),(UpProb*CQ39+DownProb*CQ40)*StepDiscount)))</f>
        <v>68.128526499079285</v>
      </c>
      <c r="CQ39" s="17">
        <f>IF(CQ$3="","",IF(CQ$3=Steps,MAX(IF(CallPut=1,UndTree!CQ39-Strike,Strike-UndTree!CQ39),0),MAX((2-AmEur)*IF(CallPut=1,UndTree!CQ39-Strike,Strike-UndTree!CQ39),(UpProb*CR39+DownProb*CR40)*StepDiscount)))</f>
        <v>73.146851159358093</v>
      </c>
      <c r="CR39" s="17">
        <f>IF(CR$3="","",IF(CR$3=Steps,MAX(IF(CallPut=1,UndTree!CR39-Strike,Strike-UndTree!CR39),0),MAX((2-AmEur)*IF(CallPut=1,UndTree!CR39-Strike,Strike-UndTree!CR39),(UpProb*CS39+DownProb*CS40)*StepDiscount)))</f>
        <v>78.318649130140798</v>
      </c>
      <c r="CS39" s="17">
        <f>IF(CS$3="","",IF(CS$3=Steps,MAX(IF(CallPut=1,UndTree!CS39-Strike,Strike-UndTree!CS39),0),MAX((2-AmEur)*IF(CallPut=1,UndTree!CS39-Strike,Strike-UndTree!CS39),(UpProb*CT39+DownProb*CT40)*StepDiscount)))</f>
        <v>83.648567260322679</v>
      </c>
      <c r="CT39" s="17">
        <f>IF(CT$3="","",IF(CT$3=Steps,MAX(IF(CallPut=1,UndTree!CT39-Strike,Strike-UndTree!CT39),0),MAX((2-AmEur)*IF(CallPut=1,UndTree!CT39-Strike,Strike-UndTree!CT39),(UpProb*CU39+DownProb*CU40)*StepDiscount)))</f>
        <v>89.14139307123547</v>
      </c>
      <c r="CU39" s="17">
        <f>IF(CU$3="","",IF(CU$3=Steps,MAX(IF(CallPut=1,UndTree!CU39-Strike,Strike-UndTree!CU39),0),MAX((2-AmEur)*IF(CallPut=1,UndTree!CU39-Strike,Strike-UndTree!CU39),(UpProb*CV39+DownProb*CV40)*StepDiscount)))</f>
        <v>94.802059015160978</v>
      </c>
      <c r="CV39" s="17">
        <f>IF(CV$3="","",IF(CV$3=Steps,MAX(IF(CallPut=1,UndTree!CV39-Strike,Strike-UndTree!CV39),0),MAX((2-AmEur)*IF(CallPut=1,UndTree!CV39-Strike,Strike-UndTree!CV39),(UpProb*CW39+DownProb*CW40)*StepDiscount)))</f>
        <v>100.63564686276294</v>
      </c>
      <c r="CW39" s="17">
        <f>IF(CW$3="","",IF(CW$3=Steps,MAX(IF(CallPut=1,UndTree!CW39-Strike,Strike-UndTree!CW39),0),MAX((2-AmEur)*IF(CallPut=1,UndTree!CW39-Strike,Strike-UndTree!CW39),(UpProb*CX39+DownProb*CX40)*StepDiscount)))</f>
        <v>106.64739222333718</v>
      </c>
      <c r="CX39" s="17">
        <f>IF(CX$3="","",IF(CX$3=Steps,MAX(IF(CallPut=1,UndTree!CX39-Strike,Strike-UndTree!CX39),0),MAX((2-AmEur)*IF(CallPut=1,UndTree!CX39-Strike,Strike-UndTree!CX39),(UpProb*CY39+DownProb*CY40)*StepDiscount)))</f>
        <v>112.84268920189592</v>
      </c>
      <c r="CY39" s="17">
        <f>IF(CY$3="","",IF(CY$3=Steps,MAX(IF(CallPut=1,UndTree!CY39-Strike,Strike-UndTree!CY39),0),MAX((2-AmEur)*IF(CallPut=1,UndTree!CY39-Strike,Strike-UndTree!CY39),(UpProb*CZ39+DownProb*CZ40)*StepDiscount)))</f>
        <v>119.22709519723553</v>
      </c>
      <c r="CZ39" s="17">
        <f>IF(CZ$3="","",IF(CZ$3=Steps,MAX(IF(CallPut=1,UndTree!CZ39-Strike,Strike-UndTree!CZ39),0),MAX((2-AmEur)*IF(CallPut=1,UndTree!CZ39-Strike,Strike-UndTree!CZ39),(UpProb*DA39+DownProb*DA40)*StepDiscount)))</f>
        <v>125.80633584529141</v>
      </c>
      <c r="DA39" s="17">
        <f>IF(DA$3="","",IF(DA$3=Steps,MAX(IF(CallPut=1,UndTree!DA39-Strike,Strike-UndTree!DA39),0),MAX((2-AmEur)*IF(CallPut=1,UndTree!DA39-Strike,Strike-UndTree!DA39),(UpProb*DB39+DownProb*DB40)*StepDiscount)))</f>
        <v>132.58631011215056</v>
      </c>
      <c r="DB39" s="17">
        <f>IF(DB$3="","",IF(DB$3=Steps,MAX(IF(CallPut=1,UndTree!DB39-Strike,Strike-UndTree!DB39),0),MAX((2-AmEur)*IF(CallPut=1,UndTree!DB39-Strike,Strike-UndTree!DB39),(UpProb*DC39+DownProb*DC40)*StepDiscount)))</f>
        <v>139.57309554130001</v>
      </c>
    </row>
    <row r="40" spans="1:106" x14ac:dyDescent="0.2">
      <c r="A40">
        <f>ExDivTree!A40</f>
        <v>3.0722717353328938E+27</v>
      </c>
      <c r="B40" s="71">
        <f>ExDivTree!B40</f>
        <v>1.2117975311098177E-3</v>
      </c>
      <c r="C40" s="71">
        <f>ExDivTree!C40</f>
        <v>1.3081502392671774E-3</v>
      </c>
      <c r="D40" s="177">
        <f>ExDivTree!D40</f>
        <v>36</v>
      </c>
      <c r="AO40" s="17">
        <f>IF(AO$3="","",IF(AO$3=Steps,MAX(IF(CallPut=1,UndTree!AO40-Strike,Strike-UndTree!AO40),0),MAX((2-AmEur)*IF(CallPut=1,UndTree!AO40-Strike,Strike-UndTree!AO40),(UpProb*AP40+DownProb*AP41)*StepDiscount)))</f>
        <v>3.7127013562001771E-6</v>
      </c>
      <c r="AP40" s="17">
        <f>IF(AP$3="","",IF(AP$3=Steps,MAX(IF(CallPut=1,UndTree!AP40-Strike,Strike-UndTree!AP40),0),MAX((2-AmEur)*IF(CallPut=1,UndTree!AP40-Strike,Strike-UndTree!AP40),(UpProb*AQ40+DownProb*AQ41)*StepDiscount)))</f>
        <v>6.0093575873333134E-6</v>
      </c>
      <c r="AQ40" s="17">
        <f>IF(AQ$3="","",IF(AQ$3=Steps,MAX(IF(CallPut=1,UndTree!AQ40-Strike,Strike-UndTree!AQ40),0),MAX((2-AmEur)*IF(CallPut=1,UndTree!AQ40-Strike,Strike-UndTree!AQ40),(UpProb*AR40+DownProb*AR41)*StepDiscount)))</f>
        <v>9.6941188937582562E-6</v>
      </c>
      <c r="AR40" s="17">
        <f>IF(AR$3="","",IF(AR$3=Steps,MAX(IF(CallPut=1,UndTree!AR40-Strike,Strike-UndTree!AR40),0),MAX((2-AmEur)*IF(CallPut=1,UndTree!AR40-Strike,Strike-UndTree!AR40),(UpProb*AS40+DownProb*AS41)*StepDiscount)))</f>
        <v>1.5584213888641867E-5</v>
      </c>
      <c r="AS40" s="17">
        <f>IF(AS$3="","",IF(AS$3=Steps,MAX(IF(CallPut=1,UndTree!AS40-Strike,Strike-UndTree!AS40),0),MAX((2-AmEur)*IF(CallPut=1,UndTree!AS40-Strike,Strike-UndTree!AS40),(UpProb*AT40+DownProb*AT41)*StepDiscount)))</f>
        <v>2.4963737875358031E-5</v>
      </c>
      <c r="AT40" s="17">
        <f>IF(AT$3="","",IF(AT$3=Steps,MAX(IF(CallPut=1,UndTree!AT40-Strike,Strike-UndTree!AT40),0),MAX((2-AmEur)*IF(CallPut=1,UndTree!AT40-Strike,Strike-UndTree!AT40),(UpProb*AU40+DownProb*AU41)*StepDiscount)))</f>
        <v>3.9841175500441443E-5</v>
      </c>
      <c r="AU40" s="17">
        <f>IF(AU$3="","",IF(AU$3=Steps,MAX(IF(CallPut=1,UndTree!AU40-Strike,Strike-UndTree!AU40),0),MAX((2-AmEur)*IF(CallPut=1,UndTree!AU40-Strike,Strike-UndTree!AU40),(UpProb*AV40+DownProb*AV41)*StepDiscount)))</f>
        <v>6.3343169695644777E-5</v>
      </c>
      <c r="AV40" s="17">
        <f>IF(AV$3="","",IF(AV$3=Steps,MAX(IF(CallPut=1,UndTree!AV40-Strike,Strike-UndTree!AV40),0),MAX((2-AmEur)*IF(CallPut=1,UndTree!AV40-Strike,Strike-UndTree!AV40),(UpProb*AW40+DownProb*AW41)*StepDiscount)))</f>
        <v>1.0031303348947283E-4</v>
      </c>
      <c r="AW40" s="17">
        <f>IF(AW$3="","",IF(AW$3=Steps,MAX(IF(CallPut=1,UndTree!AW40-Strike,Strike-UndTree!AW40),0),MAX((2-AmEur)*IF(CallPut=1,UndTree!AW40-Strike,Strike-UndTree!AW40),(UpProb*AX40+DownProb*AX41)*StepDiscount)))</f>
        <v>1.582147701434897E-4</v>
      </c>
      <c r="AX40" s="17">
        <f>IF(AX$3="","",IF(AX$3=Steps,MAX(IF(CallPut=1,UndTree!AX40-Strike,Strike-UndTree!AX40),0),MAX((2-AmEur)*IF(CallPut=1,UndTree!AX40-Strike,Strike-UndTree!AX40),(UpProb*AY40+DownProb*AY41)*StepDiscount)))</f>
        <v>2.4848955819362165E-4</v>
      </c>
      <c r="AY40" s="17">
        <f>IF(AY$3="","",IF(AY$3=Steps,MAX(IF(CallPut=1,UndTree!AY40-Strike,Strike-UndTree!AY40),0),MAX((2-AmEur)*IF(CallPut=1,UndTree!AY40-Strike,Strike-UndTree!AY40),(UpProb*AZ40+DownProb*AZ41)*StepDiscount)))</f>
        <v>3.8857703787664288E-4</v>
      </c>
      <c r="AZ40" s="17">
        <f>IF(AZ$3="","",IF(AZ$3=Steps,MAX(IF(CallPut=1,UndTree!AZ40-Strike,Strike-UndTree!AZ40),0),MAX((2-AmEur)*IF(CallPut=1,UndTree!AZ40-Strike,Strike-UndTree!AZ40),(UpProb*BA40+DownProb*BA41)*StepDiscount)))</f>
        <v>6.0490513938604436E-4</v>
      </c>
      <c r="BA40" s="17">
        <f>IF(BA$3="","",IF(BA$3=Steps,MAX(IF(CallPut=1,UndTree!BA40-Strike,Strike-UndTree!BA40),0),MAX((2-AmEur)*IF(CallPut=1,UndTree!BA40-Strike,Strike-UndTree!BA40),(UpProb*BB40+DownProb*BB41)*StepDiscount)))</f>
        <v>9.3727824531641805E-4</v>
      </c>
      <c r="BB40" s="17">
        <f>IF(BB$3="","",IF(BB$3=Steps,MAX(IF(CallPut=1,UndTree!BB40-Strike,Strike-UndTree!BB40),0),MAX((2-AmEur)*IF(CallPut=1,UndTree!BB40-Strike,Strike-UndTree!BB40),(UpProb*BC40+DownProb*BC41)*StepDiscount)))</f>
        <v>1.4452646777058484E-3</v>
      </c>
      <c r="BC40" s="17">
        <f>IF(BC$3="","",IF(BC$3=Steps,MAX(IF(CallPut=1,UndTree!BC40-Strike,Strike-UndTree!BC40),0),MAX((2-AmEur)*IF(CallPut=1,UndTree!BC40-Strike,Strike-UndTree!BC40),(UpProb*BD40+DownProb*BD41)*StepDiscount)))</f>
        <v>2.2174130284024099E-3</v>
      </c>
      <c r="BD40" s="17">
        <f>IF(BD$3="","",IF(BD$3=Steps,MAX(IF(CallPut=1,UndTree!BD40-Strike,Strike-UndTree!BD40),0),MAX((2-AmEur)*IF(CallPut=1,UndTree!BD40-Strike,Strike-UndTree!BD40),(UpProb*BE40+DownProb*BE41)*StepDiscount)))</f>
        <v>3.3844259076474593E-3</v>
      </c>
      <c r="BE40" s="17">
        <f>IF(BE$3="","",IF(BE$3=Steps,MAX(IF(CallPut=1,UndTree!BE40-Strike,Strike-UndTree!BE40),0),MAX((2-AmEur)*IF(CallPut=1,UndTree!BE40-Strike,Strike-UndTree!BE40),(UpProb*BF40+DownProb*BF41)*StepDiscount)))</f>
        <v>5.1378020277260085E-3</v>
      </c>
      <c r="BF40" s="17">
        <f>IF(BF$3="","",IF(BF$3=Steps,MAX(IF(CallPut=1,UndTree!BF40-Strike,Strike-UndTree!BF40),0),MAX((2-AmEur)*IF(CallPut=1,UndTree!BF40-Strike,Strike-UndTree!BF40),(UpProb*BG40+DownProb*BG41)*StepDiscount)))</f>
        <v>7.7559328592393256E-3</v>
      </c>
      <c r="BG40" s="17">
        <f>IF(BG$3="","",IF(BG$3=Steps,MAX(IF(CallPut=1,UndTree!BG40-Strike,Strike-UndTree!BG40),0),MAX((2-AmEur)*IF(CallPut=1,UndTree!BG40-Strike,Strike-UndTree!BG40),(UpProb*BH40+DownProb*BH41)*StepDiscount)))</f>
        <v>1.1640210749719717E-2</v>
      </c>
      <c r="BH40" s="17">
        <f>IF(BH$3="","",IF(BH$3=Steps,MAX(IF(CallPut=1,UndTree!BH40-Strike,Strike-UndTree!BH40),0),MAX((2-AmEur)*IF(CallPut=1,UndTree!BH40-Strike,Strike-UndTree!BH40),(UpProb*BI40+DownProb*BI41)*StepDiscount)))</f>
        <v>1.7364359945087188E-2</v>
      </c>
      <c r="BI40" s="17">
        <f>IF(BI$3="","",IF(BI$3=Steps,MAX(IF(CallPut=1,UndTree!BI40-Strike,Strike-UndTree!BI40),0),MAX((2-AmEur)*IF(CallPut=1,UndTree!BI40-Strike,Strike-UndTree!BI40),(UpProb*BJ40+DownProb*BJ41)*StepDiscount)))</f>
        <v>2.5740906108537936E-2</v>
      </c>
      <c r="BJ40" s="17">
        <f>IF(BJ$3="","",IF(BJ$3=Steps,MAX(IF(CallPut=1,UndTree!BJ40-Strike,Strike-UndTree!BJ40),0),MAX((2-AmEur)*IF(CallPut=1,UndTree!BJ40-Strike,Strike-UndTree!BJ40),(UpProb*BK40+DownProb*BK41)*StepDiscount)))</f>
        <v>3.7909384607320677E-2</v>
      </c>
      <c r="BK40" s="17">
        <f>IF(BK$3="","",IF(BK$3=Steps,MAX(IF(CallPut=1,UndTree!BK40-Strike,Strike-UndTree!BK40),0),MAX((2-AmEur)*IF(CallPut=1,UndTree!BK40-Strike,Strike-UndTree!BK40),(UpProb*BL40+DownProb*BL41)*StepDiscount)))</f>
        <v>5.5451434733287897E-2</v>
      </c>
      <c r="BL40" s="17">
        <f>IF(BL$3="","",IF(BL$3=Steps,MAX(IF(CallPut=1,UndTree!BL40-Strike,Strike-UndTree!BL40),0),MAX((2-AmEur)*IF(CallPut=1,UndTree!BL40-Strike,Strike-UndTree!BL40),(UpProb*BM40+DownProb*BM41)*StepDiscount)))</f>
        <v>8.0538153003800281E-2</v>
      </c>
      <c r="BM40" s="17">
        <f>IF(BM$3="","",IF(BM$3=Steps,MAX(IF(CallPut=1,UndTree!BM40-Strike,Strike-UndTree!BM40),0),MAX((2-AmEur)*IF(CallPut=1,UndTree!BM40-Strike,Strike-UndTree!BM40),(UpProb*BN40+DownProb*BN41)*StepDiscount)))</f>
        <v>0.11611472191603001</v>
      </c>
      <c r="BN40" s="17">
        <f>IF(BN$3="","",IF(BN$3=Steps,MAX(IF(CallPut=1,UndTree!BN40-Strike,Strike-UndTree!BN40),0),MAX((2-AmEur)*IF(CallPut=1,UndTree!BN40-Strike,Strike-UndTree!BN40),(UpProb*BO40+DownProb*BO41)*StepDiscount)))</f>
        <v>0.16612604348115625</v>
      </c>
      <c r="BO40" s="17">
        <f>IF(BO$3="","",IF(BO$3=Steps,MAX(IF(CallPut=1,UndTree!BO40-Strike,Strike-UndTree!BO40),0),MAX((2-AmEur)*IF(CallPut=1,UndTree!BO40-Strike,Strike-UndTree!BO40),(UpProb*BP40+DownProb*BP41)*StepDiscount)))</f>
        <v>0.2357844642656193</v>
      </c>
      <c r="BP40" s="17">
        <f>IF(BP$3="","",IF(BP$3=Steps,MAX(IF(CallPut=1,UndTree!BP40-Strike,Strike-UndTree!BP40),0),MAX((2-AmEur)*IF(CallPut=1,UndTree!BP40-Strike,Strike-UndTree!BP40),(UpProb*BQ40+DownProb*BQ41)*StepDiscount)))</f>
        <v>0.33187621131972839</v>
      </c>
      <c r="BQ40" s="17">
        <f>IF(BQ$3="","",IF(BQ$3=Steps,MAX(IF(CallPut=1,UndTree!BQ40-Strike,Strike-UndTree!BQ40),0),MAX((2-AmEur)*IF(CallPut=1,UndTree!BQ40-Strike,Strike-UndTree!BQ40),(UpProb*BR40+DownProb*BR41)*StepDiscount)))</f>
        <v>0.46309642635610626</v>
      </c>
      <c r="BR40" s="17">
        <f>IF(BR$3="","",IF(BR$3=Steps,MAX(IF(CallPut=1,UndTree!BR40-Strike,Strike-UndTree!BR40),0),MAX((2-AmEur)*IF(CallPut=1,UndTree!BR40-Strike,Strike-UndTree!BR40),(UpProb*BS40+DownProb*BS41)*StepDiscount)))</f>
        <v>0.64039340428811853</v>
      </c>
      <c r="BS40" s="17">
        <f>IF(BS$3="","",IF(BS$3=Steps,MAX(IF(CallPut=1,UndTree!BS40-Strike,Strike-UndTree!BS40),0),MAX((2-AmEur)*IF(CallPut=1,UndTree!BS40-Strike,Strike-UndTree!BS40),(UpProb*BT40+DownProb*BT41)*StepDiscount)))</f>
        <v>0.87729087064129907</v>
      </c>
      <c r="BT40" s="17">
        <f>IF(BT$3="","",IF(BT$3=Steps,MAX(IF(CallPut=1,UndTree!BT40-Strike,Strike-UndTree!BT40),0),MAX((2-AmEur)*IF(CallPut=1,UndTree!BT40-Strike,Strike-UndTree!BT40),(UpProb*BU40+DownProb*BU41)*StepDiscount)))</f>
        <v>1.1901435198128398</v>
      </c>
      <c r="BU40" s="17">
        <f>IF(BU$3="","",IF(BU$3=Steps,MAX(IF(CallPut=1,UndTree!BU40-Strike,Strike-UndTree!BU40),0),MAX((2-AmEur)*IF(CallPut=1,UndTree!BU40-Strike,Strike-UndTree!BU40),(UpProb*BV40+DownProb*BV41)*StepDiscount)))</f>
        <v>1.598267102589529</v>
      </c>
      <c r="BV40" s="17">
        <f>IF(BV$3="","",IF(BV$3=Steps,MAX(IF(CallPut=1,UndTree!BV40-Strike,Strike-UndTree!BV40),0),MAX((2-AmEur)*IF(CallPut=1,UndTree!BV40-Strike,Strike-UndTree!BV40),(UpProb*BW40+DownProb*BW41)*StepDiscount)))</f>
        <v>2.1238727383252134</v>
      </c>
      <c r="BW40" s="17">
        <f>IF(BW$3="","",IF(BW$3=Steps,MAX(IF(CallPut=1,UndTree!BW40-Strike,Strike-UndTree!BW40),0),MAX((2-AmEur)*IF(CallPut=1,UndTree!BW40-Strike,Strike-UndTree!BW40),(UpProb*BX40+DownProb*BX41)*StepDiscount)))</f>
        <v>2.7917297118453051</v>
      </c>
      <c r="BX40" s="17">
        <f>IF(BX$3="","",IF(BX$3=Steps,MAX(IF(CallPut=1,UndTree!BX40-Strike,Strike-UndTree!BX40),0),MAX((2-AmEur)*IF(CallPut=1,UndTree!BX40-Strike,Strike-UndTree!BX40),(UpProb*BY40+DownProb*BY41)*StepDiscount)))</f>
        <v>3.6284867296158767</v>
      </c>
      <c r="BY40" s="17">
        <f>IF(BY$3="","",IF(BY$3=Steps,MAX(IF(CallPut=1,UndTree!BY40-Strike,Strike-UndTree!BY40),0),MAX((2-AmEur)*IF(CallPut=1,UndTree!BY40-Strike,Strike-UndTree!BY40),(UpProb*BZ40+DownProb*BZ41)*StepDiscount)))</f>
        <v>4.6616037783319424</v>
      </c>
      <c r="BZ40" s="17">
        <f>IF(BZ$3="","",IF(BZ$3=Steps,MAX(IF(CallPut=1,UndTree!BZ40-Strike,Strike-UndTree!BZ40),0),MAX((2-AmEur)*IF(CallPut=1,UndTree!BZ40-Strike,Strike-UndTree!BZ40),(UpProb*CA40+DownProb*CA41)*StepDiscount)))</f>
        <v>5.9178897558878951</v>
      </c>
      <c r="CA40" s="17">
        <f>IF(CA$3="","",IF(CA$3=Steps,MAX(IF(CallPut=1,UndTree!CA40-Strike,Strike-UndTree!CA40),0),MAX((2-AmEur)*IF(CallPut=1,UndTree!CA40-Strike,Strike-UndTree!CA40),(UpProb*CB40+DownProb*CB41)*StepDiscount)))</f>
        <v>7.4217063993720842</v>
      </c>
      <c r="CB40" s="17">
        <f>IF(CB$3="","",IF(CB$3=Steps,MAX(IF(CallPut=1,UndTree!CB40-Strike,Strike-UndTree!CB40),0),MAX((2-AmEur)*IF(CallPut=1,UndTree!CB40-Strike,Strike-UndTree!CB40),(UpProb*CC40+DownProb*CC41)*StepDiscount)))</f>
        <v>9.1929827387469363</v>
      </c>
      <c r="CC40" s="17">
        <f>IF(CC$3="","",IF(CC$3=Steps,MAX(IF(CallPut=1,UndTree!CC40-Strike,Strike-UndTree!CC40),0),MAX((2-AmEur)*IF(CallPut=1,UndTree!CC40-Strike,Strike-UndTree!CC40),(UpProb*CD40+DownProb*CD41)*StepDiscount)))</f>
        <v>11.245274525551213</v>
      </c>
      <c r="CD40" s="17">
        <f>IF(CD$3="","",IF(CD$3=Steps,MAX(IF(CallPut=1,UndTree!CD40-Strike,Strike-UndTree!CD40),0),MAX((2-AmEur)*IF(CallPut=1,UndTree!CD40-Strike,Strike-UndTree!CD40),(UpProb*CE40+DownProb*CE41)*StepDiscount)))</f>
        <v>13.584178946804208</v>
      </c>
      <c r="CE40" s="17">
        <f>IF(CE$3="","",IF(CE$3=Steps,MAX(IF(CallPut=1,UndTree!CE40-Strike,Strike-UndTree!CE40),0),MAX((2-AmEur)*IF(CallPut=1,UndTree!CE40-Strike,Strike-UndTree!CE40),(UpProb*CF40+DownProb*CF41)*StepDiscount)))</f>
        <v>16.206448065180446</v>
      </c>
      <c r="CF40" s="17">
        <f>IF(CF$3="","",IF(CF$3=Steps,MAX(IF(CallPut=1,UndTree!CF40-Strike,Strike-UndTree!CF40),0),MAX((2-AmEur)*IF(CallPut=1,UndTree!CF40-Strike,Strike-UndTree!CF40),(UpProb*CG40+DownProb*CG41)*StepDiscount)))</f>
        <v>19.100104772359867</v>
      </c>
      <c r="CG40" s="17">
        <f>IF(CG$3="","",IF(CG$3=Steps,MAX(IF(CallPut=1,UndTree!CG40-Strike,Strike-UndTree!CG40),0),MAX((2-AmEur)*IF(CallPut=1,UndTree!CG40-Strike,Strike-UndTree!CG40),(UpProb*CH40+DownProb*CH41)*StepDiscount)))</f>
        <v>22.245731577880786</v>
      </c>
      <c r="CH40" s="17">
        <f>IF(CH$3="","",IF(CH$3=Steps,MAX(IF(CallPut=1,UndTree!CH40-Strike,Strike-UndTree!CH40),0),MAX((2-AmEur)*IF(CallPut=1,UndTree!CH40-Strike,Strike-UndTree!CH40),(UpProb*CI40+DownProb*CI41)*StepDiscount)))</f>
        <v>25.618877443663351</v>
      </c>
      <c r="CI40" s="17">
        <f>IF(CI$3="","",IF(CI$3=Steps,MAX(IF(CallPut=1,UndTree!CI40-Strike,Strike-UndTree!CI40),0),MAX((2-AmEur)*IF(CallPut=1,UndTree!CI40-Strike,Strike-UndTree!CI40),(UpProb*CJ40+DownProb*CJ41)*StepDiscount)))</f>
        <v>29.193249337613675</v>
      </c>
      <c r="CJ40" s="17">
        <f>IF(CJ$3="","",IF(CJ$3=Steps,MAX(IF(CallPut=1,UndTree!CJ40-Strike,Strike-UndTree!CJ40),0),MAX((2-AmEur)*IF(CallPut=1,UndTree!CJ40-Strike,Strike-UndTree!CJ40),(UpProb*CK40+DownProb*CK41)*StepDiscount)))</f>
        <v>32.944100980769548</v>
      </c>
      <c r="CK40" s="17">
        <f>IF(CK$3="","",IF(CK$3=Steps,MAX(IF(CallPut=1,UndTree!CK40-Strike,Strike-UndTree!CK40),0),MAX((2-AmEur)*IF(CallPut=1,UndTree!CK40-Strike,Strike-UndTree!CK40),(UpProb*CL40+DownProb*CL41)*StepDiscount)))</f>
        <v>36.851103585873048</v>
      </c>
      <c r="CL40" s="17">
        <f>IF(CL$3="","",IF(CL$3=Steps,MAX(IF(CallPut=1,UndTree!CL40-Strike,Strike-UndTree!CL40),0),MAX((2-AmEur)*IF(CallPut=1,UndTree!CL40-Strike,Strike-UndTree!CL40),(UpProb*CM40+DownProb*CM41)*StepDiscount)))</f>
        <v>40.900070439741938</v>
      </c>
      <c r="CM40" s="17">
        <f>IF(CM$3="","",IF(CM$3=Steps,MAX(IF(CallPut=1,UndTree!CM40-Strike,Strike-UndTree!CM40),0),MAX((2-AmEur)*IF(CallPut=1,UndTree!CM40-Strike,Strike-UndTree!CM40),(UpProb*CN40+DownProb*CN41)*StepDiscount)))</f>
        <v>45.08322936336112</v>
      </c>
      <c r="CN40" s="17">
        <f>IF(CN$3="","",IF(CN$3=Steps,MAX(IF(CallPut=1,UndTree!CN40-Strike,Strike-UndTree!CN40),0),MAX((2-AmEur)*IF(CallPut=1,UndTree!CN40-Strike,Strike-UndTree!CN40),(UpProb*CO40+DownProb*CO41)*StepDiscount)))</f>
        <v>49.39820381696417</v>
      </c>
      <c r="CO40" s="17">
        <f>IF(CO$3="","",IF(CO$3=Steps,MAX(IF(CallPut=1,UndTree!CO40-Strike,Strike-UndTree!CO40),0),MAX((2-AmEur)*IF(CallPut=1,UndTree!CO40-Strike,Strike-UndTree!CO40),(UpProb*CP40+DownProb*CP41)*StepDiscount)))</f>
        <v>53.846279955234849</v>
      </c>
      <c r="CP40" s="17">
        <f>IF(CP$3="","",IF(CP$3=Steps,MAX(IF(CallPut=1,UndTree!CP40-Strike,Strike-UndTree!CP40),0),MAX((2-AmEur)*IF(CallPut=1,UndTree!CP40-Strike,Strike-UndTree!CP40),(UpProb*CQ40+DownProb*CQ41)*StepDiscount)))</f>
        <v>58.430689489606067</v>
      </c>
      <c r="CQ40" s="17">
        <f>IF(CQ$3="","",IF(CQ$3=Steps,MAX(IF(CallPut=1,UndTree!CQ40-Strike,Strike-UndTree!CQ40),0),MAX((2-AmEur)*IF(CallPut=1,UndTree!CQ40-Strike,Strike-UndTree!CQ40),(UpProb*CR40+DownProb*CR41)*StepDiscount)))</f>
        <v>63.155435794233071</v>
      </c>
      <c r="CR40" s="17">
        <f>IF(CR$3="","",IF(CR$3=Steps,MAX(IF(CallPut=1,UndTree!CR40-Strike,Strike-UndTree!CR40),0),MAX((2-AmEur)*IF(CallPut=1,UndTree!CR40-Strike,Strike-UndTree!CR40),(UpProb*CS40+DownProb*CS41)*StepDiscount)))</f>
        <v>68.024768040880659</v>
      </c>
      <c r="CS40" s="17">
        <f>IF(CS$3="","",IF(CS$3=Steps,MAX(IF(CallPut=1,UndTree!CS40-Strike,Strike-UndTree!CS40),0),MAX((2-AmEur)*IF(CallPut=1,UndTree!CS40-Strike,Strike-UndTree!CS40),(UpProb*CT40+DownProb*CT41)*StepDiscount)))</f>
        <v>73.04306403505511</v>
      </c>
      <c r="CT40" s="17">
        <f>IF(CT$3="","",IF(CT$3=Steps,MAX(IF(CallPut=1,UndTree!CT40-Strike,Strike-UndTree!CT40),0),MAX((2-AmEur)*IF(CallPut=1,UndTree!CT40-Strike,Strike-UndTree!CT40),(UpProb*CU40+DownProb*CU41)*StepDiscount)))</f>
        <v>78.214834110073369</v>
      </c>
      <c r="CU40" s="17">
        <f>IF(CU$3="","",IF(CU$3=Steps,MAX(IF(CallPut=1,UndTree!CU40-Strike,Strike-UndTree!CU40),0),MAX((2-AmEur)*IF(CallPut=1,UndTree!CU40-Strike,Strike-UndTree!CU40),(UpProb*CV40+DownProb*CV41)*StepDiscount)))</f>
        <v>83.544725139014574</v>
      </c>
      <c r="CV40" s="17">
        <f>IF(CV$3="","",IF(CV$3=Steps,MAX(IF(CallPut=1,UndTree!CV40-Strike,Strike-UndTree!CV40),0),MAX((2-AmEur)*IF(CallPut=1,UndTree!CV40-Strike,Strike-UndTree!CV40),(UpProb*CW40+DownProb*CW41)*StepDiscount)))</f>
        <v>89.037524668124789</v>
      </c>
      <c r="CW40" s="17">
        <f>IF(CW$3="","",IF(CW$3=Steps,MAX(IF(CallPut=1,UndTree!CW40-Strike,Strike-UndTree!CW40),0),MAX((2-AmEur)*IF(CallPut=1,UndTree!CW40-Strike,Strike-UndTree!CW40),(UpProb*CX40+DownProb*CX41)*StepDiscount)))</f>
        <v>94.698165175355101</v>
      </c>
      <c r="CX40" s="17">
        <f>IF(CX$3="","",IF(CX$3=Steps,MAX(IF(CallPut=1,UndTree!CX40-Strike,Strike-UndTree!CX40),0),MAX((2-AmEur)*IF(CallPut=1,UndTree!CX40-Strike,Strike-UndTree!CX40),(UpProb*CY40+DownProb*CY41)*StepDiscount)))</f>
        <v>100.53172845782164</v>
      </c>
      <c r="CY40" s="17">
        <f>IF(CY$3="","",IF(CY$3=Steps,MAX(IF(CallPut=1,UndTree!CY40-Strike,Strike-UndTree!CY40),0),MAX((2-AmEur)*IF(CallPut=1,UndTree!CY40-Strike,Strike-UndTree!CY40),(UpProb*CZ40+DownProb*CZ41)*StepDiscount)))</f>
        <v>106.54345015207231</v>
      </c>
      <c r="CZ40" s="17">
        <f>IF(CZ$3="","",IF(CZ$3=Steps,MAX(IF(CallPut=1,UndTree!CZ40-Strike,Strike-UndTree!CZ40),0),MAX((2-AmEur)*IF(CallPut=1,UndTree!CZ40-Strike,Strike-UndTree!CZ40),(UpProb*DA40+DownProb*DA41)*StepDiscount)))</f>
        <v>112.73872439115908</v>
      </c>
      <c r="DA40" s="17">
        <f>IF(DA$3="","",IF(DA$3=Steps,MAX(IF(CallPut=1,UndTree!DA40-Strike,Strike-UndTree!DA40),0),MAX((2-AmEur)*IF(CallPut=1,UndTree!DA40-Strike,Strike-UndTree!DA40),(UpProb*DB40+DownProb*DB41)*StepDiscount)))</f>
        <v>119.12310860275777</v>
      </c>
      <c r="DB40" s="17">
        <f>IF(DB$3="","",IF(DB$3=Steps,MAX(IF(CallPut=1,UndTree!DB40-Strike,Strike-UndTree!DB40),0),MAX((2-AmEur)*IF(CallPut=1,UndTree!DB40-Strike,Strike-UndTree!DB40),(UpProb*DC40+DownProb*DC41)*StepDiscount)))</f>
        <v>125.70232845250001</v>
      </c>
    </row>
    <row r="41" spans="1:106" x14ac:dyDescent="0.2">
      <c r="A41">
        <f>ExDivTree!A41</f>
        <v>5.3972341296388722E+27</v>
      </c>
      <c r="B41" s="71">
        <f>ExDivTree!B41</f>
        <v>2.1288335005983303E-3</v>
      </c>
      <c r="C41" s="71">
        <f>ExDivTree!C41</f>
        <v>2.2859518366009266E-3</v>
      </c>
      <c r="D41" s="177">
        <f>ExDivTree!D41</f>
        <v>37</v>
      </c>
      <c r="AP41" s="17">
        <f>IF(AP$3="","",IF(AP$3=Steps,MAX(IF(CallPut=1,UndTree!AP41-Strike,Strike-UndTree!AP41),0),MAX((2-AmEur)*IF(CallPut=1,UndTree!AP41-Strike,Strike-UndTree!AP41),(UpProb*AQ41+DownProb*AQ42)*StepDiscount)))</f>
        <v>1.4077568837149615E-6</v>
      </c>
      <c r="AQ41" s="17">
        <f>IF(AQ$3="","",IF(AQ$3=Steps,MAX(IF(CallPut=1,UndTree!AQ41-Strike,Strike-UndTree!AQ41),0),MAX((2-AmEur)*IF(CallPut=1,UndTree!AQ41-Strike,Strike-UndTree!AQ41),(UpProb*AR41+DownProb*AR42)*StepDiscount)))</f>
        <v>2.3113542162990343E-6</v>
      </c>
      <c r="AR41" s="17">
        <f>IF(AR$3="","",IF(AR$3=Steps,MAX(IF(CallPut=1,UndTree!AR41-Strike,Strike-UndTree!AR41),0),MAX((2-AmEur)*IF(CallPut=1,UndTree!AR41-Strike,Strike-UndTree!AR41),(UpProb*AS41+DownProb*AS42)*StepDiscount)))</f>
        <v>3.7829494868087618E-6</v>
      </c>
      <c r="AS41" s="17">
        <f>IF(AS$3="","",IF(AS$3=Steps,MAX(IF(CallPut=1,UndTree!AS41-Strike,Strike-UndTree!AS41),0),MAX((2-AmEur)*IF(CallPut=1,UndTree!AS41-Strike,Strike-UndTree!AS41),(UpProb*AT41+DownProb*AT42)*StepDiscount)))</f>
        <v>6.1712857488764725E-6</v>
      </c>
      <c r="AT41" s="17">
        <f>IF(AT$3="","",IF(AT$3=Steps,MAX(IF(CallPut=1,UndTree!AT41-Strike,Strike-UndTree!AT41),0),MAX((2-AmEur)*IF(CallPut=1,UndTree!AT41-Strike,Strike-UndTree!AT41),(UpProb*AU41+DownProb*AU42)*StepDiscount)))</f>
        <v>1.0033574105739238E-5</v>
      </c>
      <c r="AU41" s="17">
        <f>IF(AU$3="","",IF(AU$3=Steps,MAX(IF(CallPut=1,UndTree!AU41-Strike,Strike-UndTree!AU41),0),MAX((2-AmEur)*IF(CallPut=1,UndTree!AU41-Strike,Strike-UndTree!AU41),(UpProb*AV41+DownProb*AV42)*StepDiscount)))</f>
        <v>1.6256317722530616E-5</v>
      </c>
      <c r="AV41" s="17">
        <f>IF(AV$3="","",IF(AV$3=Steps,MAX(IF(CallPut=1,UndTree!AV41-Strike,Strike-UndTree!AV41),0),MAX((2-AmEur)*IF(CallPut=1,UndTree!AV41-Strike,Strike-UndTree!AV41),(UpProb*AW41+DownProb*AW42)*StepDiscount)))</f>
        <v>2.6243665286734078E-5</v>
      </c>
      <c r="AW41" s="17">
        <f>IF(AW$3="","",IF(AW$3=Steps,MAX(IF(CallPut=1,UndTree!AW41-Strike,Strike-UndTree!AW41),0),MAX((2-AmEur)*IF(CallPut=1,UndTree!AW41-Strike,Strike-UndTree!AW41),(UpProb*AX41+DownProb*AX42)*StepDiscount)))</f>
        <v>4.2209422406788931E-5</v>
      </c>
      <c r="AX41" s="17">
        <f>IF(AX$3="","",IF(AX$3=Steps,MAX(IF(CallPut=1,UndTree!AX41-Strike,Strike-UndTree!AX41),0),MAX((2-AmEur)*IF(CallPut=1,UndTree!AX41-Strike,Strike-UndTree!AX41),(UpProb*AY41+DownProb*AY42)*StepDiscount)))</f>
        <v>6.7627156124719742E-5</v>
      </c>
      <c r="AY41" s="17">
        <f>IF(AY$3="","",IF(AY$3=Steps,MAX(IF(CallPut=1,UndTree!AY41-Strike,Strike-UndTree!AY41),0),MAX((2-AmEur)*IF(CallPut=1,UndTree!AY41-Strike,Strike-UndTree!AY41),(UpProb*AZ41+DownProb*AZ42)*StepDiscount)))</f>
        <v>1.0791977683200031E-4</v>
      </c>
      <c r="AZ41" s="17">
        <f>IF(AZ$3="","",IF(AZ$3=Steps,MAX(IF(CallPut=1,UndTree!AZ41-Strike,Strike-UndTree!AZ41),0),MAX((2-AmEur)*IF(CallPut=1,UndTree!AZ41-Strike,Strike-UndTree!AZ41),(UpProb*BA41+DownProb*BA42)*StepDiscount)))</f>
        <v>1.7150926840024948E-4</v>
      </c>
      <c r="BA41" s="17">
        <f>IF(BA$3="","",IF(BA$3=Steps,MAX(IF(CallPut=1,UndTree!BA41-Strike,Strike-UndTree!BA41),0),MAX((2-AmEur)*IF(CallPut=1,UndTree!BA41-Strike,Strike-UndTree!BA41),(UpProb*BB41+DownProb*BB42)*StepDiscount)))</f>
        <v>2.7140390566880414E-4</v>
      </c>
      <c r="BB41" s="17">
        <f>IF(BB$3="","",IF(BB$3=Steps,MAX(IF(CallPut=1,UndTree!BB41-Strike,Strike-UndTree!BB41),0),MAX((2-AmEur)*IF(CallPut=1,UndTree!BB41-Strike,Strike-UndTree!BB41),(UpProb*BC41+DownProb*BC42)*StepDiscount)))</f>
        <v>4.2758109729909414E-4</v>
      </c>
      <c r="BC41" s="17">
        <f>IF(BC$3="","",IF(BC$3=Steps,MAX(IF(CallPut=1,UndTree!BC41-Strike,Strike-UndTree!BC41),0),MAX((2-AmEur)*IF(CallPut=1,UndTree!BC41-Strike,Strike-UndTree!BC41),(UpProb*BD41+DownProb*BD42)*StepDiscount)))</f>
        <v>6.705377357687463E-4</v>
      </c>
      <c r="BD41" s="17">
        <f>IF(BD$3="","",IF(BD$3=Steps,MAX(IF(CallPut=1,UndTree!BD41-Strike,Strike-UndTree!BD41),0),MAX((2-AmEur)*IF(CallPut=1,UndTree!BD41-Strike,Strike-UndTree!BD41),(UpProb*BE41+DownProb*BE42)*StepDiscount)))</f>
        <v>1.0465378030876076E-3</v>
      </c>
      <c r="BE41" s="17">
        <f>IF(BE$3="","",IF(BE$3=Steps,MAX(IF(CallPut=1,UndTree!BE41-Strike,Strike-UndTree!BE41),0),MAX((2-AmEur)*IF(CallPut=1,UndTree!BE41-Strike,Strike-UndTree!BE41),(UpProb*BF41+DownProb*BF42)*StepDiscount)))</f>
        <v>1.6253026241660343E-3</v>
      </c>
      <c r="BF41" s="17">
        <f>IF(BF$3="","",IF(BF$3=Steps,MAX(IF(CallPut=1,UndTree!BF41-Strike,Strike-UndTree!BF41),0),MAX((2-AmEur)*IF(CallPut=1,UndTree!BF41-Strike,Strike-UndTree!BF41),(UpProb*BG41+DownProb*BG42)*StepDiscount)))</f>
        <v>2.511178432334582E-3</v>
      </c>
      <c r="BG41" s="17">
        <f>IF(BG$3="","",IF(BG$3=Steps,MAX(IF(CallPut=1,UndTree!BG41-Strike,Strike-UndTree!BG41),0),MAX((2-AmEur)*IF(CallPut=1,UndTree!BG41-Strike,Strike-UndTree!BG41),(UpProb*BH41+DownProb*BH42)*StepDiscount)))</f>
        <v>3.8591958957477175E-3</v>
      </c>
      <c r="BH41" s="17">
        <f>IF(BH$3="","",IF(BH$3=Steps,MAX(IF(CallPut=1,UndTree!BH41-Strike,Strike-UndTree!BH41),0),MAX((2-AmEur)*IF(CallPut=1,UndTree!BH41-Strike,Strike-UndTree!BH41),(UpProb*BI41+DownProb*BI42)*StepDiscount)))</f>
        <v>5.8979231633266242E-3</v>
      </c>
      <c r="BI41" s="17">
        <f>IF(BI$3="","",IF(BI$3=Steps,MAX(IF(CallPut=1,UndTree!BI41-Strike,Strike-UndTree!BI41),0),MAX((2-AmEur)*IF(CallPut=1,UndTree!BI41-Strike,Strike-UndTree!BI41),(UpProb*BJ41+DownProb*BJ42)*StepDiscount)))</f>
        <v>8.9616193635704312E-3</v>
      </c>
      <c r="BJ41" s="17">
        <f>IF(BJ$3="","",IF(BJ$3=Steps,MAX(IF(CallPut=1,UndTree!BJ41-Strike,Strike-UndTree!BJ41),0),MAX((2-AmEur)*IF(CallPut=1,UndTree!BJ41-Strike,Strike-UndTree!BJ41),(UpProb*BK41+DownProb*BK42)*StepDiscount)))</f>
        <v>1.3534919968609883E-2</v>
      </c>
      <c r="BK41" s="17">
        <f>IF(BK$3="","",IF(BK$3=Steps,MAX(IF(CallPut=1,UndTree!BK41-Strike,Strike-UndTree!BK41),0),MAX((2-AmEur)*IF(CallPut=1,UndTree!BK41-Strike,Strike-UndTree!BK41),(UpProb*BL41+DownProb*BL42)*StepDiscount)))</f>
        <v>2.0314109347132042E-2</v>
      </c>
      <c r="BL41" s="17">
        <f>IF(BL$3="","",IF(BL$3=Steps,MAX(IF(CallPut=1,UndTree!BL41-Strike,Strike-UndTree!BL41),0),MAX((2-AmEur)*IF(CallPut=1,UndTree!BL41-Strike,Strike-UndTree!BL41),(UpProb*BM41+DownProb*BM42)*StepDiscount)))</f>
        <v>3.0289905922874921E-2</v>
      </c>
      <c r="BM41" s="17">
        <f>IF(BM$3="","",IF(BM$3=Steps,MAX(IF(CallPut=1,UndTree!BM41-Strike,Strike-UndTree!BM41),0),MAX((2-AmEur)*IF(CallPut=1,UndTree!BM41-Strike,Strike-UndTree!BM41),(UpProb*BN41+DownProb*BN42)*StepDiscount)))</f>
        <v>4.4857497426182842E-2</v>
      </c>
      <c r="BN41" s="17">
        <f>IF(BN$3="","",IF(BN$3=Steps,MAX(IF(CallPut=1,UndTree!BN41-Strike,Strike-UndTree!BN41),0),MAX((2-AmEur)*IF(CallPut=1,UndTree!BN41-Strike,Strike-UndTree!BN41),(UpProb*BO41+DownProb*BO42)*StepDiscount)))</f>
        <v>6.5960141793484112E-2</v>
      </c>
      <c r="BO41" s="17">
        <f>IF(BO$3="","",IF(BO$3=Steps,MAX(IF(CallPut=1,UndTree!BO41-Strike,Strike-UndTree!BO41),0),MAX((2-AmEur)*IF(CallPut=1,UndTree!BO41-Strike,Strike-UndTree!BO41),(UpProb*BP41+DownProb*BP42)*StepDiscount)))</f>
        <v>9.6272723622179049E-2</v>
      </c>
      <c r="BP41" s="17">
        <f>IF(BP$3="","",IF(BP$3=Steps,MAX(IF(CallPut=1,UndTree!BP41-Strike,Strike-UndTree!BP41),0),MAX((2-AmEur)*IF(CallPut=1,UndTree!BP41-Strike,Strike-UndTree!BP41),(UpProb*BQ41+DownProb*BQ42)*StepDiscount)))</f>
        <v>0.13943084514611315</v>
      </c>
      <c r="BQ41" s="17">
        <f>IF(BQ$3="","",IF(BQ$3=Steps,MAX(IF(CallPut=1,UndTree!BQ41-Strike,Strike-UndTree!BQ41),0),MAX((2-AmEur)*IF(CallPut=1,UndTree!BQ41-Strike,Strike-UndTree!BQ41),(UpProb*BR41+DownProb*BR42)*StepDiscount)))</f>
        <v>0.20030883534262406</v>
      </c>
      <c r="BR41" s="17">
        <f>IF(BR$3="","",IF(BR$3=Steps,MAX(IF(CallPut=1,UndTree!BR41-Strike,Strike-UndTree!BR41),0),MAX((2-AmEur)*IF(CallPut=1,UndTree!BR41-Strike,Strike-UndTree!BR41),(UpProb*BS41+DownProb*BS42)*StepDiscount)))</f>
        <v>0.28534588444281672</v>
      </c>
      <c r="BS41" s="17">
        <f>IF(BS$3="","",IF(BS$3=Steps,MAX(IF(CallPut=1,UndTree!BS41-Strike,Strike-UndTree!BS41),0),MAX((2-AmEur)*IF(CallPut=1,UndTree!BS41-Strike,Strike-UndTree!BS41),(UpProb*BT41+DownProb*BT42)*StepDiscount)))</f>
        <v>0.40291272364953717</v>
      </c>
      <c r="BT41" s="17">
        <f>IF(BT$3="","",IF(BT$3=Steps,MAX(IF(CallPut=1,UndTree!BT41-Strike,Strike-UndTree!BT41),0),MAX((2-AmEur)*IF(CallPut=1,UndTree!BT41-Strike,Strike-UndTree!BT41),(UpProb*BU41+DownProb*BU42)*StepDiscount)))</f>
        <v>0.56370133657148391</v>
      </c>
      <c r="BU41" s="17">
        <f>IF(BU$3="","",IF(BU$3=Steps,MAX(IF(CallPut=1,UndTree!BU41-Strike,Strike-UndTree!BU41),0),MAX((2-AmEur)*IF(CallPut=1,UndTree!BU41-Strike,Strike-UndTree!BU41),(UpProb*BV41+DownProb*BV42)*StepDiscount)))</f>
        <v>0.78110688470954137</v>
      </c>
      <c r="BV41" s="17">
        <f>IF(BV$3="","",IF(BV$3=Steps,MAX(IF(CallPut=1,UndTree!BV41-Strike,Strike-UndTree!BV41),0),MAX((2-AmEur)*IF(CallPut=1,UndTree!BV41-Strike,Strike-UndTree!BV41),(UpProb*BW41+DownProb*BW42)*StepDiscount)))</f>
        <v>1.0715547481712644</v>
      </c>
      <c r="BW41" s="17">
        <f>IF(BW$3="","",IF(BW$3=Steps,MAX(IF(CallPut=1,UndTree!BW41-Strike,Strike-UndTree!BW41),0),MAX((2-AmEur)*IF(CallPut=1,UndTree!BW41-Strike,Strike-UndTree!BW41),(UpProb*BX41+DownProb*BX42)*StepDiscount)))</f>
        <v>1.454707726906461</v>
      </c>
      <c r="BX41" s="17">
        <f>IF(BX$3="","",IF(BX$3=Steps,MAX(IF(CallPut=1,UndTree!BX41-Strike,Strike-UndTree!BX41),0),MAX((2-AmEur)*IF(CallPut=1,UndTree!BX41-Strike,Strike-UndTree!BX41),(UpProb*BY41+DownProb*BY42)*StepDiscount)))</f>
        <v>1.9534718377486247</v>
      </c>
      <c r="BY41" s="17">
        <f>IF(BY$3="","",IF(BY$3=Steps,MAX(IF(CallPut=1,UndTree!BY41-Strike,Strike-UndTree!BY41),0),MAX((2-AmEur)*IF(CallPut=1,UndTree!BY41-Strike,Strike-UndTree!BY41),(UpProb*BZ41+DownProb*BZ42)*StepDiscount)))</f>
        <v>2.5937083214468504</v>
      </c>
      <c r="BZ41" s="17">
        <f>IF(BZ$3="","",IF(BZ$3=Steps,MAX(IF(CallPut=1,UndTree!BZ41-Strike,Strike-UndTree!BZ41),0),MAX((2-AmEur)*IF(CallPut=1,UndTree!BZ41-Strike,Strike-UndTree!BZ41),(UpProb*CA41+DownProb*CA42)*StepDiscount)))</f>
        <v>3.4035606968343086</v>
      </c>
      <c r="CA41" s="17">
        <f>IF(CA$3="","",IF(CA$3=Steps,MAX(IF(CallPut=1,UndTree!CA41-Strike,Strike-UndTree!CA41),0),MAX((2-AmEur)*IF(CallPut=1,UndTree!CA41-Strike,Strike-UndTree!CA41),(UpProb*CB41+DownProb*CB42)*StepDiscount)))</f>
        <v>4.4123263249563669</v>
      </c>
      <c r="CB41" s="17">
        <f>IF(CB$3="","",IF(CB$3=Steps,MAX(IF(CallPut=1,UndTree!CB41-Strike,Strike-UndTree!CB41),0),MAX((2-AmEur)*IF(CallPut=1,UndTree!CB41-Strike,Strike-UndTree!CB41),(UpProb*CC41+DownProb*CC42)*StepDiscount)))</f>
        <v>5.648848922771351</v>
      </c>
      <c r="CC41" s="17">
        <f>IF(CC$3="","",IF(CC$3=Steps,MAX(IF(CallPut=1,UndTree!CC41-Strike,Strike-UndTree!CC41),0),MAX((2-AmEur)*IF(CallPut=1,UndTree!CC41-Strike,Strike-UndTree!CC41),(UpProb*CD41+DownProb*CD42)*StepDiscount)))</f>
        <v>7.1394857071101319</v>
      </c>
      <c r="CD41" s="17">
        <f>IF(CD$3="","",IF(CD$3=Steps,MAX(IF(CallPut=1,UndTree!CD41-Strike,Strike-UndTree!CD41),0),MAX((2-AmEur)*IF(CallPut=1,UndTree!CD41-Strike,Strike-UndTree!CD41),(UpProb*CE41+DownProb*CE42)*StepDiscount)))</f>
        <v>8.9058076016348</v>
      </c>
      <c r="CE41" s="17">
        <f>IF(CE$3="","",IF(CE$3=Steps,MAX(IF(CallPut=1,UndTree!CE41-Strike,Strike-UndTree!CE41),0),MAX((2-AmEur)*IF(CallPut=1,UndTree!CE41-Strike,Strike-UndTree!CE41),(UpProb*CF41+DownProb*CF42)*StepDiscount)))</f>
        <v>10.962309837513697</v>
      </c>
      <c r="CF41" s="17">
        <f>IF(CF$3="","",IF(CF$3=Steps,MAX(IF(CallPut=1,UndTree!CF41-Strike,Strike-UndTree!CF41),0),MAX((2-AmEur)*IF(CallPut=1,UndTree!CF41-Strike,Strike-UndTree!CF41),(UpProb*CG41+DownProb*CG42)*StepDiscount)))</f>
        <v>13.314516616295034</v>
      </c>
      <c r="CG41" s="17">
        <f>IF(CG$3="","",IF(CG$3=Steps,MAX(IF(CallPut=1,UndTree!CG41-Strike,Strike-UndTree!CG41),0),MAX((2-AmEur)*IF(CallPut=1,UndTree!CG41-Strike,Strike-UndTree!CG41),(UpProb*CH41+DownProb*CH42)*StepDiscount)))</f>
        <v>15.957918116465274</v>
      </c>
      <c r="CH41" s="17">
        <f>IF(CH$3="","",IF(CH$3=Steps,MAX(IF(CallPut=1,UndTree!CH41-Strike,Strike-UndTree!CH41),0),MAX((2-AmEur)*IF(CallPut=1,UndTree!CH41-Strike,Strike-UndTree!CH41),(UpProb*CI41+DownProb*CI42)*StepDiscount)))</f>
        <v>18.878136654427653</v>
      </c>
      <c r="CI41" s="17">
        <f>IF(CI$3="","",IF(CI$3=Steps,MAX(IF(CallPut=1,UndTree!CI41-Strike,Strike-UndTree!CI41),0),MAX((2-AmEur)*IF(CallPut=1,UndTree!CI41-Strike,Strike-UndTree!CI41),(UpProb*CJ41+DownProb*CJ42)*StepDiscount)))</f>
        <v>22.05254716943314</v>
      </c>
      <c r="CJ41" s="17">
        <f>IF(CJ$3="","",IF(CJ$3=Steps,MAX(IF(CallPut=1,UndTree!CJ41-Strike,Strike-UndTree!CJ41),0),MAX((2-AmEur)*IF(CallPut=1,UndTree!CJ41-Strike,Strike-UndTree!CJ41),(UpProb*CK41+DownProb*CK42)*StepDiscount)))</f>
        <v>25.453273904090832</v>
      </c>
      <c r="CK41" s="17">
        <f>IF(CK$3="","",IF(CK$3=Steps,MAX(IF(CallPut=1,UndTree!CK41-Strike,Strike-UndTree!CK41),0),MAX((2-AmEur)*IF(CallPut=1,UndTree!CK41-Strike,Strike-UndTree!CK41),(UpProb*CL41+DownProb*CL42)*StepDiscount)))</f>
        <v>29.051103489994254</v>
      </c>
      <c r="CL41" s="17">
        <f>IF(CL$3="","",IF(CL$3=Steps,MAX(IF(CallPut=1,UndTree!CL41-Strike,Strike-UndTree!CL41),0),MAX((2-AmEur)*IF(CallPut=1,UndTree!CL41-Strike,Strike-UndTree!CL41),(UpProb*CM41+DownProb*CM42)*StepDiscount)))</f>
        <v>32.819510964300697</v>
      </c>
      <c r="CM41" s="17">
        <f>IF(CM$3="","",IF(CM$3=Steps,MAX(IF(CallPut=1,UndTree!CM41-Strike,Strike-UndTree!CM41),0),MAX((2-AmEur)*IF(CallPut=1,UndTree!CM41-Strike,Strike-UndTree!CM41),(UpProb*CN41+DownProb*CN42)*StepDiscount)))</f>
        <v>36.737846012695037</v>
      </c>
      <c r="CN41" s="17">
        <f>IF(CN$3="","",IF(CN$3=Steps,MAX(IF(CallPut=1,UndTree!CN41-Strike,Strike-UndTree!CN41),0),MAX((2-AmEur)*IF(CallPut=1,UndTree!CN41-Strike,Strike-UndTree!CN41),(UpProb*CO41+DownProb*CO42)*StepDiscount)))</f>
        <v>40.792903935669564</v>
      </c>
      <c r="CO41" s="17">
        <f>IF(CO$3="","",IF(CO$3=Steps,MAX(IF(CallPut=1,UndTree!CO41-Strike,Strike-UndTree!CO41),0),MAX((2-AmEur)*IF(CallPut=1,UndTree!CO41-Strike,Strike-UndTree!CO41),(UpProb*CP41+DownProb*CP42)*StepDiscount)))</f>
        <v>44.97862352329463</v>
      </c>
      <c r="CP41" s="17">
        <f>IF(CP$3="","",IF(CP$3=Steps,MAX(IF(CallPut=1,UndTree!CP41-Strike,Strike-UndTree!CP41),0),MAX((2-AmEur)*IF(CallPut=1,UndTree!CP41-Strike,Strike-UndTree!CP41),(UpProb*CQ41+DownProb*CQ42)*StepDiscount)))</f>
        <v>49.294336390262742</v>
      </c>
      <c r="CQ41" s="17">
        <f>IF(CQ$3="","",IF(CQ$3=Steps,MAX(IF(CallPut=1,UndTree!CQ41-Strike,Strike-UndTree!CQ41),0),MAX((2-AmEur)*IF(CallPut=1,UndTree!CQ41-Strike,Strike-UndTree!CQ41),(UpProb*CR41+DownProb*CR42)*StepDiscount)))</f>
        <v>53.742501894787971</v>
      </c>
      <c r="CR41" s="17">
        <f>IF(CR$3="","",IF(CR$3=Steps,MAX(IF(CallPut=1,UndTree!CR41-Strike,Strike-UndTree!CR41),0),MAX((2-AmEur)*IF(CallPut=1,UndTree!CR41-Strike,Strike-UndTree!CR41),(UpProb*CS41+DownProb*CS42)*StepDiscount)))</f>
        <v>58.326880532370865</v>
      </c>
      <c r="CS41" s="17">
        <f>IF(CS$3="","",IF(CS$3=Steps,MAX(IF(CallPut=1,UndTree!CS41-Strike,Strike-UndTree!CS41),0),MAX((2-AmEur)*IF(CallPut=1,UndTree!CS41-Strike,Strike-UndTree!CS41),(UpProb*CT41+DownProb*CT42)*StepDiscount)))</f>
        <v>63.051596642149001</v>
      </c>
      <c r="CT41" s="17">
        <f>IF(CT$3="","",IF(CT$3=Steps,MAX(IF(CallPut=1,UndTree!CT41-Strike,Strike-UndTree!CT41),0),MAX((2-AmEur)*IF(CallPut=1,UndTree!CT41-Strike,Strike-UndTree!CT41),(UpProb*CU41+DownProb*CU42)*StepDiscount)))</f>
        <v>67.920899418002151</v>
      </c>
      <c r="CU41" s="17">
        <f>IF(CU$3="","",IF(CU$3=Steps,MAX(IF(CallPut=1,UndTree!CU41-Strike,Strike-UndTree!CU41),0),MAX((2-AmEur)*IF(CallPut=1,UndTree!CU41-Strike,Strike-UndTree!CU41),(UpProb*CV41+DownProb*CV42)*StepDiscount)))</f>
        <v>72.939166688222684</v>
      </c>
      <c r="CV41" s="17">
        <f>IF(CV$3="","",IF(CV$3=Steps,MAX(IF(CallPut=1,UndTree!CV41-Strike,Strike-UndTree!CV41),0),MAX((2-AmEur)*IF(CallPut=1,UndTree!CV41-Strike,Strike-UndTree!CV41),(UpProb*CW41+DownProb*CW42)*StepDiscount)))</f>
        <v>78.110908809602748</v>
      </c>
      <c r="CW41" s="17">
        <f>IF(CW$3="","",IF(CW$3=Steps,MAX(IF(CallPut=1,UndTree!CW41-Strike,Strike-UndTree!CW41),0),MAX((2-AmEur)*IF(CallPut=1,UndTree!CW41-Strike,Strike-UndTree!CW41),(UpProb*CX41+DownProb*CX42)*StepDiscount)))</f>
        <v>83.440772679402968</v>
      </c>
      <c r="CX41" s="17">
        <f>IF(CX$3="","",IF(CX$3=Steps,MAX(IF(CallPut=1,UndTree!CX41-Strike,Strike-UndTree!CX41),0),MAX((2-AmEur)*IF(CallPut=1,UndTree!CX41-Strike,Strike-UndTree!CX41),(UpProb*CY41+DownProb*CY42)*StepDiscount)))</f>
        <v>88.933545868778509</v>
      </c>
      <c r="CY41" s="17">
        <f>IF(CY$3="","",IF(CY$3=Steps,MAX(IF(CallPut=1,UndTree!CY41-Strike,Strike-UndTree!CY41),0),MAX((2-AmEur)*IF(CallPut=1,UndTree!CY41-Strike,Strike-UndTree!CY41),(UpProb*CZ41+DownProb*CZ42)*StepDiscount)))</f>
        <v>94.59416088135697</v>
      </c>
      <c r="CZ41" s="17">
        <f>IF(CZ$3="","",IF(CZ$3=Steps,MAX(IF(CallPut=1,UndTree!CZ41-Strike,Strike-UndTree!CZ41),0),MAX((2-AmEur)*IF(CallPut=1,UndTree!CZ41-Strike,Strike-UndTree!CZ41),(UpProb*DA41+DownProb*DA42)*StepDiscount)))</f>
        <v>100.42769954074333</v>
      </c>
      <c r="DA41" s="17">
        <f>IF(DA$3="","",IF(DA$3=Steps,MAX(IF(CallPut=1,UndTree!DA41-Strike,Strike-UndTree!DA41),0),MAX((2-AmEur)*IF(CallPut=1,UndTree!DA41-Strike,Strike-UndTree!DA41),(UpProb*DB41+DownProb*DB42)*StepDiscount)))</f>
        <v>106.43939751071072</v>
      </c>
      <c r="DB41" s="17">
        <f>IF(DB$3="","",IF(DB$3=Steps,MAX(IF(CallPut=1,UndTree!DB41-Strike,Strike-UndTree!DB41),0),MAX((2-AmEur)*IF(CallPut=1,UndTree!DB41-Strike,Strike-UndTree!DB41),(UpProb*DC41+DownProb*DC42)*StepDiscount)))</f>
        <v>112.6346489524</v>
      </c>
    </row>
    <row r="42" spans="1:106" x14ac:dyDescent="0.2">
      <c r="A42">
        <f>ExDivTree!A42</f>
        <v>9.0900785341286344E+27</v>
      </c>
      <c r="B42" s="71">
        <f>ExDivTree!B42</f>
        <v>3.5854037904814013E-3</v>
      </c>
      <c r="C42" s="71">
        <f>ExDivTree!C42</f>
        <v>3.8296692842798184E-3</v>
      </c>
      <c r="D42" s="177">
        <f>ExDivTree!D42</f>
        <v>38</v>
      </c>
      <c r="AQ42" s="17">
        <f>IF(AQ$3="","",IF(AQ$3=Steps,MAX(IF(CallPut=1,UndTree!AQ42-Strike,Strike-UndTree!AQ42),0),MAX((2-AmEur)*IF(CallPut=1,UndTree!AQ42-Strike,Strike-UndTree!AQ42),(UpProb*AR42+DownProb*AR43)*StepDiscount)))</f>
        <v>5.0084271496249463E-7</v>
      </c>
      <c r="AR42" s="17">
        <f>IF(AR$3="","",IF(AR$3=Steps,MAX(IF(CallPut=1,UndTree!AR42-Strike,Strike-UndTree!AR42),0),MAX((2-AmEur)*IF(CallPut=1,UndTree!AR42-Strike,Strike-UndTree!AR42),(UpProb*AS42+DownProb*AS43)*StepDiscount)))</f>
        <v>8.3437688151035027E-7</v>
      </c>
      <c r="AS42" s="17">
        <f>IF(AS$3="","",IF(AS$3=Steps,MAX(IF(CallPut=1,UndTree!AS42-Strike,Strike-UndTree!AS42),0),MAX((2-AmEur)*IF(CallPut=1,UndTree!AS42-Strike,Strike-UndTree!AS42),(UpProb*AT42+DownProb*AT43)*StepDiscount)))</f>
        <v>1.3859118436899194E-6</v>
      </c>
      <c r="AT42" s="17">
        <f>IF(AT$3="","",IF(AT$3=Steps,MAX(IF(CallPut=1,UndTree!AT42-Strike,Strike-UndTree!AT42),0),MAX((2-AmEur)*IF(CallPut=1,UndTree!AT42-Strike,Strike-UndTree!AT42),(UpProb*AU42+DownProb*AU43)*StepDiscount)))</f>
        <v>2.2949826711196675E-6</v>
      </c>
      <c r="AU42" s="17">
        <f>IF(AU$3="","",IF(AU$3=Steps,MAX(IF(CallPut=1,UndTree!AU42-Strike,Strike-UndTree!AU42),0),MAX((2-AmEur)*IF(CallPut=1,UndTree!AU42-Strike,Strike-UndTree!AU42),(UpProb*AV42+DownProb*AV43)*StepDiscount)))</f>
        <v>3.7883463143443925E-6</v>
      </c>
      <c r="AV42" s="17">
        <f>IF(AV$3="","",IF(AV$3=Steps,MAX(IF(CallPut=1,UndTree!AV42-Strike,Strike-UndTree!AV42),0),MAX((2-AmEur)*IF(CallPut=1,UndTree!AV42-Strike,Strike-UndTree!AV42),(UpProb*AW42+DownProb*AW43)*StepDiscount)))</f>
        <v>6.2330447712330613E-6</v>
      </c>
      <c r="AW42" s="17">
        <f>IF(AW$3="","",IF(AW$3=Steps,MAX(IF(CallPut=1,UndTree!AW42-Strike,Strike-UndTree!AW42),0),MAX((2-AmEur)*IF(CallPut=1,UndTree!AW42-Strike,Strike-UndTree!AW42),(UpProb*AX42+DownProb*AX43)*StepDiscount)))</f>
        <v>1.0220748461298653E-5</v>
      </c>
      <c r="AX42" s="17">
        <f>IF(AX$3="","",IF(AX$3=Steps,MAX(IF(CallPut=1,UndTree!AX42-Strike,Strike-UndTree!AX42),0),MAX((2-AmEur)*IF(CallPut=1,UndTree!AX42-Strike,Strike-UndTree!AX42),(UpProb*AY42+DownProb*AY43)*StepDiscount)))</f>
        <v>1.6701142443189949E-5</v>
      </c>
      <c r="AY42" s="17">
        <f>IF(AY$3="","",IF(AY$3=Steps,MAX(IF(CallPut=1,UndTree!AY42-Strike,Strike-UndTree!AY42),0),MAX((2-AmEur)*IF(CallPut=1,UndTree!AY42-Strike,Strike-UndTree!AY42),(UpProb*AZ42+DownProb*AZ43)*StepDiscount)))</f>
        <v>2.7191755756019084E-5</v>
      </c>
      <c r="AZ42" s="17">
        <f>IF(AZ$3="","",IF(AZ$3=Steps,MAX(IF(CallPut=1,UndTree!AZ42-Strike,Strike-UndTree!AZ42),0),MAX((2-AmEur)*IF(CallPut=1,UndTree!AZ42-Strike,Strike-UndTree!AZ42),(UpProb*BA42+DownProb*BA43)*StepDiscount)))</f>
        <v>4.4106208739175814E-5</v>
      </c>
      <c r="BA42" s="17">
        <f>IF(BA$3="","",IF(BA$3=Steps,MAX(IF(CallPut=1,UndTree!BA42-Strike,Strike-UndTree!BA42),0),MAX((2-AmEur)*IF(CallPut=1,UndTree!BA42-Strike,Strike-UndTree!BA42),(UpProb*BB42+DownProb*BB43)*StepDiscount)))</f>
        <v>7.1264706979670269E-5</v>
      </c>
      <c r="BB42" s="17">
        <f>IF(BB$3="","",IF(BB$3=Steps,MAX(IF(CallPut=1,UndTree!BB42-Strike,Strike-UndTree!BB42),0),MAX((2-AmEur)*IF(CallPut=1,UndTree!BB42-Strike,Strike-UndTree!BB42),(UpProb*BC42+DownProb*BC43)*StepDiscount)))</f>
        <v>1.1468307988504392E-4</v>
      </c>
      <c r="BC42" s="17">
        <f>IF(BC$3="","",IF(BC$3=Steps,MAX(IF(CallPut=1,UndTree!BC42-Strike,Strike-UndTree!BC42),0),MAX((2-AmEur)*IF(CallPut=1,UndTree!BC42-Strike,Strike-UndTree!BC42),(UpProb*BD42+DownProb*BD43)*StepDiscount)))</f>
        <v>1.8378442602861515E-4</v>
      </c>
      <c r="BD42" s="17">
        <f>IF(BD$3="","",IF(BD$3=Steps,MAX(IF(CallPut=1,UndTree!BD42-Strike,Strike-UndTree!BD42),0),MAX((2-AmEur)*IF(CallPut=1,UndTree!BD42-Strike,Strike-UndTree!BD42),(UpProb*BE42+DownProb*BE43)*StepDiscount)))</f>
        <v>2.9324693366601391E-4</v>
      </c>
      <c r="BE42" s="17">
        <f>IF(BE$3="","",IF(BE$3=Steps,MAX(IF(CallPut=1,UndTree!BE42-Strike,Strike-UndTree!BE42),0),MAX((2-AmEur)*IF(CallPut=1,UndTree!BE42-Strike,Strike-UndTree!BE42),(UpProb*BF42+DownProb*BF43)*StepDiscount)))</f>
        <v>4.6580139462873573E-4</v>
      </c>
      <c r="BF42" s="17">
        <f>IF(BF$3="","",IF(BF$3=Steps,MAX(IF(CallPut=1,UndTree!BF42-Strike,Strike-UndTree!BF42),0),MAX((2-AmEur)*IF(CallPut=1,UndTree!BF42-Strike,Strike-UndTree!BF42),(UpProb*BG42+DownProb*BG43)*StepDiscount)))</f>
        <v>7.3643378018719001E-4</v>
      </c>
      <c r="BG42" s="17">
        <f>IF(BG$3="","",IF(BG$3=Steps,MAX(IF(CallPut=1,UndTree!BG42-Strike,Strike-UndTree!BG42),0),MAX((2-AmEur)*IF(CallPut=1,UndTree!BG42-Strike,Strike-UndTree!BG42),(UpProb*BH42+DownProb*BH43)*StepDiscount)))</f>
        <v>1.158646631557384E-3</v>
      </c>
      <c r="BH42" s="17">
        <f>IF(BH$3="","",IF(BH$3=Steps,MAX(IF(CallPut=1,UndTree!BH42-Strike,Strike-UndTree!BH42),0),MAX((2-AmEur)*IF(CallPut=1,UndTree!BH42-Strike,Strike-UndTree!BH42),(UpProb*BI42+DownProb*BI43)*StepDiscount)))</f>
        <v>1.8137059090113012E-3</v>
      </c>
      <c r="BI42" s="17">
        <f>IF(BI$3="","",IF(BI$3=Steps,MAX(IF(CallPut=1,UndTree!BI42-Strike,Strike-UndTree!BI42),0),MAX((2-AmEur)*IF(CallPut=1,UndTree!BI42-Strike,Strike-UndTree!BI42),(UpProb*BJ42+DownProb*BJ43)*StepDiscount)))</f>
        <v>2.824168272987604E-3</v>
      </c>
      <c r="BJ42" s="17">
        <f>IF(BJ$3="","",IF(BJ$3=Steps,MAX(IF(CallPut=1,UndTree!BJ42-Strike,Strike-UndTree!BJ42),0),MAX((2-AmEur)*IF(CallPut=1,UndTree!BJ42-Strike,Strike-UndTree!BJ42),(UpProb*BK42+DownProb*BK43)*StepDiscount)))</f>
        <v>4.3734700468037267E-3</v>
      </c>
      <c r="BK42" s="17">
        <f>IF(BK$3="","",IF(BK$3=Steps,MAX(IF(CallPut=1,UndTree!BK42-Strike,Strike-UndTree!BK42),0),MAX((2-AmEur)*IF(CallPut=1,UndTree!BK42-Strike,Strike-UndTree!BK42),(UpProb*BL42+DownProb*BL43)*StepDiscount)))</f>
        <v>6.7339843935733633E-3</v>
      </c>
      <c r="BL42" s="17">
        <f>IF(BL$3="","",IF(BL$3=Steps,MAX(IF(CallPut=1,UndTree!BL42-Strike,Strike-UndTree!BL42),0),MAX((2-AmEur)*IF(CallPut=1,UndTree!BL42-Strike,Strike-UndTree!BL42),(UpProb*BM42+DownProb*BM43)*StepDiscount)))</f>
        <v>1.0306731593514888E-2</v>
      </c>
      <c r="BM42" s="17">
        <f>IF(BM$3="","",IF(BM$3=Steps,MAX(IF(CallPut=1,UndTree!BM42-Strike,Strike-UndTree!BM42),0),MAX((2-AmEur)*IF(CallPut=1,UndTree!BM42-Strike,Strike-UndTree!BM42),(UpProb*BN42+DownProb*BN43)*StepDiscount)))</f>
        <v>1.5676856649919652E-2</v>
      </c>
      <c r="BN42" s="17">
        <f>IF(BN$3="","",IF(BN$3=Steps,MAX(IF(CallPut=1,UndTree!BN42-Strike,Strike-UndTree!BN42),0),MAX((2-AmEur)*IF(CallPut=1,UndTree!BN42-Strike,Strike-UndTree!BN42),(UpProb*BO42+DownProb*BO43)*StepDiscount)))</f>
        <v>2.3690036627104664E-2</v>
      </c>
      <c r="BO42" s="17">
        <f>IF(BO$3="","",IF(BO$3=Steps,MAX(IF(CallPut=1,UndTree!BO42-Strike,Strike-UndTree!BO42),0),MAX((2-AmEur)*IF(CallPut=1,UndTree!BO42-Strike,Strike-UndTree!BO42),(UpProb*BP42+DownProb*BP43)*StepDiscount)))</f>
        <v>3.5556065193179241E-2</v>
      </c>
      <c r="BP42" s="17">
        <f>IF(BP$3="","",IF(BP$3=Steps,MAX(IF(CallPut=1,UndTree!BP42-Strike,Strike-UndTree!BP42),0),MAX((2-AmEur)*IF(CallPut=1,UndTree!BP42-Strike,Strike-UndTree!BP42),(UpProb*BQ42+DownProb*BQ43)*StepDiscount)))</f>
        <v>5.2986826271879034E-2</v>
      </c>
      <c r="BQ42" s="17">
        <f>IF(BQ$3="","",IF(BQ$3=Steps,MAX(IF(CallPut=1,UndTree!BQ42-Strike,Strike-UndTree!BQ42),0),MAX((2-AmEur)*IF(CallPut=1,UndTree!BQ42-Strike,Strike-UndTree!BQ42),(UpProb*BR42+DownProb*BR43)*StepDiscount)))</f>
        <v>7.837644867957809E-2</v>
      </c>
      <c r="BR42" s="17">
        <f>IF(BR$3="","",IF(BR$3=Steps,MAX(IF(CallPut=1,UndTree!BR42-Strike,Strike-UndTree!BR42),0),MAX((2-AmEur)*IF(CallPut=1,UndTree!BR42-Strike,Strike-UndTree!BR42),(UpProb*BS42+DownProb*BS43)*StepDiscount)))</f>
        <v>0.11503122746647748</v>
      </c>
      <c r="BS42" s="17">
        <f>IF(BS$3="","",IF(BS$3=Steps,MAX(IF(CallPut=1,UndTree!BS42-Strike,Strike-UndTree!BS42),0),MAX((2-AmEur)*IF(CallPut=1,UndTree!BS42-Strike,Strike-UndTree!BS42),(UpProb*BT42+DownProb*BT43)*StepDiscount)))</f>
        <v>0.16745534193980952</v>
      </c>
      <c r="BT42" s="17">
        <f>IF(BT$3="","",IF(BT$3=Steps,MAX(IF(CallPut=1,UndTree!BT42-Strike,Strike-UndTree!BT42),0),MAX((2-AmEur)*IF(CallPut=1,UndTree!BT42-Strike,Strike-UndTree!BT42),(UpProb*BU42+DownProb*BU43)*StepDiscount)))</f>
        <v>0.24169476826491179</v>
      </c>
      <c r="BU42" s="17">
        <f>IF(BU$3="","",IF(BU$3=Steps,MAX(IF(CallPut=1,UndTree!BU42-Strike,Strike-UndTree!BU42),0),MAX((2-AmEur)*IF(CallPut=1,UndTree!BU42-Strike,Strike-UndTree!BU42),(UpProb*BV42+DownProb*BV43)*StepDiscount)))</f>
        <v>0.34573522955253577</v>
      </c>
      <c r="BV42" s="17">
        <f>IF(BV$3="","",IF(BV$3=Steps,MAX(IF(CallPut=1,UndTree!BV42-Strike,Strike-UndTree!BV42),0),MAX((2-AmEur)*IF(CallPut=1,UndTree!BV42-Strike,Strike-UndTree!BV42),(UpProb*BW42+DownProb*BW43)*StepDiscount)))</f>
        <v>0.48993970093706307</v>
      </c>
      <c r="BW42" s="17">
        <f>IF(BW$3="","",IF(BW$3=Steps,MAX(IF(CallPut=1,UndTree!BW42-Strike,Strike-UndTree!BW42),0),MAX((2-AmEur)*IF(CallPut=1,UndTree!BW42-Strike,Strike-UndTree!BW42),(UpProb*BX42+DownProb*BX43)*StepDiscount)))</f>
        <v>0.68749627189867857</v>
      </c>
      <c r="BX42" s="17">
        <f>IF(BX$3="","",IF(BX$3=Steps,MAX(IF(CallPut=1,UndTree!BX42-Strike,Strike-UndTree!BX42),0),MAX((2-AmEur)*IF(CallPut=1,UndTree!BX42-Strike,Strike-UndTree!BX42),(UpProb*BY42+DownProb*BY43)*StepDiscount)))</f>
        <v>0.95482804085681483</v>
      </c>
      <c r="BY42" s="17">
        <f>IF(BY$3="","",IF(BY$3=Steps,MAX(IF(CallPut=1,UndTree!BY42-Strike,Strike-UndTree!BY42),0),MAX((2-AmEur)*IF(CallPut=1,UndTree!BY42-Strike,Strike-UndTree!BY42),(UpProb*BZ42+DownProb*BZ43)*StepDiscount)))</f>
        <v>1.3118942698465081</v>
      </c>
      <c r="BZ42" s="17">
        <f>IF(BZ$3="","",IF(BZ$3=Steps,MAX(IF(CallPut=1,UndTree!BZ42-Strike,Strike-UndTree!BZ42),0),MAX((2-AmEur)*IF(CallPut=1,UndTree!BZ42-Strike,Strike-UndTree!BZ42),(UpProb*CA42+DownProb*CA43)*StepDiscount)))</f>
        <v>1.7822890864917142</v>
      </c>
      <c r="CA42" s="17">
        <f>IF(CA$3="","",IF(CA$3=Steps,MAX(IF(CallPut=1,UndTree!CA42-Strike,Strike-UndTree!CA42),0),MAX((2-AmEur)*IF(CallPut=1,UndTree!CA42-Strike,Strike-UndTree!CA42),(UpProb*CB42+DownProb*CB43)*StepDiscount)))</f>
        <v>2.3930257389000071</v>
      </c>
      <c r="CB42" s="17">
        <f>IF(CB$3="","",IF(CB$3=Steps,MAX(IF(CallPut=1,UndTree!CB42-Strike,Strike-UndTree!CB42),0),MAX((2-AmEur)*IF(CallPut=1,UndTree!CB42-Strike,Strike-UndTree!CB42),(UpProb*CC42+DownProb*CC43)*StepDiscount)))</f>
        <v>3.1738885653793272</v>
      </c>
      <c r="CC42" s="17">
        <f>IF(CC$3="","",IF(CC$3=Steps,MAX(IF(CallPut=1,UndTree!CC42-Strike,Strike-UndTree!CC42),0),MAX((2-AmEur)*IF(CallPut=1,UndTree!CC42-Strike,Strike-UndTree!CC42),(UpProb*CD42+DownProb*CD43)*StepDiscount)))</f>
        <v>4.1562514421099408</v>
      </c>
      <c r="CD42" s="17">
        <f>IF(CD$3="","",IF(CD$3=Steps,MAX(IF(CallPut=1,UndTree!CD42-Strike,Strike-UndTree!CD42),0),MAX((2-AmEur)*IF(CallPut=1,UndTree!CD42-Strike,Strike-UndTree!CD42),(UpProb*CE42+DownProb*CE43)*StepDiscount)))</f>
        <v>5.3713111372994673</v>
      </c>
      <c r="CE42" s="17">
        <f>IF(CE$3="","",IF(CE$3=Steps,MAX(IF(CallPut=1,UndTree!CE42-Strike,Strike-UndTree!CE42),0),MAX((2-AmEur)*IF(CallPut=1,UndTree!CE42-Strike,Strike-UndTree!CE42),(UpProb*CF42+DownProb*CF43)*StepDiscount)))</f>
        <v>6.8477746418547678</v>
      </c>
      <c r="CF42" s="17">
        <f>IF(CF$3="","",IF(CF$3=Steps,MAX(IF(CallPut=1,UndTree!CF42-Strike,Strike-UndTree!CF42),0),MAX((2-AmEur)*IF(CallPut=1,UndTree!CF42-Strike,Strike-UndTree!CF42),(UpProb*CG42+DownProb*CG43)*StepDiscount)))</f>
        <v>8.6091711970431337</v>
      </c>
      <c r="CG42" s="17">
        <f>IF(CG$3="","",IF(CG$3=Steps,MAX(IF(CallPut=1,UndTree!CG42-Strike,Strike-UndTree!CG42),0),MAX((2-AmEur)*IF(CallPut=1,UndTree!CG42-Strike,Strike-UndTree!CG42),(UpProb*CH42+DownProb*CH43)*StepDiscount)))</f>
        <v>10.671118189295187</v>
      </c>
      <c r="CH42" s="17">
        <f>IF(CH$3="","",IF(CH$3=Steps,MAX(IF(CallPut=1,UndTree!CH42-Strike,Strike-UndTree!CH42),0),MAX((2-AmEur)*IF(CallPut=1,UndTree!CH42-Strike,Strike-UndTree!CH42),(UpProb*CI42+DownProb*CI43)*StepDiscount)))</f>
        <v>13.039021347391627</v>
      </c>
      <c r="CI42" s="17">
        <f>IF(CI$3="","",IF(CI$3=Steps,MAX(IF(CallPut=1,UndTree!CI42-Strike,Strike-UndTree!CI42),0),MAX((2-AmEur)*IF(CallPut=1,UndTree!CI42-Strike,Strike-UndTree!CI42),(UpProb*CJ42+DownProb*CJ43)*StepDiscount)))</f>
        <v>15.706779025068577</v>
      </c>
      <c r="CJ42" s="17">
        <f>IF(CJ$3="","",IF(CJ$3=Steps,MAX(IF(CallPut=1,UndTree!CJ42-Strike,Strike-UndTree!CJ42),0),MAX((2-AmEur)*IF(CallPut=1,UndTree!CJ42-Strike,Strike-UndTree!CJ42),(UpProb*CK42+DownProb*CK43)*StepDiscount)))</f>
        <v>18.657020886177193</v>
      </c>
      <c r="CK42" s="17">
        <f>IF(CK$3="","",IF(CK$3=Steps,MAX(IF(CallPut=1,UndTree!CK42-Strike,Strike-UndTree!CK42),0),MAX((2-AmEur)*IF(CallPut=1,UndTree!CK42-Strike,Strike-UndTree!CK42),(UpProb*CL42+DownProb*CL43)*StepDiscount)))</f>
        <v>21.863186472204923</v>
      </c>
      <c r="CL42" s="17">
        <f>IF(CL$3="","",IF(CL$3=Steps,MAX(IF(CallPut=1,UndTree!CL42-Strike,Strike-UndTree!CL42),0),MAX((2-AmEur)*IF(CallPut=1,UndTree!CL42-Strike,Strike-UndTree!CL42),(UpProb*CM42+DownProb*CM43)*StepDiscount)))</f>
        <v>25.293328886800364</v>
      </c>
      <c r="CM42" s="17">
        <f>IF(CM$3="","",IF(CM$3=Steps,MAX(IF(CallPut=1,UndTree!CM42-Strike,Strike-UndTree!CM42),0),MAX((2-AmEur)*IF(CallPut=1,UndTree!CM42-Strike,Strike-UndTree!CM42),(UpProb*CN42+DownProb*CN43)*StepDiscount)))</f>
        <v>28.91498929868008</v>
      </c>
      <c r="CN42" s="17">
        <f>IF(CN$3="","",IF(CN$3=Steps,MAX(IF(CallPut=1,UndTree!CN42-Strike,Strike-UndTree!CN42),0),MAX((2-AmEur)*IF(CallPut=1,UndTree!CN42-Strike,Strike-UndTree!CN42),(UpProb*CO42+DownProb*CO43)*StepDiscount)))</f>
        <v>32.700010409478523</v>
      </c>
      <c r="CO42" s="17">
        <f>IF(CO$3="","",IF(CO$3=Steps,MAX(IF(CallPut=1,UndTree!CO42-Strike,Strike-UndTree!CO42),0),MAX((2-AmEur)*IF(CallPut=1,UndTree!CO42-Strike,Strike-UndTree!CO42),(UpProb*CP42+DownProb*CP43)*StepDiscount)))</f>
        <v>36.62799212518491</v>
      </c>
      <c r="CP42" s="17">
        <f>IF(CP$3="","",IF(CP$3=Steps,MAX(IF(CallPut=1,UndTree!CP42-Strike,Strike-UndTree!CP42),0),MAX((2-AmEur)*IF(CallPut=1,UndTree!CP42-Strike,Strike-UndTree!CP42),(UpProb*CQ42+DownProb*CQ43)*StepDiscount)))</f>
        <v>40.687445350813704</v>
      </c>
      <c r="CQ42" s="17">
        <f>IF(CQ$3="","",IF(CQ$3=Steps,MAX(IF(CallPut=1,UndTree!CQ42-Strike,Strike-UndTree!CQ42),0),MAX((2-AmEur)*IF(CallPut=1,UndTree!CQ42-Strike,Strike-UndTree!CQ42),(UpProb*CR42+DownProb*CR43)*StepDiscount)))</f>
        <v>44.874556627990302</v>
      </c>
      <c r="CR42" s="17">
        <f>IF(CR$3="","",IF(CR$3=Steps,MAX(IF(CallPut=1,UndTree!CR42-Strike,Strike-UndTree!CR42),0),MAX((2-AmEur)*IF(CallPut=1,UndTree!CR42-Strike,Strike-UndTree!CR42),(UpProb*CS42+DownProb*CS43)*StepDiscount)))</f>
        <v>49.190479857781263</v>
      </c>
      <c r="CS42" s="17">
        <f>IF(CS$3="","",IF(CS$3=Steps,MAX(IF(CallPut=1,UndTree!CS42-Strike,Strike-UndTree!CS42),0),MAX((2-AmEur)*IF(CallPut=1,UndTree!CS42-Strike,Strike-UndTree!CS42),(UpProb*CT42+DownProb*CT43)*StepDiscount)))</f>
        <v>53.638613727237704</v>
      </c>
      <c r="CT42" s="17">
        <f>IF(CT$3="","",IF(CT$3=Steps,MAX(IF(CallPut=1,UndTree!CT42-Strike,Strike-UndTree!CT42),0),MAX((2-AmEur)*IF(CallPut=1,UndTree!CT42-Strike,Strike-UndTree!CT42),(UpProb*CU42+DownProb*CU43)*StepDiscount)))</f>
        <v>58.22296141019963</v>
      </c>
      <c r="CU42" s="17">
        <f>IF(CU$3="","",IF(CU$3=Steps,MAX(IF(CallPut=1,UndTree!CU42-Strike,Strike-UndTree!CU42),0),MAX((2-AmEur)*IF(CallPut=1,UndTree!CU42-Strike,Strike-UndTree!CU42),(UpProb*CV42+DownProb*CV43)*StepDiscount)))</f>
        <v>62.947647267268216</v>
      </c>
      <c r="CV42" s="17">
        <f>IF(CV$3="","",IF(CV$3=Steps,MAX(IF(CallPut=1,UndTree!CV42-Strike,Strike-UndTree!CV42),0),MAX((2-AmEur)*IF(CallPut=1,UndTree!CV42-Strike,Strike-UndTree!CV42),(UpProb*CW42+DownProb*CW43)*StepDiscount)))</f>
        <v>67.816920514440625</v>
      </c>
      <c r="CW42" s="17">
        <f>IF(CW$3="","",IF(CW$3=Steps,MAX(IF(CallPut=1,UndTree!CW42-Strike,Strike-UndTree!CW42),0),MAX((2-AmEur)*IF(CallPut=1,UndTree!CW42-Strike,Strike-UndTree!CW42),(UpProb*CX42+DownProb*CX43)*StepDiscount)))</f>
        <v>72.835159002799216</v>
      </c>
      <c r="CX42" s="17">
        <f>IF(CX$3="","",IF(CX$3=Steps,MAX(IF(CallPut=1,UndTree!CX42-Strike,Strike-UndTree!CX42),0),MAX((2-AmEur)*IF(CallPut=1,UndTree!CX42-Strike,Strike-UndTree!CX42),(UpProb*CY42+DownProb*CY43)*StepDiscount)))</f>
        <v>78.006873112611515</v>
      </c>
      <c r="CY42" s="17">
        <f>IF(CY$3="","",IF(CY$3=Steps,MAX(IF(CallPut=1,UndTree!CY42-Strike,Strike-UndTree!CY42),0),MAX((2-AmEur)*IF(CallPut=1,UndTree!CY42-Strike,Strike-UndTree!CY42),(UpProb*CZ42+DownProb*CZ43)*StepDiscount)))</f>
        <v>83.336709765302189</v>
      </c>
      <c r="CZ42" s="17">
        <f>IF(CZ$3="","",IF(CZ$3=Steps,MAX(IF(CallPut=1,UndTree!CZ42-Strike,Strike-UndTree!CZ42),0),MAX((2-AmEur)*IF(CallPut=1,UndTree!CZ42-Strike,Strike-UndTree!CZ42),(UpProb*DA42+DownProb*DA43)*StepDiscount)))</f>
        <v>88.829456556913328</v>
      </c>
      <c r="DA42" s="17">
        <f>IF(DA$3="","",IF(DA$3=Steps,MAX(IF(CallPut=1,UndTree!DA42-Strike,Strike-UndTree!DA42),0),MAX((2-AmEur)*IF(CallPut=1,UndTree!DA42-Strike,Strike-UndTree!DA42),(UpProb*DB42+DownProb*DB43)*StepDiscount)))</f>
        <v>94.490046016849035</v>
      </c>
      <c r="DB42" s="17">
        <f>IF(DB$3="","",IF(DB$3=Steps,MAX(IF(CallPut=1,UndTree!DB42-Strike,Strike-UndTree!DB42),0),MAX((2-AmEur)*IF(CallPut=1,UndTree!DB42-Strike,Strike-UndTree!DB42),(UpProb*DC42+DownProb*DC43)*StepDiscount)))</f>
        <v>100.3235599951</v>
      </c>
    </row>
    <row r="43" spans="1:106" x14ac:dyDescent="0.2">
      <c r="A43">
        <f>ExDivTree!A43</f>
        <v>1.4683973016669308E+28</v>
      </c>
      <c r="B43" s="71">
        <f>ExDivTree!B43</f>
        <v>5.791806123085331E-3</v>
      </c>
      <c r="C43" s="71">
        <f>ExDivTree!C43</f>
        <v>6.1536817532337829E-3</v>
      </c>
      <c r="D43" s="177">
        <f>ExDivTree!D43</f>
        <v>39</v>
      </c>
      <c r="AR43" s="17">
        <f>IF(AR$3="","",IF(AR$3=Steps,MAX(IF(CallPut=1,UndTree!AR43-Strike,Strike-UndTree!AR43),0),MAX((2-AmEur)*IF(CallPut=1,UndTree!AR43-Strike,Strike-UndTree!AR43),(UpProb*AS43+DownProb*AS44)*StepDiscount)))</f>
        <v>1.6606441636523624E-7</v>
      </c>
      <c r="AS43" s="17">
        <f>IF(AS$3="","",IF(AS$3=Steps,MAX(IF(CallPut=1,UndTree!AS43-Strike,Strike-UndTree!AS43),0),MAX((2-AmEur)*IF(CallPut=1,UndTree!AS43-Strike,Strike-UndTree!AS43),(UpProb*AT43+DownProb*AT44)*StepDiscount)))</f>
        <v>2.8079113361441625E-7</v>
      </c>
      <c r="AT43" s="17">
        <f>IF(AT$3="","",IF(AT$3=Steps,MAX(IF(CallPut=1,UndTree!AT43-Strike,Strike-UndTree!AT43),0),MAX((2-AmEur)*IF(CallPut=1,UndTree!AT43-Strike,Strike-UndTree!AT43),(UpProb*AU43+DownProb*AU44)*StepDiscount)))</f>
        <v>4.7347203177469207E-7</v>
      </c>
      <c r="AU43" s="17">
        <f>IF(AU$3="","",IF(AU$3=Steps,MAX(IF(CallPut=1,UndTree!AU43-Strike,Strike-UndTree!AU43),0),MAX((2-AmEur)*IF(CallPut=1,UndTree!AU43-Strike,Strike-UndTree!AU43),(UpProb*AV43+DownProb*AV44)*StepDiscount)))</f>
        <v>7.961039843283603E-7</v>
      </c>
      <c r="AV43" s="17">
        <f>IF(AV$3="","",IF(AV$3=Steps,MAX(IF(CallPut=1,UndTree!AV43-Strike,Strike-UndTree!AV43),0),MAX((2-AmEur)*IF(CallPut=1,UndTree!AV43-Strike,Strike-UndTree!AV43),(UpProb*AW43+DownProb*AW44)*StepDiscount)))</f>
        <v>1.3346526049540089E-6</v>
      </c>
      <c r="AW43" s="17">
        <f>IF(AW$3="","",IF(AW$3=Steps,MAX(IF(CallPut=1,UndTree!AW43-Strike,Strike-UndTree!AW43),0),MAX((2-AmEur)*IF(CallPut=1,UndTree!AW43-Strike,Strike-UndTree!AW43),(UpProb*AX43+DownProb*AX44)*StepDiscount)))</f>
        <v>2.2307249560820893E-6</v>
      </c>
      <c r="AX43" s="17">
        <f>IF(AX$3="","",IF(AX$3=Steps,MAX(IF(CallPut=1,UndTree!AX43-Strike,Strike-UndTree!AX43),0),MAX((2-AmEur)*IF(CallPut=1,UndTree!AX43-Strike,Strike-UndTree!AX43),(UpProb*AY43+DownProb*AY44)*StepDiscount)))</f>
        <v>3.7166984357730131E-6</v>
      </c>
      <c r="AY43" s="17">
        <f>IF(AY$3="","",IF(AY$3=Steps,MAX(IF(CallPut=1,UndTree!AY43-Strike,Strike-UndTree!AY43),0),MAX((2-AmEur)*IF(CallPut=1,UndTree!AY43-Strike,Strike-UndTree!AY43),(UpProb*AZ43+DownProb*AZ44)*StepDiscount)))</f>
        <v>6.1723983558990378E-6</v>
      </c>
      <c r="AZ43" s="17">
        <f>IF(AZ$3="","",IF(AZ$3=Steps,MAX(IF(CallPut=1,UndTree!AZ43-Strike,Strike-UndTree!AZ43),0),MAX((2-AmEur)*IF(CallPut=1,UndTree!AZ43-Strike,Strike-UndTree!AZ43),(UpProb*BA43+DownProb*BA44)*StepDiscount)))</f>
        <v>1.0216101373556241E-5</v>
      </c>
      <c r="BA43" s="17">
        <f>IF(BA$3="","",IF(BA$3=Steps,MAX(IF(CallPut=1,UndTree!BA43-Strike,Strike-UndTree!BA43),0),MAX((2-AmEur)*IF(CallPut=1,UndTree!BA43-Strike,Strike-UndTree!BA43),(UpProb*BB43+DownProb*BB44)*StepDiscount)))</f>
        <v>1.6849913984640438E-5</v>
      </c>
      <c r="BB43" s="17">
        <f>IF(BB$3="","",IF(BB$3=Steps,MAX(IF(CallPut=1,UndTree!BB43-Strike,Strike-UndTree!BB43),0),MAX((2-AmEur)*IF(CallPut=1,UndTree!BB43-Strike,Strike-UndTree!BB43),(UpProb*BC43+DownProb*BC44)*StepDiscount)))</f>
        <v>2.7690780171852581E-5</v>
      </c>
      <c r="BC43" s="17">
        <f>IF(BC$3="","",IF(BC$3=Steps,MAX(IF(CallPut=1,UndTree!BC43-Strike,Strike-UndTree!BC43),0),MAX((2-AmEur)*IF(CallPut=1,UndTree!BC43-Strike,Strike-UndTree!BC43),(UpProb*BD43+DownProb*BD44)*StepDiscount)))</f>
        <v>4.5335499826057671E-5</v>
      </c>
      <c r="BD43" s="17">
        <f>IF(BD$3="","",IF(BD$3=Steps,MAX(IF(CallPut=1,UndTree!BD43-Strike,Strike-UndTree!BD43),0),MAX((2-AmEur)*IF(CallPut=1,UndTree!BD43-Strike,Strike-UndTree!BD43),(UpProb*BE43+DownProb*BE44)*StepDiscount)))</f>
        <v>7.3934096457841105E-5</v>
      </c>
      <c r="BE43" s="17">
        <f>IF(BE$3="","",IF(BE$3=Steps,MAX(IF(CallPut=1,UndTree!BE43-Strike,Strike-UndTree!BE43),0),MAX((2-AmEur)*IF(CallPut=1,UndTree!BE43-Strike,Strike-UndTree!BE43),(UpProb*BF43+DownProb*BF44)*StepDiscount)))</f>
        <v>1.2008484696556684E-4</v>
      </c>
      <c r="BF43" s="17">
        <f>IF(BF$3="","",IF(BF$3=Steps,MAX(IF(CallPut=1,UndTree!BF43-Strike,Strike-UndTree!BF43),0),MAX((2-AmEur)*IF(CallPut=1,UndTree!BF43-Strike,Strike-UndTree!BF43),(UpProb*BG43+DownProb*BG44)*StepDiscount)))</f>
        <v>1.9422221824210665E-4</v>
      </c>
      <c r="BG43" s="17">
        <f>IF(BG$3="","",IF(BG$3=Steps,MAX(IF(CallPut=1,UndTree!BG43-Strike,Strike-UndTree!BG43),0),MAX((2-AmEur)*IF(CallPut=1,UndTree!BG43-Strike,Strike-UndTree!BG43),(UpProb*BH43+DownProb*BH44)*StepDiscount)))</f>
        <v>3.127541213318005E-4</v>
      </c>
      <c r="BH43" s="17">
        <f>IF(BH$3="","",IF(BH$3=Steps,MAX(IF(CallPut=1,UndTree!BH43-Strike,Strike-UndTree!BH43),0),MAX((2-AmEur)*IF(CallPut=1,UndTree!BH43-Strike,Strike-UndTree!BH43),(UpProb*BI43+DownProb*BI44)*StepDiscount)))</f>
        <v>5.0132858410294981E-4</v>
      </c>
      <c r="BI43" s="17">
        <f>IF(BI$3="","",IF(BI$3=Steps,MAX(IF(CallPut=1,UndTree!BI43-Strike,Strike-UndTree!BI43),0),MAX((2-AmEur)*IF(CallPut=1,UndTree!BI43-Strike,Strike-UndTree!BI43),(UpProb*BJ43+DownProb*BJ44)*StepDiscount)))</f>
        <v>7.9978717730279803E-4</v>
      </c>
      <c r="BJ43" s="17">
        <f>IF(BJ$3="","",IF(BJ$3=Steps,MAX(IF(CallPut=1,UndTree!BJ43-Strike,Strike-UndTree!BJ43),0),MAX((2-AmEur)*IF(CallPut=1,UndTree!BJ43-Strike,Strike-UndTree!BJ43),(UpProb*BK43+DownProb*BK44)*StepDiscount)))</f>
        <v>1.2696126733934266E-3</v>
      </c>
      <c r="BK43" s="17">
        <f>IF(BK$3="","",IF(BK$3=Steps,MAX(IF(CallPut=1,UndTree!BK43-Strike,Strike-UndTree!BK43),0),MAX((2-AmEur)*IF(CallPut=1,UndTree!BK43-Strike,Strike-UndTree!BK43),(UpProb*BL43+DownProb*BL44)*StepDiscount)))</f>
        <v>2.0050254613881088E-3</v>
      </c>
      <c r="BL43" s="17">
        <f>IF(BL$3="","",IF(BL$3=Steps,MAX(IF(CallPut=1,UndTree!BL43-Strike,Strike-UndTree!BL43),0),MAX((2-AmEur)*IF(CallPut=1,UndTree!BL43-Strike,Strike-UndTree!BL43),(UpProb*BM43+DownProb*BM44)*StepDiscount)))</f>
        <v>3.1493552997130525E-3</v>
      </c>
      <c r="BM43" s="17">
        <f>IF(BM$3="","",IF(BM$3=Steps,MAX(IF(CallPut=1,UndTree!BM43-Strike,Strike-UndTree!BM43),0),MAX((2-AmEur)*IF(CallPut=1,UndTree!BM43-Strike,Strike-UndTree!BM43),(UpProb*BN43+DownProb*BN44)*StepDiscount)))</f>
        <v>4.9189423732054162E-3</v>
      </c>
      <c r="BN43" s="17">
        <f>IF(BN$3="","",IF(BN$3=Steps,MAX(IF(CallPut=1,UndTree!BN43-Strike,Strike-UndTree!BN43),0),MAX((2-AmEur)*IF(CallPut=1,UndTree!BN43-Strike,Strike-UndTree!BN43),(UpProb*BO43+DownProb*BO44)*StepDiscount)))</f>
        <v>7.6376324787458105E-3</v>
      </c>
      <c r="BO43" s="17">
        <f>IF(BO$3="","",IF(BO$3=Steps,MAX(IF(CallPut=1,UndTree!BO43-Strike,Strike-UndTree!BO43),0),MAX((2-AmEur)*IF(CallPut=1,UndTree!BO43-Strike,Strike-UndTree!BO43),(UpProb*BP43+DownProb*BP44)*StepDiscount)))</f>
        <v>1.1785943354835031E-2</v>
      </c>
      <c r="BP43" s="17">
        <f>IF(BP$3="","",IF(BP$3=Steps,MAX(IF(CallPut=1,UndTree!BP43-Strike,Strike-UndTree!BP43),0),MAX((2-AmEur)*IF(CallPut=1,UndTree!BP43-Strike,Strike-UndTree!BP43),(UpProb*BQ43+DownProb*BQ44)*StepDiscount)))</f>
        <v>1.8070186664449726E-2</v>
      </c>
      <c r="BQ43" s="17">
        <f>IF(BQ$3="","",IF(BQ$3=Steps,MAX(IF(CallPut=1,UndTree!BQ43-Strike,Strike-UndTree!BQ43),0),MAX((2-AmEur)*IF(CallPut=1,UndTree!BQ43-Strike,Strike-UndTree!BQ43),(UpProb*BR43+DownProb*BR44)*StepDiscount)))</f>
        <v>2.7518182092835203E-2</v>
      </c>
      <c r="BR43" s="17">
        <f>IF(BR$3="","",IF(BR$3=Steps,MAX(IF(CallPut=1,UndTree!BR43-Strike,Strike-UndTree!BR43),0),MAX((2-AmEur)*IF(CallPut=1,UndTree!BR43-Strike,Strike-UndTree!BR43),(UpProb*BS43+DownProb*BS44)*StepDiscount)))</f>
        <v>4.1609570913164549E-2</v>
      </c>
      <c r="BS43" s="17">
        <f>IF(BS$3="","",IF(BS$3=Steps,MAX(IF(CallPut=1,UndTree!BS43-Strike,Strike-UndTree!BS43),0),MAX((2-AmEur)*IF(CallPut=1,UndTree!BS43-Strike,Strike-UndTree!BS43),(UpProb*BT43+DownProb*BT44)*StepDiscount)))</f>
        <v>6.2449886755437806E-2</v>
      </c>
      <c r="BT43" s="17">
        <f>IF(BT$3="","",IF(BT$3=Steps,MAX(IF(CallPut=1,UndTree!BT43-Strike,Strike-UndTree!BT43),0),MAX((2-AmEur)*IF(CallPut=1,UndTree!BT43-Strike,Strike-UndTree!BT43),(UpProb*BU43+DownProb*BU44)*StepDiscount)))</f>
        <v>9.2998071307489952E-2</v>
      </c>
      <c r="BU43" s="17">
        <f>IF(BU$3="","",IF(BU$3=Steps,MAX(IF(CallPut=1,UndTree!BU43-Strike,Strike-UndTree!BU43),0),MAX((2-AmEur)*IF(CallPut=1,UndTree!BU43-Strike,Strike-UndTree!BU43),(UpProb*BV43+DownProb*BV44)*StepDiscount)))</f>
        <v>0.13735642520236949</v>
      </c>
      <c r="BV43" s="17">
        <f>IF(BV$3="","",IF(BV$3=Steps,MAX(IF(CallPut=1,UndTree!BV43-Strike,Strike-UndTree!BV43),0),MAX((2-AmEur)*IF(CallPut=1,UndTree!BV43-Strike,Strike-UndTree!BV43),(UpProb*BW43+DownProb*BW44)*StepDiscount)))</f>
        <v>0.20112921289650099</v>
      </c>
      <c r="BW43" s="17">
        <f>IF(BW$3="","",IF(BW$3=Steps,MAX(IF(CallPut=1,UndTree!BW43-Strike,Strike-UndTree!BW43),0),MAX((2-AmEur)*IF(CallPut=1,UndTree!BW43-Strike,Strike-UndTree!BW43),(UpProb*BX43+DownProb*BX44)*StepDiscount)))</f>
        <v>0.29185021722152127</v>
      </c>
      <c r="BX43" s="17">
        <f>IF(BX$3="","",IF(BX$3=Steps,MAX(IF(CallPut=1,UndTree!BX43-Strike,Strike-UndTree!BX43),0),MAX((2-AmEur)*IF(CallPut=1,UndTree!BX43-Strike,Strike-UndTree!BX43),(UpProb*BY43+DownProb*BY44)*StepDiscount)))</f>
        <v>0.41946924393372736</v>
      </c>
      <c r="BY43" s="17">
        <f>IF(BY$3="","",IF(BY$3=Steps,MAX(IF(CallPut=1,UndTree!BY43-Strike,Strike-UndTree!BY43),0),MAX((2-AmEur)*IF(CallPut=1,UndTree!BY43-Strike,Strike-UndTree!BY43),(UpProb*BZ43+DownProb*BZ44)*StepDiscount)))</f>
        <v>0.59687176680724807</v>
      </c>
      <c r="BZ43" s="17">
        <f>IF(BZ$3="","",IF(BZ$3=Steps,MAX(IF(CallPut=1,UndTree!BZ43-Strike,Strike-UndTree!BZ43),0),MAX((2-AmEur)*IF(CallPut=1,UndTree!BZ43-Strike,Strike-UndTree!BZ43),(UpProb*CA43+DownProb*CA44)*StepDiscount)))</f>
        <v>0.84038392891362546</v>
      </c>
      <c r="CA43" s="17">
        <f>IF(CA$3="","",IF(CA$3=Steps,MAX(IF(CallPut=1,UndTree!CA43-Strike,Strike-UndTree!CA43),0),MAX((2-AmEur)*IF(CallPut=1,UndTree!CA43-Strike,Strike-UndTree!CA43),(UpProb*CB43+DownProb*CB44)*StepDiscount)))</f>
        <v>1.1701874671493304</v>
      </c>
      <c r="CB43" s="17">
        <f>IF(CB$3="","",IF(CB$3=Steps,MAX(IF(CallPut=1,UndTree!CB43-Strike,Strike-UndTree!CB43),0),MAX((2-AmEur)*IF(CallPut=1,UndTree!CB43-Strike,Strike-UndTree!CB43),(UpProb*CC43+DownProb*CC44)*StepDiscount)))</f>
        <v>1.6105383222140679</v>
      </c>
      <c r="CC43" s="17">
        <f>IF(CC$3="","",IF(CC$3=Steps,MAX(IF(CallPut=1,UndTree!CC43-Strike,Strike-UndTree!CC43),0),MAX((2-AmEur)*IF(CallPut=1,UndTree!CC43-Strike,Strike-UndTree!CC43),(UpProb*CD43+DownProb*CD44)*StepDiscount)))</f>
        <v>2.1896542820989664</v>
      </c>
      <c r="CD43" s="17">
        <f>IF(CD$3="","",IF(CD$3=Steps,MAX(IF(CallPut=1,UndTree!CD43-Strike,Strike-UndTree!CD43),0),MAX((2-AmEur)*IF(CallPut=1,UndTree!CD43-Strike,Strike-UndTree!CD43),(UpProb*CE43+DownProb*CE44)*StepDiscount)))</f>
        <v>2.9391203859984363</v>
      </c>
      <c r="CE43" s="17">
        <f>IF(CE$3="","",IF(CE$3=Steps,MAX(IF(CallPut=1,UndTree!CE43-Strike,Strike-UndTree!CE43),0),MAX((2-AmEur)*IF(CallPut=1,UndTree!CE43-Strike,Strike-UndTree!CE43),(UpProb*CF43+DownProb*CF44)*StepDiscount)))</f>
        <v>3.8926693394726404</v>
      </c>
      <c r="CF43" s="17">
        <f>IF(CF$3="","",IF(CF$3=Steps,MAX(IF(CallPut=1,UndTree!CF43-Strike,Strike-UndTree!CF43),0),MAX((2-AmEur)*IF(CallPut=1,UndTree!CF43-Strike,Strike-UndTree!CF43),(UpProb*CG43+DownProb*CG44)*StepDiscount)))</f>
        <v>5.0842437019645015</v>
      </c>
      <c r="CG43" s="17">
        <f>IF(CG$3="","",IF(CG$3=Steps,MAX(IF(CallPut=1,UndTree!CG43-Strike,Strike-UndTree!CG43),0),MAX((2-AmEur)*IF(CallPut=1,UndTree!CG43-Strike,Strike-UndTree!CG43),(UpProb*CH43+DownProb*CH44)*StepDiscount)))</f>
        <v>6.5453514554843251</v>
      </c>
      <c r="CH43" s="17">
        <f>IF(CH$3="","",IF(CH$3=Steps,MAX(IF(CallPut=1,UndTree!CH43-Strike,Strike-UndTree!CH43),0),MAX((2-AmEur)*IF(CallPut=1,UndTree!CH43-Strike,Strike-UndTree!CH43),(UpProb*CI43+DownProb*CI44)*StepDiscount)))</f>
        <v>8.3018924029683454</v>
      </c>
      <c r="CI43" s="17">
        <f>IF(CI$3="","",IF(CI$3=Steps,MAX(IF(CallPut=1,UndTree!CI43-Strike,Strike-UndTree!CI43),0),MAX((2-AmEur)*IF(CallPut=1,UndTree!CI43-Strike,Strike-UndTree!CI43),(UpProb*CJ43+DownProb*CJ44)*StepDiscount)))</f>
        <v>10.370846515950793</v>
      </c>
      <c r="CJ43" s="17">
        <f>IF(CJ$3="","",IF(CJ$3=Steps,MAX(IF(CallPut=1,UndTree!CJ43-Strike,Strike-UndTree!CJ43),0),MAX((2-AmEur)*IF(CallPut=1,UndTree!CJ43-Strike,Strike-UndTree!CJ43),(UpProb*CK43+DownProb*CK44)*StepDiscount)))</f>
        <v>12.757434291626575</v>
      </c>
      <c r="CK43" s="17">
        <f>IF(CK$3="","",IF(CK$3=Steps,MAX(IF(CallPut=1,UndTree!CK43-Strike,Strike-UndTree!CK43),0),MAX((2-AmEur)*IF(CallPut=1,UndTree!CK43-Strike,Strike-UndTree!CK43),(UpProb*CL43+DownProb*CL44)*StepDiscount)))</f>
        <v>15.453506028514488</v>
      </c>
      <c r="CL43" s="17">
        <f>IF(CL$3="","",IF(CL$3=Steps,MAX(IF(CallPut=1,UndTree!CL43-Strike,Strike-UndTree!CL43),0),MAX((2-AmEur)*IF(CallPut=1,UndTree!CL43-Strike,Strike-UndTree!CL43),(UpProb*CM43+DownProb*CM44)*StepDiscount)))</f>
        <v>18.437888301735558</v>
      </c>
      <c r="CM43" s="17">
        <f>IF(CM$3="","",IF(CM$3=Steps,MAX(IF(CallPut=1,UndTree!CM43-Strike,Strike-UndTree!CM43),0),MAX((2-AmEur)*IF(CallPut=1,UndTree!CM43-Strike,Strike-UndTree!CM43),(UpProb*CN43+DownProb*CN44)*StepDiscount)))</f>
        <v>21.679115152325604</v>
      </c>
      <c r="CN43" s="17">
        <f>IF(CN$3="","",IF(CN$3=Steps,MAX(IF(CallPut=1,UndTree!CN43-Strike,Strike-UndTree!CN43),0),MAX((2-AmEur)*IF(CallPut=1,UndTree!CN43-Strike,Strike-UndTree!CN43),(UpProb*CO43+DownProb*CO44)*StepDiscount)))</f>
        <v>25.140369094419921</v>
      </c>
      <c r="CO43" s="17">
        <f>IF(CO$3="","",IF(CO$3=Steps,MAX(IF(CallPut=1,UndTree!CO43-Strike,Strike-UndTree!CO43),0),MAX((2-AmEur)*IF(CallPut=1,UndTree!CO43-Strike,Strike-UndTree!CO43),(UpProb*CP43+DownProb*CP44)*StepDiscount)))</f>
        <v>28.785664676661401</v>
      </c>
      <c r="CP43" s="17">
        <f>IF(CP$3="","",IF(CP$3=Steps,MAX(IF(CallPut=1,UndTree!CP43-Strike,Strike-UndTree!CP43),0),MAX((2-AmEur)*IF(CallPut=1,UndTree!CP43-Strike,Strike-UndTree!CP43),(UpProb*CQ43+DownProb*CQ44)*StepDiscount)))</f>
        <v>32.585621912285283</v>
      </c>
      <c r="CQ43" s="17">
        <f>IF(CQ$3="","",IF(CQ$3=Steps,MAX(IF(CallPut=1,UndTree!CQ43-Strike,Strike-UndTree!CQ43),0),MAX((2-AmEur)*IF(CallPut=1,UndTree!CQ43-Strike,Strike-UndTree!CQ43),(UpProb*CR43+DownProb*CR44)*StepDiscount)))</f>
        <v>36.52102314712792</v>
      </c>
      <c r="CR43" s="17">
        <f>IF(CR$3="","",IF(CR$3=Steps,MAX(IF(CallPut=1,UndTree!CR43-Strike,Strike-UndTree!CR43),0),MAX((2-AmEur)*IF(CallPut=1,UndTree!CR43-Strike,Strike-UndTree!CR43),(UpProb*CS43+DownProb*CS44)*StepDiscount)))</f>
        <v>40.583057136705989</v>
      </c>
      <c r="CS43" s="17">
        <f>IF(CS$3="","",IF(CS$3=Steps,MAX(IF(CallPut=1,UndTree!CS43-Strike,Strike-UndTree!CS43),0),MAX((2-AmEur)*IF(CallPut=1,UndTree!CS43-Strike,Strike-UndTree!CS43),(UpProb*CT43+DownProb*CT44)*StepDiscount)))</f>
        <v>44.770622282855001</v>
      </c>
      <c r="CT43" s="17">
        <f>IF(CT$3="","",IF(CT$3=Steps,MAX(IF(CallPut=1,UndTree!CT43-Strike,Strike-UndTree!CT43),0),MAX((2-AmEur)*IF(CallPut=1,UndTree!CT43-Strike,Strike-UndTree!CT43),(UpProb*CU43+DownProb*CU44)*StepDiscount)))</f>
        <v>49.08651316012336</v>
      </c>
      <c r="CU43" s="17">
        <f>IF(CU$3="","",IF(CU$3=Steps,MAX(IF(CallPut=1,UndTree!CU43-Strike,Strike-UndTree!CU43),0),MAX((2-AmEur)*IF(CallPut=1,UndTree!CU43-Strike,Strike-UndTree!CU43),(UpProb*CV43+DownProb*CV44)*StepDiscount)))</f>
        <v>53.534615336645523</v>
      </c>
      <c r="CV43" s="17">
        <f>IF(CV$3="","",IF(CV$3=Steps,MAX(IF(CallPut=1,UndTree!CV43-Strike,Strike-UndTree!CV43),0),MAX((2-AmEur)*IF(CallPut=1,UndTree!CV43-Strike,Strike-UndTree!CV43),(UpProb*CW43+DownProb*CW44)*StepDiscount)))</f>
        <v>58.118932007090486</v>
      </c>
      <c r="CW43" s="17">
        <f>IF(CW$3="","",IF(CW$3=Steps,MAX(IF(CallPut=1,UndTree!CW43-Strike,Strike-UndTree!CW43),0),MAX((2-AmEur)*IF(CallPut=1,UndTree!CW43-Strike,Strike-UndTree!CW43),(UpProb*CX43+DownProb*CX44)*StepDiscount)))</f>
        <v>62.843587553523975</v>
      </c>
      <c r="CX43" s="17">
        <f>IF(CX$3="","",IF(CX$3=Steps,MAX(IF(CallPut=1,UndTree!CX43-Strike,Strike-UndTree!CX43),0),MAX((2-AmEur)*IF(CallPut=1,UndTree!CX43-Strike,Strike-UndTree!CX43),(UpProb*CY43+DownProb*CY44)*StepDiscount)))</f>
        <v>67.712831214068189</v>
      </c>
      <c r="CY43" s="17">
        <f>IF(CY$3="","",IF(CY$3=Steps,MAX(IF(CallPut=1,UndTree!CY43-Strike,Strike-UndTree!CY43),0),MAX((2-AmEur)*IF(CallPut=1,UndTree!CY43-Strike,Strike-UndTree!CY43),(UpProb*CZ43+DownProb*CZ44)*StepDiscount)))</f>
        <v>72.731040862613241</v>
      </c>
      <c r="CZ43" s="17">
        <f>IF(CZ$3="","",IF(CZ$3=Steps,MAX(IF(CallPut=1,UndTree!CZ43-Strike,Strike-UndTree!CZ43),0),MAX((2-AmEur)*IF(CallPut=1,UndTree!CZ43-Strike,Strike-UndTree!CZ43),(UpProb*DA43+DownProb*DA44)*StepDiscount)))</f>
        <v>77.902726902889555</v>
      </c>
      <c r="DA43" s="17">
        <f>IF(DA$3="","",IF(DA$3=Steps,MAX(IF(CallPut=1,UndTree!DA43-Strike,Strike-UndTree!DA43),0),MAX((2-AmEur)*IF(CallPut=1,UndTree!DA43-Strike,Strike-UndTree!DA43),(UpProb*DB43+DownProb*DB44)*StepDiscount)))</f>
        <v>83.232536280340682</v>
      </c>
      <c r="DB43" s="17">
        <f>IF(DB$3="","",IF(DB$3=Steps,MAX(IF(CallPut=1,UndTree!DB43-Strike,Strike-UndTree!DB43),0),MAX((2-AmEur)*IF(CallPut=1,UndTree!DB43-Strike,Strike-UndTree!DB43),(UpProb*DC43+DownProb*DC44)*StepDiscount)))</f>
        <v>88.725256616199999</v>
      </c>
    </row>
    <row r="44" spans="1:106" x14ac:dyDescent="0.2">
      <c r="A44">
        <f>ExDivTree!A44</f>
        <v>2.276015817583745E+28</v>
      </c>
      <c r="B44" s="71">
        <f>ExDivTree!B44</f>
        <v>8.9772994907822718E-3</v>
      </c>
      <c r="C44" s="71">
        <f>ExDivTree!C44</f>
        <v>9.4877787539340615E-3</v>
      </c>
      <c r="D44" s="177">
        <f>ExDivTree!D44</f>
        <v>40</v>
      </c>
      <c r="AS44" s="17">
        <f>IF(AS$3="","",IF(AS$3=Steps,MAX(IF(CallPut=1,UndTree!AS44-Strike,Strike-UndTree!AS44),0),MAX((2-AmEur)*IF(CallPut=1,UndTree!AS44-Strike,Strike-UndTree!AS44),(UpProb*AT44+DownProb*AT45)*StepDiscount)))</f>
        <v>5.0903195008513523E-8</v>
      </c>
      <c r="AT44" s="17">
        <f>IF(AT$3="","",IF(AT$3=Steps,MAX(IF(CallPut=1,UndTree!AT44-Strike,Strike-UndTree!AT44),0),MAX((2-AmEur)*IF(CallPut=1,UndTree!AT44-Strike,Strike-UndTree!AT44),(UpProb*AU44+DownProb*AU45)*StepDiscount)))</f>
        <v>8.7382490280226847E-8</v>
      </c>
      <c r="AU44" s="17">
        <f>IF(AU$3="","",IF(AU$3=Steps,MAX(IF(CallPut=1,UndTree!AU44-Strike,Strike-UndTree!AU44),0),MAX((2-AmEur)*IF(CallPut=1,UndTree!AU44-Strike,Strike-UndTree!AU44),(UpProb*AV44+DownProb*AV45)*StepDiscount)))</f>
        <v>1.4962500440507292E-7</v>
      </c>
      <c r="AV44" s="17">
        <f>IF(AV$3="","",IF(AV$3=Steps,MAX(IF(CallPut=1,UndTree!AV44-Strike,Strike-UndTree!AV44),0),MAX((2-AmEur)*IF(CallPut=1,UndTree!AV44-Strike,Strike-UndTree!AV44),(UpProb*AW44+DownProb*AW45)*StepDiscount)))</f>
        <v>2.555332056570255E-7</v>
      </c>
      <c r="AW44" s="17">
        <f>IF(AW$3="","",IF(AW$3=Steps,MAX(IF(CallPut=1,UndTree!AW44-Strike,Strike-UndTree!AW44),0),MAX((2-AmEur)*IF(CallPut=1,UndTree!AW44-Strike,Strike-UndTree!AW44),(UpProb*AX44+DownProb*AX45)*StepDiscount)))</f>
        <v>4.352262550127365E-7</v>
      </c>
      <c r="AX44" s="17">
        <f>IF(AX$3="","",IF(AX$3=Steps,MAX(IF(CallPut=1,UndTree!AX44-Strike,Strike-UndTree!AX44),0),MAX((2-AmEur)*IF(CallPut=1,UndTree!AX44-Strike,Strike-UndTree!AX44),(UpProb*AY44+DownProb*AY45)*StepDiscount)))</f>
        <v>7.3920789076374894E-7</v>
      </c>
      <c r="AY44" s="17">
        <f>IF(AY$3="","",IF(AY$3=Steps,MAX(IF(CallPut=1,UndTree!AY44-Strike,Strike-UndTree!AY44),0),MAX((2-AmEur)*IF(CallPut=1,UndTree!AY44-Strike,Strike-UndTree!AY44),(UpProb*AZ44+DownProb*AZ45)*StepDiscount)))</f>
        <v>1.2518691687921982E-6</v>
      </c>
      <c r="AZ44" s="17">
        <f>IF(AZ$3="","",IF(AZ$3=Steps,MAX(IF(CallPut=1,UndTree!AZ44-Strike,Strike-UndTree!AZ44),0),MAX((2-AmEur)*IF(CallPut=1,UndTree!AZ44-Strike,Strike-UndTree!AZ44),(UpProb*BA44+DownProb*BA45)*StepDiscount)))</f>
        <v>2.1137175647107445E-6</v>
      </c>
      <c r="BA44" s="17">
        <f>IF(BA$3="","",IF(BA$3=Steps,MAX(IF(CallPut=1,UndTree!BA44-Strike,Strike-UndTree!BA44),0),MAX((2-AmEur)*IF(CallPut=1,UndTree!BA44-Strike,Strike-UndTree!BA44),(UpProb*BB44+DownProb*BB45)*StepDiscount)))</f>
        <v>3.5578123872495967E-6</v>
      </c>
      <c r="BB44" s="17">
        <f>IF(BB$3="","",IF(BB$3=Steps,MAX(IF(CallPut=1,UndTree!BB44-Strike,Strike-UndTree!BB44),0),MAX((2-AmEur)*IF(CallPut=1,UndTree!BB44-Strike,Strike-UndTree!BB44),(UpProb*BC44+DownProb*BC45)*StepDiscount)))</f>
        <v>5.9692124350740966E-6</v>
      </c>
      <c r="BC44" s="17">
        <f>IF(BC$3="","",IF(BC$3=Steps,MAX(IF(CallPut=1,UndTree!BC44-Strike,Strike-UndTree!BC44),0),MAX((2-AmEur)*IF(CallPut=1,UndTree!BC44-Strike,Strike-UndTree!BC44),(UpProb*BD44+DownProb*BD45)*StepDiscount)))</f>
        <v>9.9815044163567127E-6</v>
      </c>
      <c r="BD44" s="17">
        <f>IF(BD$3="","",IF(BD$3=Steps,MAX(IF(CallPut=1,UndTree!BD44-Strike,Strike-UndTree!BD44),0),MAX((2-AmEur)*IF(CallPut=1,UndTree!BD44-Strike,Strike-UndTree!BD44),(UpProb*BE44+DownProb*BE45)*StepDiscount)))</f>
        <v>1.6632749954654133E-5</v>
      </c>
      <c r="BE44" s="17">
        <f>IF(BE$3="","",IF(BE$3=Steps,MAX(IF(CallPut=1,UndTree!BE44-Strike,Strike-UndTree!BE44),0),MAX((2-AmEur)*IF(CallPut=1,UndTree!BE44-Strike,Strike-UndTree!BE44),(UpProb*BF44+DownProb*BF45)*StepDiscount)))</f>
        <v>2.7616086759549978E-5</v>
      </c>
      <c r="BF44" s="17">
        <f>IF(BF$3="","",IF(BF$3=Steps,MAX(IF(CallPut=1,UndTree!BF44-Strike,Strike-UndTree!BF44),0),MAX((2-AmEur)*IF(CallPut=1,UndTree!BF44-Strike,Strike-UndTree!BF44),(UpProb*BG44+DownProb*BG45)*StepDiscount)))</f>
        <v>4.5680176397767984E-5</v>
      </c>
      <c r="BG44" s="17">
        <f>IF(BG$3="","",IF(BG$3=Steps,MAX(IF(CallPut=1,UndTree!BG44-Strike,Strike-UndTree!BG44),0),MAX((2-AmEur)*IF(CallPut=1,UndTree!BG44-Strike,Strike-UndTree!BG44),(UpProb*BH44+DownProb*BH45)*StepDiscount)))</f>
        <v>7.5265305597962021E-5</v>
      </c>
      <c r="BH44" s="17">
        <f>IF(BH$3="","",IF(BH$3=Steps,MAX(IF(CallPut=1,UndTree!BH44-Strike,Strike-UndTree!BH44),0),MAX((2-AmEur)*IF(CallPut=1,UndTree!BH44-Strike,Strike-UndTree!BH44),(UpProb*BI44+DownProb*BI45)*StepDiscount)))</f>
        <v>1.235074747577222E-4</v>
      </c>
      <c r="BI44" s="17">
        <f>IF(BI$3="","",IF(BI$3=Steps,MAX(IF(CallPut=1,UndTree!BI44-Strike,Strike-UndTree!BI44),0),MAX((2-AmEur)*IF(CallPut=1,UndTree!BI44-Strike,Strike-UndTree!BI44),(UpProb*BJ44+DownProb*BJ45)*StepDiscount)))</f>
        <v>2.0181279988976965E-4</v>
      </c>
      <c r="BJ44" s="17">
        <f>IF(BJ$3="","",IF(BJ$3=Steps,MAX(IF(CallPut=1,UndTree!BJ44-Strike,Strike-UndTree!BJ44),0),MAX((2-AmEur)*IF(CallPut=1,UndTree!BJ44-Strike,Strike-UndTree!BJ44),(UpProb*BK44+DownProb*BK45)*StepDiscount)))</f>
        <v>3.2830867705527564E-4</v>
      </c>
      <c r="BK44" s="17">
        <f>IF(BK$3="","",IF(BK$3=Steps,MAX(IF(CallPut=1,UndTree!BK44-Strike,Strike-UndTree!BK44),0),MAX((2-AmEur)*IF(CallPut=1,UndTree!BK44-Strike,Strike-UndTree!BK44),(UpProb*BL44+DownProb*BL45)*StepDiscount)))</f>
        <v>5.3163115256628216E-4</v>
      </c>
      <c r="BL44" s="17">
        <f>IF(BL$3="","",IF(BL$3=Steps,MAX(IF(CallPut=1,UndTree!BL44-Strike,Strike-UndTree!BL44),0),MAX((2-AmEur)*IF(CallPut=1,UndTree!BL44-Strike,Strike-UndTree!BL44),(UpProb*BM44+DownProb*BM45)*StepDiscount)))</f>
        <v>8.5672967290490831E-4</v>
      </c>
      <c r="BM44" s="17">
        <f>IF(BM$3="","",IF(BM$3=Steps,MAX(IF(CallPut=1,UndTree!BM44-Strike,Strike-UndTree!BM44),0),MAX((2-AmEur)*IF(CallPut=1,UndTree!BM44-Strike,Strike-UndTree!BM44),(UpProb*BN44+DownProb*BN45)*StepDiscount)))</f>
        <v>1.3736867945077834E-3</v>
      </c>
      <c r="BN44" s="17">
        <f>IF(BN$3="","",IF(BN$3=Steps,MAX(IF(CallPut=1,UndTree!BN44-Strike,Strike-UndTree!BN44),0),MAX((2-AmEur)*IF(CallPut=1,UndTree!BN44-Strike,Strike-UndTree!BN44),(UpProb*BO44+DownProb*BO45)*StepDiscount)))</f>
        <v>2.1909940303502014E-3</v>
      </c>
      <c r="BO44" s="17">
        <f>IF(BO$3="","",IF(BO$3=Steps,MAX(IF(CallPut=1,UndTree!BO44-Strike,Strike-UndTree!BO44),0),MAX((2-AmEur)*IF(CallPut=1,UndTree!BO44-Strike,Strike-UndTree!BO44),(UpProb*BP44+DownProb*BP45)*StepDiscount)))</f>
        <v>3.4753343219611288E-3</v>
      </c>
      <c r="BP44" s="17">
        <f>IF(BP$3="","",IF(BP$3=Steps,MAX(IF(CallPut=1,UndTree!BP44-Strike,Strike-UndTree!BP44),0),MAX((2-AmEur)*IF(CallPut=1,UndTree!BP44-Strike,Strike-UndTree!BP44),(UpProb*BQ44+DownProb*BQ45)*StepDiscount)))</f>
        <v>5.4807385433746931E-3</v>
      </c>
      <c r="BQ44" s="17">
        <f>IF(BQ$3="","",IF(BQ$3=Steps,MAX(IF(CallPut=1,UndTree!BQ44-Strike,Strike-UndTree!BQ44),0),MAX((2-AmEur)*IF(CallPut=1,UndTree!BQ44-Strike,Strike-UndTree!BQ44),(UpProb*BR44+DownProb*BR45)*StepDiscount)))</f>
        <v>8.5910469859030985E-3</v>
      </c>
      <c r="BR44" s="17">
        <f>IF(BR$3="","",IF(BR$3=Steps,MAX(IF(CallPut=1,UndTree!BR44-Strike,Strike-UndTree!BR44),0),MAX((2-AmEur)*IF(CallPut=1,UndTree!BR44-Strike,Strike-UndTree!BR44),(UpProb*BS44+DownProb*BS45)*StepDiscount)))</f>
        <v>1.3380941112255127E-2</v>
      </c>
      <c r="BS44" s="17">
        <f>IF(BS$3="","",IF(BS$3=Steps,MAX(IF(CallPut=1,UndTree!BS44-Strike,Strike-UndTree!BS44),0),MAX((2-AmEur)*IF(CallPut=1,UndTree!BS44-Strike,Strike-UndTree!BS44),(UpProb*BT44+DownProb*BT45)*StepDiscount)))</f>
        <v>2.070240488754942E-2</v>
      </c>
      <c r="BT44" s="17">
        <f>IF(BT$3="","",IF(BT$3=Steps,MAX(IF(CallPut=1,UndTree!BT44-Strike,Strike-UndTree!BT44),0),MAX((2-AmEur)*IF(CallPut=1,UndTree!BT44-Strike,Strike-UndTree!BT44),(UpProb*BU44+DownProb*BU45)*StepDiscount)))</f>
        <v>3.1805250277737278E-2</v>
      </c>
      <c r="BU44" s="17">
        <f>IF(BU$3="","",IF(BU$3=Steps,MAX(IF(CallPut=1,UndTree!BU44-Strike,Strike-UndTree!BU44),0),MAX((2-AmEur)*IF(CallPut=1,UndTree!BU44-Strike,Strike-UndTree!BU44),(UpProb*BV44+DownProb*BV45)*StepDiscount)))</f>
        <v>4.8502106050977711E-2</v>
      </c>
      <c r="BV44" s="17">
        <f>IF(BV$3="","",IF(BV$3=Steps,MAX(IF(CallPut=1,UndTree!BV44-Strike,Strike-UndTree!BV44),0),MAX((2-AmEur)*IF(CallPut=1,UndTree!BV44-Strike,Strike-UndTree!BV44),(UpProb*BW44+DownProb*BW45)*StepDiscount)))</f>
        <v>7.338965580526001E-2</v>
      </c>
      <c r="BW44" s="17">
        <f>IF(BW$3="","",IF(BW$3=Steps,MAX(IF(CallPut=1,UndTree!BW44-Strike,Strike-UndTree!BW44),0),MAX((2-AmEur)*IF(CallPut=1,UndTree!BW44-Strike,Strike-UndTree!BW44),(UpProb*BX44+DownProb*BX45)*StepDiscount)))</f>
        <v>0.11013830519352907</v>
      </c>
      <c r="BX44" s="17">
        <f>IF(BX$3="","",IF(BX$3=Steps,MAX(IF(CallPut=1,UndTree!BX44-Strike,Strike-UndTree!BX44),0),MAX((2-AmEur)*IF(CallPut=1,UndTree!BX44-Strike,Strike-UndTree!BX44),(UpProb*BY44+DownProb*BY45)*StepDiscount)))</f>
        <v>0.16386092442052358</v>
      </c>
      <c r="BY44" s="17">
        <f>IF(BY$3="","",IF(BY$3=Steps,MAX(IF(CallPut=1,UndTree!BY44-Strike,Strike-UndTree!BY44),0),MAX((2-AmEur)*IF(CallPut=1,UndTree!BY44-Strike,Strike-UndTree!BY44),(UpProb*BZ44+DownProb*BZ45)*StepDiscount)))</f>
        <v>0.2415665495885542</v>
      </c>
      <c r="BZ44" s="17">
        <f>IF(BZ$3="","",IF(BZ$3=Steps,MAX(IF(CallPut=1,UndTree!BZ44-Strike,Strike-UndTree!BZ44),0),MAX((2-AmEur)*IF(CallPut=1,UndTree!BZ44-Strike,Strike-UndTree!BZ44),(UpProb*CA44+DownProb*CA45)*StepDiscount)))</f>
        <v>0.35269529789863285</v>
      </c>
      <c r="CA44" s="17">
        <f>IF(CA$3="","",IF(CA$3=Steps,MAX(IF(CallPut=1,UndTree!CA44-Strike,Strike-UndTree!CA44),0),MAX((2-AmEur)*IF(CallPut=1,UndTree!CA44-Strike,Strike-UndTree!CA44),(UpProb*CB44+DownProb*CB45)*StepDiscount)))</f>
        <v>0.50971445745001009</v>
      </c>
      <c r="CB44" s="17">
        <f>IF(CB$3="","",IF(CB$3=Steps,MAX(IF(CallPut=1,UndTree!CB44-Strike,Strike-UndTree!CB44),0),MAX((2-AmEur)*IF(CallPut=1,UndTree!CB44-Strike,Strike-UndTree!CB44),(UpProb*CC44+DownProb*CC45)*StepDiscount)))</f>
        <v>0.72873120767144894</v>
      </c>
      <c r="CC44" s="17">
        <f>IF(CC$3="","",IF(CC$3=Steps,MAX(IF(CallPut=1,UndTree!CC44-Strike,Strike-UndTree!CC44),0),MAX((2-AmEur)*IF(CallPut=1,UndTree!CC44-Strike,Strike-UndTree!CC44),(UpProb*CD44+DownProb*CD45)*StepDiscount)))</f>
        <v>1.0300441856241005</v>
      </c>
      <c r="CD44" s="17">
        <f>IF(CD$3="","",IF(CD$3=Steps,MAX(IF(CallPut=1,UndTree!CD44-Strike,Strike-UndTree!CD44),0),MAX((2-AmEur)*IF(CallPut=1,UndTree!CD44-Strike,Strike-UndTree!CD44),(UpProb*CE44+DownProb*CE45)*StepDiscount)))</f>
        <v>1.4385158136034888</v>
      </c>
      <c r="CE44" s="17">
        <f>IF(CE$3="","",IF(CE$3=Steps,MAX(IF(CallPut=1,UndTree!CE44-Strike,Strike-UndTree!CE44),0),MAX((2-AmEur)*IF(CallPut=1,UndTree!CE44-Strike,Strike-UndTree!CE44),(UpProb*CF44+DownProb*CF45)*StepDiscount)))</f>
        <v>1.9836053860743645</v>
      </c>
      <c r="CF44" s="17">
        <f>IF(CF$3="","",IF(CF$3=Steps,MAX(IF(CallPut=1,UndTree!CF44-Strike,Strike-UndTree!CF44),0),MAX((2-AmEur)*IF(CallPut=1,UndTree!CF44-Strike,Strike-UndTree!CF44),(UpProb*CG44+DownProb*CG45)*StepDiscount)))</f>
        <v>2.6988702426737898</v>
      </c>
      <c r="CG44" s="17">
        <f>IF(CG$3="","",IF(CG$3=Steps,MAX(IF(CallPut=1,UndTree!CG44-Strike,Strike-UndTree!CG44),0),MAX((2-AmEur)*IF(CallPut=1,UndTree!CG44-Strike,Strike-UndTree!CG44),(UpProb*CH44+DownProb*CH45)*StepDiscount)))</f>
        <v>3.6207362849975913</v>
      </c>
      <c r="CH44" s="17">
        <f>IF(CH$3="","",IF(CH$3=Steps,MAX(IF(CallPut=1,UndTree!CH44-Strike,Strike-UndTree!CH44),0),MAX((2-AmEur)*IF(CallPut=1,UndTree!CH44-Strike,Strike-UndTree!CH44),(UpProb*CI44+DownProb*CI45)*StepDiscount)))</f>
        <v>4.7863827370973118</v>
      </c>
      <c r="CI44" s="17">
        <f>IF(CI$3="","",IF(CI$3=Steps,MAX(IF(CallPut=1,UndTree!CI44-Strike,Strike-UndTree!CI44),0),MAX((2-AmEur)*IF(CallPut=1,UndTree!CI44-Strike,Strike-UndTree!CI44),(UpProb*CJ44+DownProb*CJ45)*StepDiscount)))</f>
        <v>6.2307039786779761</v>
      </c>
      <c r="CJ44" s="17">
        <f>IF(CJ$3="","",IF(CJ$3=Steps,MAX(IF(CallPut=1,UndTree!CJ44-Strike,Strike-UndTree!CJ44),0),MAX((2-AmEur)*IF(CallPut=1,UndTree!CJ44-Strike,Strike-UndTree!CJ44),(UpProb*CK44+DownProb*CK45)*StepDiscount)))</f>
        <v>7.9825198793298187</v>
      </c>
      <c r="CK44" s="17">
        <f>IF(CK$3="","",IF(CK$3=Steps,MAX(IF(CallPut=1,UndTree!CK44-Strike,Strike-UndTree!CK44),0),MAX((2-AmEur)*IF(CallPut=1,UndTree!CK44-Strike,Strike-UndTree!CK44),(UpProb*CL44+DownProb*CL45)*StepDiscount)))</f>
        <v>10.060497708119229</v>
      </c>
      <c r="CL44" s="17">
        <f>IF(CL$3="","",IF(CL$3=Steps,MAX(IF(CallPut=1,UndTree!CL44-Strike,Strike-UndTree!CL44),0),MAX((2-AmEur)*IF(CallPut=1,UndTree!CL44-Strike,Strike-UndTree!CL44),(UpProb*CM44+DownProb*CM45)*StepDiscount)))</f>
        <v>12.469572106987814</v>
      </c>
      <c r="CM44" s="17">
        <f>IF(CM$3="","",IF(CM$3=Steps,MAX(IF(CallPut=1,UndTree!CM44-Strike,Strike-UndTree!CM44),0),MAX((2-AmEur)*IF(CallPut=1,UndTree!CM44-Strike,Strike-UndTree!CM44),(UpProb*CN44+DownProb*CN45)*StepDiscount)))</f>
        <v>15.198894542824945</v>
      </c>
      <c r="CN44" s="17">
        <f>IF(CN$3="","",IF(CN$3=Steps,MAX(IF(CallPut=1,UndTree!CN44-Strike,Strike-UndTree!CN44),0),MAX((2-AmEur)*IF(CallPut=1,UndTree!CN44-Strike,Strike-UndTree!CN44),(UpProb*CO44+DownProb*CO45)*StepDiscount)))</f>
        <v>18.222345816275062</v>
      </c>
      <c r="CO44" s="17">
        <f>IF(CO$3="","",IF(CO$3=Steps,MAX(IF(CallPut=1,UndTree!CO44-Strike,Strike-UndTree!CO44),0),MAX((2-AmEur)*IF(CallPut=1,UndTree!CO44-Strike,Strike-UndTree!CO44),(UpProb*CP44+DownProb*CP45)*StepDiscount)))</f>
        <v>21.502233125477499</v>
      </c>
      <c r="CP44" s="17">
        <f>IF(CP$3="","",IF(CP$3=Steps,MAX(IF(CallPut=1,UndTree!CP44-Strike,Strike-UndTree!CP44),0),MAX((2-AmEur)*IF(CallPut=1,UndTree!CP44-Strike,Strike-UndTree!CP44),(UpProb*CQ44+DownProb*CQ45)*StepDiscount)))</f>
        <v>24.995892465132989</v>
      </c>
      <c r="CQ44" s="17">
        <f>IF(CQ$3="","",IF(CQ$3=Steps,MAX(IF(CallPut=1,UndTree!CQ44-Strike,Strike-UndTree!CQ44),0),MAX((2-AmEur)*IF(CallPut=1,UndTree!CQ44-Strike,Strike-UndTree!CQ44),(UpProb*CR44+DownProb*CR45)*StepDiscount)))</f>
        <v>28.663696493383704</v>
      </c>
      <c r="CR44" s="17">
        <f>IF(CR$3="","",IF(CR$3=Steps,MAX(IF(CallPut=1,UndTree!CR44-Strike,Strike-UndTree!CR44),0),MAX((2-AmEur)*IF(CallPut=1,UndTree!CR44-Strike,Strike-UndTree!CR44),(UpProb*CS44+DownProb*CS45)*StepDiscount)))</f>
        <v>32.475945552494828</v>
      </c>
      <c r="CS44" s="17">
        <f>IF(CS$3="","",IF(CS$3=Steps,MAX(IF(CallPut=1,UndTree!CS44-Strike,Strike-UndTree!CS44),0),MAX((2-AmEur)*IF(CallPut=1,UndTree!CS44-Strike,Strike-UndTree!CS44),(UpProb*CT44+DownProb*CT45)*StepDiscount)))</f>
        <v>36.416068474683883</v>
      </c>
      <c r="CT44" s="17">
        <f>IF(CT$3="","",IF(CT$3=Steps,MAX(IF(CallPut=1,UndTree!CT44-Strike,Strike-UndTree!CT44),0),MAX((2-AmEur)*IF(CallPut=1,UndTree!CT44-Strike,Strike-UndTree!CT44),(UpProb*CU44+DownProb*CU45)*StepDiscount)))</f>
        <v>40.479045618056254</v>
      </c>
      <c r="CU44" s="17">
        <f>IF(CU$3="","",IF(CU$3=Steps,MAX(IF(CallPut=1,UndTree!CU44-Strike,Strike-UndTree!CU44),0),MAX((2-AmEur)*IF(CallPut=1,UndTree!CU44-Strike,Strike-UndTree!CU44),(UpProb*CV44+DownProb*CV45)*StepDiscount)))</f>
        <v>44.666577714441971</v>
      </c>
      <c r="CV44" s="17">
        <f>IF(CV$3="","",IF(CV$3=Steps,MAX(IF(CallPut=1,UndTree!CV44-Strike,Strike-UndTree!CV44),0),MAX((2-AmEur)*IF(CallPut=1,UndTree!CV44-Strike,Strike-UndTree!CV44),(UpProb*CW44+DownProb*CW45)*StepDiscount)))</f>
        <v>48.982436181291824</v>
      </c>
      <c r="CW44" s="17">
        <f>IF(CW$3="","",IF(CW$3=Steps,MAX(IF(CallPut=1,UndTree!CW44-Strike,Strike-UndTree!CW44),0),MAX((2-AmEur)*IF(CallPut=1,UndTree!CW44-Strike,Strike-UndTree!CW44),(UpProb*CX44+DownProb*CX45)*StepDiscount)))</f>
        <v>53.430506606952321</v>
      </c>
      <c r="CX44" s="17">
        <f>IF(CX$3="","",IF(CX$3=Steps,MAX(IF(CallPut=1,UndTree!CX44-Strike,Strike-UndTree!CX44),0),MAX((2-AmEur)*IF(CallPut=1,UndTree!CX44-Strike,Strike-UndTree!CX44),(UpProb*CY44+DownProb*CY45)*StepDiscount)))</f>
        <v>58.014792206915665</v>
      </c>
      <c r="CY44" s="17">
        <f>IF(CY$3="","",IF(CY$3=Steps,MAX(IF(CallPut=1,UndTree!CY44-Strike,Strike-UndTree!CY44),0),MAX((2-AmEur)*IF(CallPut=1,UndTree!CY44-Strike,Strike-UndTree!CY44),(UpProb*CZ44+DownProb*CZ45)*StepDiscount)))</f>
        <v>62.739417384709583</v>
      </c>
      <c r="CZ44" s="17">
        <f>IF(CZ$3="","",IF(CZ$3=Steps,MAX(IF(CallPut=1,UndTree!CZ44-Strike,Strike-UndTree!CZ44),0),MAX((2-AmEur)*IF(CallPut=1,UndTree!CZ44-Strike,Strike-UndTree!CZ44),(UpProb*DA44+DownProb*DA45)*StepDiscount)))</f>
        <v>67.608631400629562</v>
      </c>
      <c r="DA44" s="17">
        <f>IF(DA$3="","",IF(DA$3=Steps,MAX(IF(CallPut=1,UndTree!DA44-Strike,Strike-UndTree!DA44),0),MAX((2-AmEur)*IF(CallPut=1,UndTree!DA44-Strike,Strike-UndTree!DA44),(UpProb*DB44+DownProb*DB45)*StepDiscount)))</f>
        <v>72.626812151494306</v>
      </c>
      <c r="DB44" s="17">
        <f>IF(DB$3="","",IF(DB$3=Steps,MAX(IF(CallPut=1,UndTree!DB44-Strike,Strike-UndTree!DB44),0),MAX((2-AmEur)*IF(CallPut=1,UndTree!DB44-Strike,Strike-UndTree!DB44),(UpProb*DC44+DownProb*DC45)*StepDiscount)))</f>
        <v>77.798470063899998</v>
      </c>
    </row>
    <row r="45" spans="1:106" x14ac:dyDescent="0.2">
      <c r="A45">
        <f>ExDivTree!A45</f>
        <v>3.3862674359172785E+28</v>
      </c>
      <c r="B45" s="71">
        <f>ExDivTree!B45</f>
        <v>1.3356469974090695E-2</v>
      </c>
      <c r="C45" s="71">
        <f>ExDivTree!C45</f>
        <v>1.4041333205129321E-2</v>
      </c>
      <c r="D45" s="177">
        <f>ExDivTree!D45</f>
        <v>41</v>
      </c>
      <c r="AT45" s="17">
        <f>IF(AT$3="","",IF(AT$3=Steps,MAX(IF(CallPut=1,UndTree!AT45-Strike,Strike-UndTree!AT45),0),MAX((2-AmEur)*IF(CallPut=1,UndTree!AT45-Strike,Strike-UndTree!AT45),(UpProb*AU45+DownProb*AU46)*StepDiscount)))</f>
        <v>1.4283736685463152E-8</v>
      </c>
      <c r="AU45" s="17">
        <f>IF(AU$3="","",IF(AU$3=Steps,MAX(IF(CallPut=1,UndTree!AU45-Strike,Strike-UndTree!AU45),0),MAX((2-AmEur)*IF(CallPut=1,UndTree!AU45-Strike,Strike-UndTree!AU45),(UpProb*AV45+DownProb*AV46)*StepDiscount)))</f>
        <v>2.4901382700041419E-8</v>
      </c>
      <c r="AV45" s="17">
        <f>IF(AV$3="","",IF(AV$3=Steps,MAX(IF(CallPut=1,UndTree!AV45-Strike,Strike-UndTree!AV45),0),MAX((2-AmEur)*IF(CallPut=1,UndTree!AV45-Strike,Strike-UndTree!AV45),(UpProb*AW45+DownProb*AW46)*StepDiscount)))</f>
        <v>4.3311818793541426E-8</v>
      </c>
      <c r="AW45" s="17">
        <f>IF(AW$3="","",IF(AW$3=Steps,MAX(IF(CallPut=1,UndTree!AW45-Strike,Strike-UndTree!AW45),0),MAX((2-AmEur)*IF(CallPut=1,UndTree!AW45-Strike,Strike-UndTree!AW45),(UpProb*AX45+DownProb*AX46)*StepDiscount)))</f>
        <v>7.5154783519505166E-8</v>
      </c>
      <c r="AX45" s="17">
        <f>IF(AX$3="","",IF(AX$3=Steps,MAX(IF(CallPut=1,UndTree!AX45-Strike,Strike-UndTree!AX45),0),MAX((2-AmEur)*IF(CallPut=1,UndTree!AX45-Strike,Strike-UndTree!AX45),(UpProb*AY45+DownProb*AY46)*StepDiscount)))</f>
        <v>1.3008830501970534E-7</v>
      </c>
      <c r="AY45" s="17">
        <f>IF(AY$3="","",IF(AY$3=Steps,MAX(IF(CallPut=1,UndTree!AY45-Strike,Strike-UndTree!AY45),0),MAX((2-AmEur)*IF(CallPut=1,UndTree!AY45-Strike,Strike-UndTree!AY45),(UpProb*AZ45+DownProb*AZ46)*StepDiscount)))</f>
        <v>2.2460199581126952E-7</v>
      </c>
      <c r="AZ45" s="17">
        <f>IF(AZ$3="","",IF(AZ$3=Steps,MAX(IF(CallPut=1,UndTree!AZ45-Strike,Strike-UndTree!AZ45),0),MAX((2-AmEur)*IF(CallPut=1,UndTree!AZ45-Strike,Strike-UndTree!AZ45),(UpProb*BA45+DownProb*BA46)*StepDiscount)))</f>
        <v>3.8676130172956998E-7</v>
      </c>
      <c r="BA45" s="17">
        <f>IF(BA$3="","",IF(BA$3=Steps,MAX(IF(CallPut=1,UndTree!BA45-Strike,Strike-UndTree!BA45),0),MAX((2-AmEur)*IF(CallPut=1,UndTree!BA45-Strike,Strike-UndTree!BA45),(UpProb*BB45+DownProb*BB46)*StepDiscount)))</f>
        <v>6.6417824745879063E-7</v>
      </c>
      <c r="BB45" s="17">
        <f>IF(BB$3="","",IF(BB$3=Steps,MAX(IF(CallPut=1,UndTree!BB45-Strike,Strike-UndTree!BB45),0),MAX((2-AmEur)*IF(CallPut=1,UndTree!BB45-Strike,Strike-UndTree!BB45),(UpProb*BC45+DownProb*BC46)*StepDiscount)))</f>
        <v>1.1373507513250498E-6</v>
      </c>
      <c r="BC45" s="17">
        <f>IF(BC$3="","",IF(BC$3=Steps,MAX(IF(CallPut=1,UndTree!BC45-Strike,Strike-UndTree!BC45),0),MAX((2-AmEur)*IF(CallPut=1,UndTree!BC45-Strike,Strike-UndTree!BC45),(UpProb*BD45+DownProb*BD46)*StepDiscount)))</f>
        <v>1.9418951777742696E-6</v>
      </c>
      <c r="BD45" s="17">
        <f>IF(BD$3="","",IF(BD$3=Steps,MAX(IF(CallPut=1,UndTree!BD45-Strike,Strike-UndTree!BD45),0),MAX((2-AmEur)*IF(CallPut=1,UndTree!BD45-Strike,Strike-UndTree!BD45),(UpProb*BE45+DownProb*BE46)*StepDiscount)))</f>
        <v>3.3054422395989325E-6</v>
      </c>
      <c r="BE45" s="17">
        <f>IF(BE$3="","",IF(BE$3=Steps,MAX(IF(CallPut=1,UndTree!BE45-Strike,Strike-UndTree!BE45),0),MAX((2-AmEur)*IF(CallPut=1,UndTree!BE45-Strike,Strike-UndTree!BE45),(UpProb*BF45+DownProb*BF46)*StepDiscount)))</f>
        <v>5.6085913429776117E-6</v>
      </c>
      <c r="BF45" s="17">
        <f>IF(BF$3="","",IF(BF$3=Steps,MAX(IF(CallPut=1,UndTree!BF45-Strike,Strike-UndTree!BF45),0),MAX((2-AmEur)*IF(CallPut=1,UndTree!BF45-Strike,Strike-UndTree!BF45),(UpProb*BG45+DownProb*BG46)*StepDiscount)))</f>
        <v>9.4851332145213738E-6</v>
      </c>
      <c r="BG45" s="17">
        <f>IF(BG$3="","",IF(BG$3=Steps,MAX(IF(CallPut=1,UndTree!BG45-Strike,Strike-UndTree!BG45),0),MAX((2-AmEur)*IF(CallPut=1,UndTree!BG45-Strike,Strike-UndTree!BG45),(UpProb*BH45+DownProb*BH46)*StepDiscount)))</f>
        <v>1.5986014284237783E-5</v>
      </c>
      <c r="BH45" s="17">
        <f>IF(BH$3="","",IF(BH$3=Steps,MAX(IF(CallPut=1,UndTree!BH45-Strike,Strike-UndTree!BH45),0),MAX((2-AmEur)*IF(CallPut=1,UndTree!BH45-Strike,Strike-UndTree!BH45),(UpProb*BI45+DownProb*BI46)*StepDiscount)))</f>
        <v>2.6846166295960695E-5</v>
      </c>
      <c r="BI45" s="17">
        <f>IF(BI$3="","",IF(BI$3=Steps,MAX(IF(CallPut=1,UndTree!BI45-Strike,Strike-UndTree!BI45),0),MAX((2-AmEur)*IF(CallPut=1,UndTree!BI45-Strike,Strike-UndTree!BI45),(UpProb*BJ45+DownProb*BJ46)*StepDiscount)))</f>
        <v>4.4916309903946873E-5</v>
      </c>
      <c r="BJ45" s="17">
        <f>IF(BJ$3="","",IF(BJ$3=Steps,MAX(IF(CallPut=1,UndTree!BJ45-Strike,Strike-UndTree!BJ45),0),MAX((2-AmEur)*IF(CallPut=1,UndTree!BJ45-Strike,Strike-UndTree!BJ45),(UpProb*BK45+DownProb*BK46)*StepDiscount)))</f>
        <v>7.4857595810481374E-5</v>
      </c>
      <c r="BK45" s="17">
        <f>IF(BK$3="","",IF(BK$3=Steps,MAX(IF(CallPut=1,UndTree!BK45-Strike,Strike-UndTree!BK45),0),MAX((2-AmEur)*IF(CallPut=1,UndTree!BK45-Strike,Strike-UndTree!BK45),(UpProb*BL45+DownProb*BL46)*StepDiscount)))</f>
        <v>1.2425204853035125E-4</v>
      </c>
      <c r="BL45" s="17">
        <f>IF(BL$3="","",IF(BL$3=Steps,MAX(IF(CallPut=1,UndTree!BL45-Strike,Strike-UndTree!BL45),0),MAX((2-AmEur)*IF(CallPut=1,UndTree!BL45-Strike,Strike-UndTree!BL45),(UpProb*BM45+DownProb*BM46)*StepDiscount)))</f>
        <v>2.0536583181173486E-4</v>
      </c>
      <c r="BM45" s="17">
        <f>IF(BM$3="","",IF(BM$3=Steps,MAX(IF(CallPut=1,UndTree!BM45-Strike,Strike-UndTree!BM45),0),MAX((2-AmEur)*IF(CallPut=1,UndTree!BM45-Strike,Strike-UndTree!BM45),(UpProb*BN45+DownProb*BN46)*StepDiscount)))</f>
        <v>3.3792914069572427E-4</v>
      </c>
      <c r="BN45" s="17">
        <f>IF(BN$3="","",IF(BN$3=Steps,MAX(IF(CallPut=1,UndTree!BN45-Strike,Strike-UndTree!BN45),0),MAX((2-AmEur)*IF(CallPut=1,UndTree!BN45-Strike,Strike-UndTree!BN45),(UpProb*BO45+DownProb*BO46)*StepDiscount)))</f>
        <v>5.534853987409832E-4</v>
      </c>
      <c r="BO45" s="17">
        <f>IF(BO$3="","",IF(BO$3=Steps,MAX(IF(CallPut=1,UndTree!BO45-Strike,Strike-UndTree!BO45),0),MAX((2-AmEur)*IF(CallPut=1,UndTree!BO45-Strike,Strike-UndTree!BO45),(UpProb*BP45+DownProb*BP46)*StepDiscount)))</f>
        <v>9.0213990822975002E-4</v>
      </c>
      <c r="BP45" s="17">
        <f>IF(BP$3="","",IF(BP$3=Steps,MAX(IF(CallPut=1,UndTree!BP45-Strike,Strike-UndTree!BP45),0),MAX((2-AmEur)*IF(CallPut=1,UndTree!BP45-Strike,Strike-UndTree!BP45),(UpProb*BQ45+DownProb*BQ46)*StepDiscount)))</f>
        <v>1.4629393463550374E-3</v>
      </c>
      <c r="BQ45" s="17">
        <f>IF(BQ$3="","",IF(BQ$3=Steps,MAX(IF(CallPut=1,UndTree!BQ45-Strike,Strike-UndTree!BQ45),0),MAX((2-AmEur)*IF(CallPut=1,UndTree!BQ45-Strike,Strike-UndTree!BQ45),(UpProb*BR45+DownProb*BR46)*StepDiscount)))</f>
        <v>2.3596833451582219E-3</v>
      </c>
      <c r="BR45" s="17">
        <f>IF(BR$3="","",IF(BR$3=Steps,MAX(IF(CallPut=1,UndTree!BR45-Strike,Strike-UndTree!BR45),0),MAX((2-AmEur)*IF(CallPut=1,UndTree!BR45-Strike,Strike-UndTree!BR45),(UpProb*BS45+DownProb*BS46)*StepDiscount)))</f>
        <v>3.7847618213270036E-3</v>
      </c>
      <c r="BS45" s="17">
        <f>IF(BS$3="","",IF(BS$3=Steps,MAX(IF(CallPut=1,UndTree!BS45-Strike,Strike-UndTree!BS45),0),MAX((2-AmEur)*IF(CallPut=1,UndTree!BS45-Strike,Strike-UndTree!BS45),(UpProb*BT45+DownProb*BT46)*StepDiscount)))</f>
        <v>6.0346864103447686E-3</v>
      </c>
      <c r="BT45" s="17">
        <f>IF(BT$3="","",IF(BT$3=Steps,MAX(IF(CallPut=1,UndTree!BT45-Strike,Strike-UndTree!BT45),0),MAX((2-AmEur)*IF(CallPut=1,UndTree!BT45-Strike,Strike-UndTree!BT45),(UpProb*BU45+DownProb*BU46)*StepDiscount)))</f>
        <v>9.5623978335558097E-3</v>
      </c>
      <c r="BU45" s="17">
        <f>IF(BU$3="","",IF(BU$3=Steps,MAX(IF(CallPut=1,UndTree!BU45-Strike,Strike-UndTree!BU45),0),MAX((2-AmEur)*IF(CallPut=1,UndTree!BU45-Strike,Strike-UndTree!BU45),(UpProb*BV45+DownProb*BV46)*StepDiscount)))</f>
        <v>1.5053218978417477E-2</v>
      </c>
      <c r="BV45" s="17">
        <f>IF(BV$3="","",IF(BV$3=Steps,MAX(IF(CallPut=1,UndTree!BV45-Strike,Strike-UndTree!BV45),0),MAX((2-AmEur)*IF(CallPut=1,UndTree!BV45-Strike,Strike-UndTree!BV45),(UpProb*BW45+DownProb*BW46)*StepDiscount)))</f>
        <v>2.3533469644707507E-2</v>
      </c>
      <c r="BW45" s="17">
        <f>IF(BW$3="","",IF(BW$3=Steps,MAX(IF(CallPut=1,UndTree!BW45-Strike,Strike-UndTree!BW45),0),MAX((2-AmEur)*IF(CallPut=1,UndTree!BW45-Strike,Strike-UndTree!BW45),(UpProb*BX45+DownProb*BX46)*StepDiscount)))</f>
        <v>3.6523145177147616E-2</v>
      </c>
      <c r="BX45" s="17">
        <f>IF(BX$3="","",IF(BX$3=Steps,MAX(IF(CallPut=1,UndTree!BX45-Strike,Strike-UndTree!BX45),0),MAX((2-AmEur)*IF(CallPut=1,UndTree!BX45-Strike,Strike-UndTree!BX45),(UpProb*BY45+DownProb*BY46)*StepDiscount)))</f>
        <v>5.6246393860882135E-2</v>
      </c>
      <c r="BY45" s="17">
        <f>IF(BY$3="","",IF(BY$3=Steps,MAX(IF(CallPut=1,UndTree!BY45-Strike,Strike-UndTree!BY45),0),MAX((2-AmEur)*IF(CallPut=1,UndTree!BY45-Strike,Strike-UndTree!BY45),(UpProb*BZ45+DownProb*BZ46)*StepDiscount)))</f>
        <v>8.5915238200335572E-2</v>
      </c>
      <c r="BZ45" s="17">
        <f>IF(BZ$3="","",IF(BZ$3=Steps,MAX(IF(CallPut=1,UndTree!BZ45-Strike,Strike-UndTree!BZ45),0),MAX((2-AmEur)*IF(CallPut=1,UndTree!BZ45-Strike,Strike-UndTree!BZ45),(UpProb*CA45+DownProb*CA46)*StepDiscount)))</f>
        <v>0.13010210961562158</v>
      </c>
      <c r="CA45" s="17">
        <f>IF(CA$3="","",IF(CA$3=Steps,MAX(IF(CallPut=1,UndTree!CA45-Strike,Strike-UndTree!CA45),0),MAX((2-AmEur)*IF(CallPut=1,UndTree!CA45-Strike,Strike-UndTree!CA45),(UpProb*CB45+DownProb*CB46)*StepDiscount)))</f>
        <v>0.19521382847832694</v>
      </c>
      <c r="CB45" s="17">
        <f>IF(CB$3="","",IF(CB$3=Steps,MAX(IF(CallPut=1,UndTree!CB45-Strike,Strike-UndTree!CB45),0),MAX((2-AmEur)*IF(CallPut=1,UndTree!CB45-Strike,Strike-UndTree!CB45),(UpProb*CC45+DownProb*CC46)*StepDiscount)))</f>
        <v>0.29007160403254512</v>
      </c>
      <c r="CC45" s="17">
        <f>IF(CC$3="","",IF(CC$3=Steps,MAX(IF(CallPut=1,UndTree!CC45-Strike,Strike-UndTree!CC45),0),MAX((2-AmEur)*IF(CallPut=1,UndTree!CC45-Strike,Strike-UndTree!CC45),(UpProb*CD45+DownProb*CD46)*StepDiscount)))</f>
        <v>0.42658588069009712</v>
      </c>
      <c r="CD45" s="17">
        <f>IF(CD$3="","",IF(CD$3=Steps,MAX(IF(CallPut=1,UndTree!CD45-Strike,Strike-UndTree!CD45),0),MAX((2-AmEur)*IF(CallPut=1,UndTree!CD45-Strike,Strike-UndTree!CD45),(UpProb*CE45+DownProb*CE46)*StepDiscount)))</f>
        <v>0.62048867784916084</v>
      </c>
      <c r="CE45" s="17">
        <f>IF(CE$3="","",IF(CE$3=Steps,MAX(IF(CallPut=1,UndTree!CE45-Strike,Strike-UndTree!CE45),0),MAX((2-AmEur)*IF(CallPut=1,UndTree!CE45-Strike,Strike-UndTree!CE45),(UpProb*CF45+DownProb*CF46)*StepDiscount)))</f>
        <v>0.89204735421744596</v>
      </c>
      <c r="CF45" s="17">
        <f>IF(CF$3="","",IF(CF$3=Steps,MAX(IF(CallPut=1,UndTree!CF45-Strike,Strike-UndTree!CF45),0),MAX((2-AmEur)*IF(CallPut=1,UndTree!CF45-Strike,Strike-UndTree!CF45),(UpProb*CG45+DownProb*CG46)*StepDiscount)))</f>
        <v>1.2666324707466448</v>
      </c>
      <c r="CG45" s="17">
        <f>IF(CG$3="","",IF(CG$3=Steps,MAX(IF(CallPut=1,UndTree!CG45-Strike,Strike-UndTree!CG45),0),MAX((2-AmEur)*IF(CallPut=1,UndTree!CG45-Strike,Strike-UndTree!CG45),(UpProb*CH45+DownProb*CH46)*StepDiscount)))</f>
        <v>1.7749529768329479</v>
      </c>
      <c r="CH45" s="17">
        <f>IF(CH$3="","",IF(CH$3=Steps,MAX(IF(CallPut=1,UndTree!CH45-Strike,Strike-UndTree!CH45),0),MAX((2-AmEur)*IF(CallPut=1,UndTree!CH45-Strike,Strike-UndTree!CH45),(UpProb*CI45+DownProb*CI46)*StepDiscount)))</f>
        <v>2.4527158935630213</v>
      </c>
      <c r="CI45" s="17">
        <f>IF(CI$3="","",IF(CI$3=Steps,MAX(IF(CallPut=1,UndTree!CI45-Strike,Strike-UndTree!CI45),0),MAX((2-AmEur)*IF(CallPut=1,UndTree!CI45-Strike,Strike-UndTree!CI45),(UpProb*CJ45+DownProb*CJ46)*StepDiscount)))</f>
        <v>3.3394366743700874</v>
      </c>
      <c r="CJ45" s="17">
        <f>IF(CJ$3="","",IF(CJ$3=Steps,MAX(IF(CallPut=1,UndTree!CJ45-Strike,Strike-UndTree!CJ45),0),MAX((2-AmEur)*IF(CallPut=1,UndTree!CJ45-Strike,Strike-UndTree!CJ45),(UpProb*CK45+DownProb*CK46)*StepDiscount)))</f>
        <v>4.4761533248005536</v>
      </c>
      <c r="CK45" s="17">
        <f>IF(CK$3="","",IF(CK$3=Steps,MAX(IF(CallPut=1,UndTree!CK45-Strike,Strike-UndTree!CK45),0),MAX((2-AmEur)*IF(CallPut=1,UndTree!CK45-Strike,Strike-UndTree!CK45),(UpProb*CL45+DownProb*CL46)*StepDiscount)))</f>
        <v>5.901922694555731</v>
      </c>
      <c r="CL45" s="17">
        <f>IF(CL$3="","",IF(CL$3=Steps,MAX(IF(CallPut=1,UndTree!CL45-Strike,Strike-UndTree!CL45),0),MAX((2-AmEur)*IF(CallPut=1,UndTree!CL45-Strike,Strike-UndTree!CL45),(UpProb*CM45+DownProb*CM46)*StepDiscount)))</f>
        <v>7.6492373718038564</v>
      </c>
      <c r="CM45" s="17">
        <f>IF(CM$3="","",IF(CM$3=Steps,MAX(IF(CallPut=1,UndTree!CM45-Strike,Strike-UndTree!CM45),0),MAX((2-AmEur)*IF(CallPut=1,UndTree!CM45-Strike,Strike-UndTree!CM45),(UpProb*CN45+DownProb*CN46)*StepDiscount)))</f>
        <v>9.7389042701030082</v>
      </c>
      <c r="CN45" s="17">
        <f>IF(CN$3="","",IF(CN$3=Steps,MAX(IF(CallPut=1,UndTree!CN45-Strike,Strike-UndTree!CN45),0),MAX((2-AmEur)*IF(CallPut=1,UndTree!CN45-Strike,Strike-UndTree!CN45),(UpProb*CO45+DownProb*CO46)*StepDiscount)))</f>
        <v>12.175415236718619</v>
      </c>
      <c r="CO45" s="17">
        <f>IF(CO$3="","",IF(CO$3=Steps,MAX(IF(CallPut=1,UndTree!CO45-Strike,Strike-UndTree!CO45),0),MAX((2-AmEur)*IF(CallPut=1,UndTree!CO45-Strike,Strike-UndTree!CO45),(UpProb*CP45+DownProb*CP46)*StepDiscount)))</f>
        <v>14.944258621377775</v>
      </c>
      <c r="CP45" s="17">
        <f>IF(CP$3="","",IF(CP$3=Steps,MAX(IF(CallPut=1,UndTree!CP45-Strike,Strike-UndTree!CP45),0),MAX((2-AmEur)*IF(CallPut=1,UndTree!CP45-Strike,Strike-UndTree!CP45),(UpProb*CQ45+DownProb*CQ46)*StepDiscount)))</f>
        <v>18.012699464779946</v>
      </c>
      <c r="CQ45" s="17">
        <f>IF(CQ$3="","",IF(CQ$3=Steps,MAX(IF(CallPut=1,UndTree!CQ45-Strike,Strike-UndTree!CQ45),0),MAX((2-AmEur)*IF(CallPut=1,UndTree!CQ45-Strike,Strike-UndTree!CQ45),(UpProb*CR45+DownProb*CR46)*StepDiscount)))</f>
        <v>21.334975928259453</v>
      </c>
      <c r="CR45" s="17">
        <f>IF(CR$3="","",IF(CR$3=Steps,MAX(IF(CallPut=1,UndTree!CR45-Strike,Strike-UndTree!CR45),0),MAX((2-AmEur)*IF(CallPut=1,UndTree!CR45-Strike,Strike-UndTree!CR45),(UpProb*CS45+DownProb*CS46)*StepDiscount)))</f>
        <v>24.861438394891525</v>
      </c>
      <c r="CS45" s="17">
        <f>IF(CS$3="","",IF(CS$3=Steps,MAX(IF(CallPut=1,UndTree!CS45-Strike,Strike-UndTree!CS45),0),MAX((2-AmEur)*IF(CallPut=1,UndTree!CS45-Strike,Strike-UndTree!CS45),(UpProb*CT45+DownProb*CT46)*StepDiscount)))</f>
        <v>28.549157591841354</v>
      </c>
      <c r="CT45" s="17">
        <f>IF(CT$3="","",IF(CT$3=Steps,MAX(IF(CallPut=1,UndTree!CT45-Strike,Strike-UndTree!CT45),0),MAX((2-AmEur)*IF(CallPut=1,UndTree!CT45-Strike,Strike-UndTree!CT45),(UpProb*CU45+DownProb*CU46)*StepDiscount)))</f>
        <v>32.369931938450996</v>
      </c>
      <c r="CU45" s="17">
        <f>IF(CU$3="","",IF(CU$3=Steps,MAX(IF(CallPut=1,UndTree!CU45-Strike,Strike-UndTree!CU45),0),MAX((2-AmEur)*IF(CallPut=1,UndTree!CU45-Strike,Strike-UndTree!CU45),(UpProb*CV45+DownProb*CV46)*StepDiscount)))</f>
        <v>36.311980402013113</v>
      </c>
      <c r="CV45" s="17">
        <f>IF(CV$3="","",IF(CV$3=Steps,MAX(IF(CallPut=1,UndTree!CV45-Strike,Strike-UndTree!CV45),0),MAX((2-AmEur)*IF(CallPut=1,UndTree!CV45-Strike,Strike-UndTree!CV45),(UpProb*CW45+DownProb*CW46)*StepDiscount)))</f>
        <v>40.374923817996716</v>
      </c>
      <c r="CW45" s="17">
        <f>IF(CW$3="","",IF(CW$3=Steps,MAX(IF(CallPut=1,UndTree!CW45-Strike,Strike-UndTree!CW45),0),MAX((2-AmEur)*IF(CallPut=1,UndTree!CW45-Strike,Strike-UndTree!CW45),(UpProb*CX45+DownProb*CX46)*StepDiscount)))</f>
        <v>44.562422806693803</v>
      </c>
      <c r="CX45" s="17">
        <f>IF(CX$3="","",IF(CX$3=Steps,MAX(IF(CallPut=1,UndTree!CX45-Strike,Strike-UndTree!CX45),0),MAX((2-AmEur)*IF(CallPut=1,UndTree!CX45-Strike,Strike-UndTree!CX45),(UpProb*CY45+DownProb*CY46)*StepDiscount)))</f>
        <v>48.878248805174088</v>
      </c>
      <c r="CY45" s="17">
        <f>IF(CY$3="","",IF(CY$3=Steps,MAX(IF(CallPut=1,UndTree!CY45-Strike,Strike-UndTree!CY45),0),MAX((2-AmEur)*IF(CallPut=1,UndTree!CY45-Strike,Strike-UndTree!CY45),(UpProb*CZ45+DownProb*CZ46)*StepDiscount)))</f>
        <v>53.326287421987118</v>
      </c>
      <c r="CZ45" s="17">
        <f>IF(CZ$3="","",IF(CZ$3=Steps,MAX(IF(CallPut=1,UndTree!CZ45-Strike,Strike-UndTree!CZ45),0),MAX((2-AmEur)*IF(CallPut=1,UndTree!CZ45-Strike,Strike-UndTree!CZ45),(UpProb*DA45+DownProb*DA46)*StepDiscount)))</f>
        <v>57.91054189339463</v>
      </c>
      <c r="DA45" s="17">
        <f>IF(DA$3="","",IF(DA$3=Steps,MAX(IF(CallPut=1,UndTree!DA45-Strike,Strike-UndTree!DA45),0),MAX((2-AmEur)*IF(CallPut=1,UndTree!DA45-Strike,Strike-UndTree!DA45),(UpProb*DB45+DownProb*DB46)*StepDiscount)))</f>
        <v>62.635136644361822</v>
      </c>
      <c r="DB45" s="17">
        <f>IF(DB$3="","",IF(DB$3=Steps,MAX(IF(CallPut=1,UndTree!DB45-Strike,Strike-UndTree!DB45),0),MAX((2-AmEur)*IF(CallPut=1,UndTree!DB45-Strike,Strike-UndTree!DB45),(UpProb*DC45+DownProb*DC46)*StepDiscount)))</f>
        <v>67.504320958199997</v>
      </c>
    </row>
    <row r="46" spans="1:106" x14ac:dyDescent="0.2">
      <c r="A46">
        <f>ExDivTree!A46</f>
        <v>4.8375249084532529E+28</v>
      </c>
      <c r="B46" s="71">
        <f>ExDivTree!B46</f>
        <v>1.9080671391558127E-2</v>
      </c>
      <c r="C46" s="71">
        <f>ExDivTree!C46</f>
        <v>1.995299637793067E-2</v>
      </c>
      <c r="D46" s="177">
        <f>ExDivTree!D46</f>
        <v>42</v>
      </c>
      <c r="AU46" s="17">
        <f>IF(AU$3="","",IF(AU$3=Steps,MAX(IF(CallPut=1,UndTree!AU46-Strike,Strike-UndTree!AU46),0),MAX((2-AmEur)*IF(CallPut=1,UndTree!AU46-Strike,Strike-UndTree!AU46),(UpProb*AV46+DownProb*AV47)*StepDiscount)))</f>
        <v>3.624733249749456E-9</v>
      </c>
      <c r="AV46" s="17">
        <f>IF(AV$3="","",IF(AV$3=Steps,MAX(IF(CallPut=1,UndTree!AV46-Strike,Strike-UndTree!AV46),0),MAX((2-AmEur)*IF(CallPut=1,UndTree!AV46-Strike,Strike-UndTree!AV46),(UpProb*AW46+DownProb*AW47)*StepDiscount)))</f>
        <v>6.419376605872929E-9</v>
      </c>
      <c r="AW46" s="17">
        <f>IF(AW$3="","",IF(AW$3=Steps,MAX(IF(CallPut=1,UndTree!AW46-Strike,Strike-UndTree!AW46),0),MAX((2-AmEur)*IF(CallPut=1,UndTree!AW46-Strike,Strike-UndTree!AW46),(UpProb*AX46+DownProb*AX47)*StepDiscount)))</f>
        <v>1.1345320964448672E-8</v>
      </c>
      <c r="AX46" s="17">
        <f>IF(AX$3="","",IF(AX$3=Steps,MAX(IF(CallPut=1,UndTree!AX46-Strike,Strike-UndTree!AX46),0),MAX((2-AmEur)*IF(CallPut=1,UndTree!AX46-Strike,Strike-UndTree!AX46),(UpProb*AY46+DownProb*AY47)*StepDiscount)))</f>
        <v>2.0008610392470816E-8</v>
      </c>
      <c r="AY46" s="17">
        <f>IF(AY$3="","",IF(AY$3=Steps,MAX(IF(CallPut=1,UndTree!AY46-Strike,Strike-UndTree!AY46),0),MAX((2-AmEur)*IF(CallPut=1,UndTree!AY46-Strike,Strike-UndTree!AY46),(UpProb*AZ46+DownProb*AZ47)*StepDiscount)))</f>
        <v>3.5209572094452702E-8</v>
      </c>
      <c r="AZ46" s="17">
        <f>IF(AZ$3="","",IF(AZ$3=Steps,MAX(IF(CallPut=1,UndTree!AZ46-Strike,Strike-UndTree!AZ46),0),MAX((2-AmEur)*IF(CallPut=1,UndTree!AZ46-Strike,Strike-UndTree!AZ46),(UpProb*BA46+DownProb*BA47)*StepDiscount)))</f>
        <v>6.1817863242251037E-8</v>
      </c>
      <c r="BA46" s="17">
        <f>IF(BA$3="","",IF(BA$3=Steps,MAX(IF(CallPut=1,UndTree!BA46-Strike,Strike-UndTree!BA46),0),MAX((2-AmEur)*IF(CallPut=1,UndTree!BA46-Strike,Strike-UndTree!BA46),(UpProb*BB46+DownProb*BB47)*StepDiscount)))</f>
        <v>1.0827808169805804E-7</v>
      </c>
      <c r="BB46" s="17">
        <f>IF(BB$3="","",IF(BB$3=Steps,MAX(IF(CallPut=1,UndTree!BB46-Strike,Strike-UndTree!BB46),0),MAX((2-AmEur)*IF(CallPut=1,UndTree!BB46-Strike,Strike-UndTree!BB46),(UpProb*BC46+DownProb*BC47)*StepDiscount)))</f>
        <v>1.8919182086017233E-7</v>
      </c>
      <c r="BC46" s="17">
        <f>IF(BC$3="","",IF(BC$3=Steps,MAX(IF(CallPut=1,UndTree!BC46-Strike,Strike-UndTree!BC46),0),MAX((2-AmEur)*IF(CallPut=1,UndTree!BC46-Strike,Strike-UndTree!BC46),(UpProb*BD46+DownProb*BD47)*StepDiscount)))</f>
        <v>3.2973055786224125E-7</v>
      </c>
      <c r="BD46" s="17">
        <f>IF(BD$3="","",IF(BD$3=Steps,MAX(IF(CallPut=1,UndTree!BD46-Strike,Strike-UndTree!BD46),0),MAX((2-AmEur)*IF(CallPut=1,UndTree!BD46-Strike,Strike-UndTree!BD46),(UpProb*BE46+DownProb*BE47)*StepDiscount)))</f>
        <v>5.7315038540179621E-7</v>
      </c>
      <c r="BE46" s="17">
        <f>IF(BE$3="","",IF(BE$3=Steps,MAX(IF(CallPut=1,UndTree!BE46-Strike,Strike-UndTree!BE46),0),MAX((2-AmEur)*IF(CallPut=1,UndTree!BE46-Strike,Strike-UndTree!BE46),(UpProb*BF46+DownProb*BF47)*StepDiscount)))</f>
        <v>9.9354054142002404E-7</v>
      </c>
      <c r="BF46" s="17">
        <f>IF(BF$3="","",IF(BF$3=Steps,MAX(IF(CallPut=1,UndTree!BF46-Strike,Strike-UndTree!BF46),0),MAX((2-AmEur)*IF(CallPut=1,UndTree!BF46-Strike,Strike-UndTree!BF46),(UpProb*BG46+DownProb*BG47)*StepDiscount)))</f>
        <v>1.7173650940287382E-6</v>
      </c>
      <c r="BG46" s="17">
        <f>IF(BG$3="","",IF(BG$3=Steps,MAX(IF(CallPut=1,UndTree!BG46-Strike,Strike-UndTree!BG46),0),MAX((2-AmEur)*IF(CallPut=1,UndTree!BG46-Strike,Strike-UndTree!BG46),(UpProb*BH46+DownProb*BH47)*StepDiscount)))</f>
        <v>2.9597108028299917E-6</v>
      </c>
      <c r="BH46" s="17">
        <f>IF(BH$3="","",IF(BH$3=Steps,MAX(IF(CallPut=1,UndTree!BH46-Strike,Strike-UndTree!BH46),0),MAX((2-AmEur)*IF(CallPut=1,UndTree!BH46-Strike,Strike-UndTree!BH46),(UpProb*BI46+DownProb*BI47)*StepDiscount)))</f>
        <v>5.0850125981593106E-6</v>
      </c>
      <c r="BI46" s="17">
        <f>IF(BI$3="","",IF(BI$3=Steps,MAX(IF(CallPut=1,UndTree!BI46-Strike,Strike-UndTree!BI46),0),MAX((2-AmEur)*IF(CallPut=1,UndTree!BI46-Strike,Strike-UndTree!BI46),(UpProb*BJ46+DownProb*BJ47)*StepDiscount)))</f>
        <v>8.7083139878819037E-6</v>
      </c>
      <c r="BJ46" s="17">
        <f>IF(BJ$3="","",IF(BJ$3=Steps,MAX(IF(CallPut=1,UndTree!BJ46-Strike,Strike-UndTree!BJ46),0),MAX((2-AmEur)*IF(CallPut=1,UndTree!BJ46-Strike,Strike-UndTree!BJ46),(UpProb*BK46+DownProb*BK47)*StepDiscount)))</f>
        <v>1.4863291868960359E-5</v>
      </c>
      <c r="BK46" s="17">
        <f>IF(BK$3="","",IF(BK$3=Steps,MAX(IF(CallPut=1,UndTree!BK46-Strike,Strike-UndTree!BK46),0),MAX((2-AmEur)*IF(CallPut=1,UndTree!BK46-Strike,Strike-UndTree!BK46),(UpProb*BL46+DownProb*BL47)*StepDiscount)))</f>
        <v>2.5279618191092527E-5</v>
      </c>
      <c r="BL46" s="17">
        <f>IF(BL$3="","",IF(BL$3=Steps,MAX(IF(CallPut=1,UndTree!BL46-Strike,Strike-UndTree!BL46),0),MAX((2-AmEur)*IF(CallPut=1,UndTree!BL46-Strike,Strike-UndTree!BL46),(UpProb*BM46+DownProb*BM47)*StepDiscount)))</f>
        <v>4.2838284311881532E-5</v>
      </c>
      <c r="BM46" s="17">
        <f>IF(BM$3="","",IF(BM$3=Steps,MAX(IF(CallPut=1,UndTree!BM46-Strike,Strike-UndTree!BM46),0),MAX((2-AmEur)*IF(CallPut=1,UndTree!BM46-Strike,Strike-UndTree!BM46),(UpProb*BN46+DownProb*BN47)*StepDiscount)))</f>
        <v>7.2314697410317958E-5</v>
      </c>
      <c r="BN46" s="17">
        <f>IF(BN$3="","",IF(BN$3=Steps,MAX(IF(CallPut=1,UndTree!BN46-Strike,Strike-UndTree!BN46),0),MAX((2-AmEur)*IF(CallPut=1,UndTree!BN46-Strike,Strike-UndTree!BN46),(UpProb*BO46+DownProb*BO47)*StepDiscount)))</f>
        <v>1.2158386050494165E-4</v>
      </c>
      <c r="BO46" s="17">
        <f>IF(BO$3="","",IF(BO$3=Steps,MAX(IF(CallPut=1,UndTree!BO46-Strike,Strike-UndTree!BO46),0),MAX((2-AmEur)*IF(CallPut=1,UndTree!BO46-Strike,Strike-UndTree!BO46),(UpProb*BP46+DownProb*BP47)*StepDiscount)))</f>
        <v>2.035619538790807E-4</v>
      </c>
      <c r="BP46" s="17">
        <f>IF(BP$3="","",IF(BP$3=Steps,MAX(IF(CallPut=1,UndTree!BP46-Strike,Strike-UndTree!BP46),0),MAX((2-AmEur)*IF(CallPut=1,UndTree!BP46-Strike,Strike-UndTree!BP46),(UpProb*BQ46+DownProb*BQ47)*StepDiscount)))</f>
        <v>3.3931196409324796E-4</v>
      </c>
      <c r="BQ46" s="17">
        <f>IF(BQ$3="","",IF(BQ$3=Steps,MAX(IF(CallPut=1,UndTree!BQ46-Strike,Strike-UndTree!BQ46),0),MAX((2-AmEur)*IF(CallPut=1,UndTree!BQ46-Strike,Strike-UndTree!BQ46),(UpProb*BR46+DownProb*BR47)*StepDiscount)))</f>
        <v>5.6297317974458047E-4</v>
      </c>
      <c r="BR46" s="17">
        <f>IF(BR$3="","",IF(BR$3=Steps,MAX(IF(CallPut=1,UndTree!BR46-Strike,Strike-UndTree!BR46),0),MAX((2-AmEur)*IF(CallPut=1,UndTree!BR46-Strike,Strike-UndTree!BR46),(UpProb*BS46+DownProb*BS47)*StepDiscount)))</f>
        <v>9.2952105273490888E-4</v>
      </c>
      <c r="BS46" s="17">
        <f>IF(BS$3="","",IF(BS$3=Steps,MAX(IF(CallPut=1,UndTree!BS46-Strike,Strike-UndTree!BS46),0),MAX((2-AmEur)*IF(CallPut=1,UndTree!BS46-Strike,Strike-UndTree!BS46),(UpProb*BT46+DownProb*BT47)*StepDiscount)))</f>
        <v>1.5268734282571936E-3</v>
      </c>
      <c r="BT46" s="17">
        <f>IF(BT$3="","",IF(BT$3=Steps,MAX(IF(CallPut=1,UndTree!BT46-Strike,Strike-UndTree!BT46),0),MAX((2-AmEur)*IF(CallPut=1,UndTree!BT46-Strike,Strike-UndTree!BT46),(UpProb*BU46+DownProb*BU47)*StepDiscount)))</f>
        <v>2.4945943830226853E-3</v>
      </c>
      <c r="BU46" s="17">
        <f>IF(BU$3="","",IF(BU$3=Steps,MAX(IF(CallPut=1,UndTree!BU46-Strike,Strike-UndTree!BU46),0),MAX((2-AmEur)*IF(CallPut=1,UndTree!BU46-Strike,Strike-UndTree!BU46),(UpProb*BV46+DownProb*BV47)*StepDiscount)))</f>
        <v>4.0524854091840753E-3</v>
      </c>
      <c r="BV46" s="17">
        <f>IF(BV$3="","",IF(BV$3=Steps,MAX(IF(CallPut=1,UndTree!BV46-Strike,Strike-UndTree!BV46),0),MAX((2-AmEur)*IF(CallPut=1,UndTree!BV46-Strike,Strike-UndTree!BV46),(UpProb*BW46+DownProb*BW47)*StepDiscount)))</f>
        <v>6.5437833954686466E-3</v>
      </c>
      <c r="BW46" s="17">
        <f>IF(BW$3="","",IF(BW$3=Steps,MAX(IF(CallPut=1,UndTree!BW46-Strike,Strike-UndTree!BW46),0),MAX((2-AmEur)*IF(CallPut=1,UndTree!BW46-Strike,Strike-UndTree!BW46),(UpProb*BX46+DownProb*BX47)*StepDiscount)))</f>
        <v>1.0499591923408148E-2</v>
      </c>
      <c r="BX46" s="17">
        <f>IF(BX$3="","",IF(BX$3=Steps,MAX(IF(CallPut=1,UndTree!BX46-Strike,Strike-UndTree!BX46),0),MAX((2-AmEur)*IF(CallPut=1,UndTree!BX46-Strike,Strike-UndTree!BX46),(UpProb*BY46+DownProb*BY47)*StepDiscount)))</f>
        <v>1.6733615079506197E-2</v>
      </c>
      <c r="BY46" s="17">
        <f>IF(BY$3="","",IF(BY$3=Steps,MAX(IF(CallPut=1,UndTree!BY46-Strike,Strike-UndTree!BY46),0),MAX((2-AmEur)*IF(CallPut=1,UndTree!BY46-Strike,Strike-UndTree!BY46),(UpProb*BZ46+DownProb*BZ47)*StepDiscount)))</f>
        <v>2.6479223822213859E-2</v>
      </c>
      <c r="BZ46" s="17">
        <f>IF(BZ$3="","",IF(BZ$3=Steps,MAX(IF(CallPut=1,UndTree!BZ46-Strike,Strike-UndTree!BZ46),0),MAX((2-AmEur)*IF(CallPut=1,UndTree!BZ46-Strike,Strike-UndTree!BZ46),(UpProb*CA46+DownProb*CA47)*StepDiscount)))</f>
        <v>4.1584191250949254E-2</v>
      </c>
      <c r="CA46" s="17">
        <f>IF(CA$3="","",IF(CA$3=Steps,MAX(IF(CallPut=1,UndTree!CA46-Strike,Strike-UndTree!CA46),0),MAX((2-AmEur)*IF(CallPut=1,UndTree!CA46-Strike,Strike-UndTree!CA46),(UpProb*CB46+DownProb*CB47)*StepDiscount)))</f>
        <v>6.4781635970160331E-2</v>
      </c>
      <c r="CB46" s="17">
        <f>IF(CB$3="","",IF(CB$3=Steps,MAX(IF(CallPut=1,UndTree!CB46-Strike,Strike-UndTree!CB46),0),MAX((2-AmEur)*IF(CallPut=1,UndTree!CB46-Strike,Strike-UndTree!CB46),(UpProb*CC46+DownProb*CC47)*StepDiscount)))</f>
        <v>0.10005791900393358</v>
      </c>
      <c r="CC46" s="17">
        <f>IF(CC$3="","",IF(CC$3=Steps,MAX(IF(CallPut=1,UndTree!CC46-Strike,Strike-UndTree!CC46),0),MAX((2-AmEur)*IF(CallPut=1,UndTree!CC46-Strike,Strike-UndTree!CC46),(UpProb*CD46+DownProb*CD47)*StepDiscount)))</f>
        <v>0.15313790539380562</v>
      </c>
      <c r="CD46" s="17">
        <f>IF(CD$3="","",IF(CD$3=Steps,MAX(IF(CallPut=1,UndTree!CD46-Strike,Strike-UndTree!CD46),0),MAX((2-AmEur)*IF(CallPut=1,UndTree!CD46-Strike,Strike-UndTree!CD46),(UpProb*CE46+DownProb*CE47)*StepDiscount)))</f>
        <v>0.23210272365964418</v>
      </c>
      <c r="CE46" s="17">
        <f>IF(CE$3="","",IF(CE$3=Steps,MAX(IF(CallPut=1,UndTree!CE46-Strike,Strike-UndTree!CE46),0),MAX((2-AmEur)*IF(CallPut=1,UndTree!CE46-Strike,Strike-UndTree!CE46),(UpProb*CF46+DownProb*CF47)*StepDiscount)))</f>
        <v>0.34814155279480907</v>
      </c>
      <c r="CF46" s="17">
        <f>IF(CF$3="","",IF(CF$3=Steps,MAX(IF(CallPut=1,UndTree!CF46-Strike,Strike-UndTree!CF46),0),MAX((2-AmEur)*IF(CallPut=1,UndTree!CF46-Strike,Strike-UndTree!CF46),(UpProb*CG46+DownProb*CG47)*StepDiscount)))</f>
        <v>0.51641281679628603</v>
      </c>
      <c r="CG46" s="17">
        <f>IF(CG$3="","",IF(CG$3=Steps,MAX(IF(CallPut=1,UndTree!CG46-Strike,Strike-UndTree!CG46),0),MAX((2-AmEur)*IF(CallPut=1,UndTree!CG46-Strike,Strike-UndTree!CG46),(UpProb*CH46+DownProb*CH47)*StepDiscount)))</f>
        <v>0.75694709187822007</v>
      </c>
      <c r="CH46" s="17">
        <f>IF(CH$3="","",IF(CH$3=Steps,MAX(IF(CallPut=1,UndTree!CH46-Strike,Strike-UndTree!CH46),0),MAX((2-AmEur)*IF(CallPut=1,UndTree!CH46-Strike,Strike-UndTree!CH46),(UpProb*CI46+DownProb*CI47)*StepDiscount)))</f>
        <v>1.0954611026790013</v>
      </c>
      <c r="CI46" s="17">
        <f>IF(CI$3="","",IF(CI$3=Steps,MAX(IF(CallPut=1,UndTree!CI46-Strike,Strike-UndTree!CI46),0),MAX((2-AmEur)*IF(CallPut=1,UndTree!CI46-Strike,Strike-UndTree!CI46),(UpProb*CJ46+DownProb*CJ47)*StepDiscount)))</f>
        <v>1.5638708830953334</v>
      </c>
      <c r="CJ46" s="17">
        <f>IF(CJ$3="","",IF(CJ$3=Steps,MAX(IF(CallPut=1,UndTree!CJ46-Strike,Strike-UndTree!CJ46),0),MAX((2-AmEur)*IF(CallPut=1,UndTree!CJ46-Strike,Strike-UndTree!CJ46),(UpProb*CK46+DownProb*CK47)*StepDiscount)))</f>
        <v>2.2002029487861496</v>
      </c>
      <c r="CK46" s="17">
        <f>IF(CK$3="","",IF(CK$3=Steps,MAX(IF(CallPut=1,UndTree!CK46-Strike,Strike-UndTree!CK46),0),MAX((2-AmEur)*IF(CallPut=1,UndTree!CK46-Strike,Strike-UndTree!CK46),(UpProb*CL46+DownProb*CL47)*StepDiscount)))</f>
        <v>3.0475303048293321</v>
      </c>
      <c r="CL46" s="17">
        <f>IF(CL$3="","",IF(CL$3=Steps,MAX(IF(CallPut=1,UndTree!CL46-Strike,Strike-UndTree!CL46),0),MAX((2-AmEur)*IF(CallPut=1,UndTree!CL46-Strike,Strike-UndTree!CL46),(UpProb*CM46+DownProb*CM47)*StepDiscount)))</f>
        <v>4.1515501745347851</v>
      </c>
      <c r="CM46" s="17">
        <f>IF(CM$3="","",IF(CM$3=Steps,MAX(IF(CallPut=1,UndTree!CM46-Strike,Strike-UndTree!CM46),0),MAX((2-AmEur)*IF(CallPut=1,UndTree!CM46-Strike,Strike-UndTree!CM46),(UpProb*CN46+DownProb*CN47)*StepDiscount)))</f>
        <v>5.5565372250127432</v>
      </c>
      <c r="CN46" s="17">
        <f>IF(CN$3="","",IF(CN$3=Steps,MAX(IF(CallPut=1,UndTree!CN46-Strike,Strike-UndTree!CN46),0),MAX((2-AmEur)*IF(CallPut=1,UndTree!CN46-Strike,Strike-UndTree!CN46),(UpProb*CO46+DownProb*CO47)*StepDiscount)))</f>
        <v>7.2997221121671663</v>
      </c>
      <c r="CO46" s="17">
        <f>IF(CO$3="","",IF(CO$3=Steps,MAX(IF(CallPut=1,UndTree!CO46-Strike,Strike-UndTree!CO46),0),MAX((2-AmEur)*IF(CallPut=1,UndTree!CO46-Strike,Strike-UndTree!CO46),(UpProb*CP46+DownProb*CP47)*StepDiscount)))</f>
        <v>9.4047059261727597</v>
      </c>
      <c r="CP46" s="17">
        <f>IF(CP$3="","",IF(CP$3=Steps,MAX(IF(CallPut=1,UndTree!CP46-Strike,Strike-UndTree!CP46),0),MAX((2-AmEur)*IF(CallPut=1,UndTree!CP46-Strike,Strike-UndTree!CP46),(UpProb*CQ46+DownProb*CQ47)*StepDiscount)))</f>
        <v>11.87528186708809</v>
      </c>
      <c r="CQ46" s="17">
        <f>IF(CQ$3="","",IF(CQ$3=Steps,MAX(IF(CallPut=1,UndTree!CQ46-Strike,Strike-UndTree!CQ46),0),MAX((2-AmEur)*IF(CallPut=1,UndTree!CQ46-Strike,Strike-UndTree!CQ46),(UpProb*CR46+DownProb*CR47)*StepDiscount)))</f>
        <v>14.691776543151224</v>
      </c>
      <c r="CR46" s="17">
        <f>IF(CR$3="","",IF(CR$3=Steps,MAX(IF(CallPut=1,UndTree!CR46-Strike,Strike-UndTree!CR46),0),MAX((2-AmEur)*IF(CallPut=1,UndTree!CR46-Strike,Strike-UndTree!CR46),(UpProb*CS46+DownProb*CS47)*StepDiscount)))</f>
        <v>17.81228825812164</v>
      </c>
      <c r="CS46" s="17">
        <f>IF(CS$3="","",IF(CS$3=Steps,MAX(IF(CallPut=1,UndTree!CS46-Strike,Strike-UndTree!CS46),0),MAX((2-AmEur)*IF(CallPut=1,UndTree!CS46-Strike,Strike-UndTree!CS46),(UpProb*CT46+DownProb*CT47)*StepDiscount)))</f>
        <v>21.180358929137537</v>
      </c>
      <c r="CT46" s="17">
        <f>IF(CT$3="","",IF(CT$3=Steps,MAX(IF(CallPut=1,UndTree!CT46-Strike,Strike-UndTree!CT46),0),MAX((2-AmEur)*IF(CallPut=1,UndTree!CT46-Strike,Strike-UndTree!CT46),(UpProb*CU46+DownProb*CU47)*StepDiscount)))</f>
        <v>24.738208002949722</v>
      </c>
      <c r="CU46" s="17">
        <f>IF(CU$3="","",IF(CU$3=Steps,MAX(IF(CallPut=1,UndTree!CU46-Strike,Strike-UndTree!CU46),0),MAX((2-AmEur)*IF(CallPut=1,UndTree!CU46-Strike,Strike-UndTree!CU46),(UpProb*CV46+DownProb*CV47)*StepDiscount)))</f>
        <v>28.441096309520674</v>
      </c>
      <c r="CV46" s="17">
        <f>IF(CV$3="","",IF(CV$3=Steps,MAX(IF(CallPut=1,UndTree!CV46-Strike,Strike-UndTree!CV46),0),MAX((2-AmEur)*IF(CallPut=1,UndTree!CV46-Strike,Strike-UndTree!CV46),(UpProb*CW46+DownProb*CW47)*StepDiscount)))</f>
        <v>32.26576791218698</v>
      </c>
      <c r="CW46" s="17">
        <f>IF(CW$3="","",IF(CW$3=Steps,MAX(IF(CallPut=1,UndTree!CW46-Strike,Strike-UndTree!CW46),0),MAX((2-AmEur)*IF(CallPut=1,UndTree!CW46-Strike,Strike-UndTree!CW46),(UpProb*CX46+DownProb*CX47)*StepDiscount)))</f>
        <v>36.207781989768712</v>
      </c>
      <c r="CX46" s="17">
        <f>IF(CX$3="","",IF(CX$3=Steps,MAX(IF(CallPut=1,UndTree!CX46-Strike,Strike-UndTree!CX46),0),MAX((2-AmEur)*IF(CallPut=1,UndTree!CX46-Strike,Strike-UndTree!CX46),(UpProb*CY46+DownProb*CY47)*StepDiscount)))</f>
        <v>40.270691620402978</v>
      </c>
      <c r="CY46" s="17">
        <f>IF(CY$3="","",IF(CY$3=Steps,MAX(IF(CallPut=1,UndTree!CY46-Strike,Strike-UndTree!CY46),0),MAX((2-AmEur)*IF(CallPut=1,UndTree!CY46-Strike,Strike-UndTree!CY46),(UpProb*CZ46+DownProb*CZ47)*StepDiscount)))</f>
        <v>44.458157443434089</v>
      </c>
      <c r="CZ46" s="17">
        <f>IF(CZ$3="","",IF(CZ$3=Steps,MAX(IF(CallPut=1,UndTree!CZ46-Strike,Strike-UndTree!CZ46),0),MAX((2-AmEur)*IF(CallPut=1,UndTree!CZ46-Strike,Strike-UndTree!CZ46),(UpProb*DA46+DownProb*DA47)*StepDiscount)))</f>
        <v>48.77395091558671</v>
      </c>
      <c r="DA46" s="17">
        <f>IF(DA$3="","",IF(DA$3=Steps,MAX(IF(CallPut=1,UndTree!DA46-Strike,Strike-UndTree!DA46),0),MAX((2-AmEur)*IF(CallPut=1,UndTree!DA46-Strike,Strike-UndTree!DA46),(UpProb*DB46+DownProb*DB47)*StepDiscount)))</f>
        <v>53.221957665530304</v>
      </c>
      <c r="DB46" s="17">
        <f>IF(DB$3="","",IF(DB$3=Steps,MAX(IF(CallPut=1,UndTree!DB46-Strike,Strike-UndTree!DB46),0),MAX((2-AmEur)*IF(CallPut=1,UndTree!DB46-Strike,Strike-UndTree!DB46),(UpProb*DC46+DownProb*DC47)*StepDiscount)))</f>
        <v>57.806180949399987</v>
      </c>
    </row>
    <row r="47" spans="1:106" x14ac:dyDescent="0.2">
      <c r="A47">
        <f>ExDivTree!A47</f>
        <v>6.63753417671493E+28</v>
      </c>
      <c r="B47" s="71">
        <f>ExDivTree!B47</f>
        <v>2.6180456095393715E-2</v>
      </c>
      <c r="C47" s="71">
        <f>ExDivTree!C47</f>
        <v>2.723262451979681E-2</v>
      </c>
      <c r="D47" s="177">
        <f>ExDivTree!D47</f>
        <v>43</v>
      </c>
      <c r="AV47" s="17">
        <f>IF(AV$3="","",IF(AV$3=Steps,MAX(IF(CallPut=1,UndTree!AV47-Strike,Strike-UndTree!AV47),0),MAX((2-AmEur)*IF(CallPut=1,UndTree!AV47-Strike,Strike-UndTree!AV47),(UpProb*AW47+DownProb*AW48)*StepDiscount)))</f>
        <v>8.1906198233551643E-10</v>
      </c>
      <c r="AW47" s="17">
        <f>IF(AW$3="","",IF(AW$3=Steps,MAX(IF(CallPut=1,UndTree!AW47-Strike,Strike-UndTree!AW47),0),MAX((2-AmEur)*IF(CallPut=1,UndTree!AW47-Strike,Strike-UndTree!AW47),(UpProb*AX47+DownProb*AX48)*StepDiscount)))</f>
        <v>1.4740259963834207E-9</v>
      </c>
      <c r="AX47" s="17">
        <f>IF(AX$3="","",IF(AX$3=Steps,MAX(IF(CallPut=1,UndTree!AX47-Strike,Strike-UndTree!AX47),0),MAX((2-AmEur)*IF(CallPut=1,UndTree!AX47-Strike,Strike-UndTree!AX47),(UpProb*AY47+DownProb*AY48)*StepDiscount)))</f>
        <v>2.6479602423033641E-9</v>
      </c>
      <c r="AY47" s="17">
        <f>IF(AY$3="","",IF(AY$3=Steps,MAX(IF(CallPut=1,UndTree!AY47-Strike,Strike-UndTree!AY47),0),MAX((2-AmEur)*IF(CallPut=1,UndTree!AY47-Strike,Strike-UndTree!AY47),(UpProb*AZ47+DownProb*AZ48)*StepDiscount)))</f>
        <v>4.7479730886337578E-9</v>
      </c>
      <c r="AZ47" s="17">
        <f>IF(AZ$3="","",IF(AZ$3=Steps,MAX(IF(CallPut=1,UndTree!AZ47-Strike,Strike-UndTree!AZ47),0),MAX((2-AmEur)*IF(CallPut=1,UndTree!AZ47-Strike,Strike-UndTree!AZ47),(UpProb*BA47+DownProb*BA48)*StepDiscount)))</f>
        <v>8.497018810757374E-9</v>
      </c>
      <c r="BA47" s="17">
        <f>IF(BA$3="","",IF(BA$3=Steps,MAX(IF(CallPut=1,UndTree!BA47-Strike,Strike-UndTree!BA47),0),MAX((2-AmEur)*IF(CallPut=1,UndTree!BA47-Strike,Strike-UndTree!BA47),(UpProb*BB47+DownProb*BB48)*StepDiscount)))</f>
        <v>1.5175952624866437E-8</v>
      </c>
      <c r="BB47" s="17">
        <f>IF(BB$3="","",IF(BB$3=Steps,MAX(IF(CallPut=1,UndTree!BB47-Strike,Strike-UndTree!BB47),0),MAX((2-AmEur)*IF(CallPut=1,UndTree!BB47-Strike,Strike-UndTree!BB47),(UpProb*BC47+DownProb*BC48)*StepDiscount)))</f>
        <v>2.7048565043968908E-8</v>
      </c>
      <c r="BC47" s="17">
        <f>IF(BC$3="","",IF(BC$3=Steps,MAX(IF(CallPut=1,UndTree!BC47-Strike,Strike-UndTree!BC47),0),MAX((2-AmEur)*IF(CallPut=1,UndTree!BC47-Strike,Strike-UndTree!BC47),(UpProb*BD47+DownProb*BD48)*StepDiscount)))</f>
        <v>4.8105797651863922E-8</v>
      </c>
      <c r="BD47" s="17">
        <f>IF(BD$3="","",IF(BD$3=Steps,MAX(IF(CallPut=1,UndTree!BD47-Strike,Strike-UndTree!BD47),0),MAX((2-AmEur)*IF(CallPut=1,UndTree!BD47-Strike,Strike-UndTree!BD47),(UpProb*BE47+DownProb*BE48)*StepDiscount)))</f>
        <v>8.5364958840604169E-8</v>
      </c>
      <c r="BE47" s="17">
        <f>IF(BE$3="","",IF(BE$3=Steps,MAX(IF(CallPut=1,UndTree!BE47-Strike,Strike-UndTree!BE47),0),MAX((2-AmEur)*IF(CallPut=1,UndTree!BE47-Strike,Strike-UndTree!BE47),(UpProb*BF47+DownProb*BF48)*StepDiscount)))</f>
        <v>1.5113077137976465E-7</v>
      </c>
      <c r="BF47" s="17">
        <f>IF(BF$3="","",IF(BF$3=Steps,MAX(IF(CallPut=1,UndTree!BF47-Strike,Strike-UndTree!BF47),0),MAX((2-AmEur)*IF(CallPut=1,UndTree!BF47-Strike,Strike-UndTree!BF47),(UpProb*BG47+DownProb*BG48)*StepDiscount)))</f>
        <v>2.6691746633554176E-7</v>
      </c>
      <c r="BG47" s="17">
        <f>IF(BG$3="","",IF(BG$3=Steps,MAX(IF(CallPut=1,UndTree!BG47-Strike,Strike-UndTree!BG47),0),MAX((2-AmEur)*IF(CallPut=1,UndTree!BG47-Strike,Strike-UndTree!BG47),(UpProb*BH47+DownProb*BH48)*StepDiscount)))</f>
        <v>4.7022886389973047E-7</v>
      </c>
      <c r="BH47" s="17">
        <f>IF(BH$3="","",IF(BH$3=Steps,MAX(IF(CallPut=1,UndTree!BH47-Strike,Strike-UndTree!BH47),0),MAX((2-AmEur)*IF(CallPut=1,UndTree!BH47-Strike,Strike-UndTree!BH47),(UpProb*BI47+DownProb*BI48)*StepDiscount)))</f>
        <v>8.2623677513945076E-7</v>
      </c>
      <c r="BI47" s="17">
        <f>IF(BI$3="","",IF(BI$3=Steps,MAX(IF(CallPut=1,UndTree!BI47-Strike,Strike-UndTree!BI47),0),MAX((2-AmEur)*IF(CallPut=1,UndTree!BI47-Strike,Strike-UndTree!BI47),(UpProb*BJ47+DownProb*BJ48)*StepDiscount)))</f>
        <v>1.4478202017471411E-6</v>
      </c>
      <c r="BJ47" s="17">
        <f>IF(BJ$3="","",IF(BJ$3=Steps,MAX(IF(CallPut=1,UndTree!BJ47-Strike,Strike-UndTree!BJ47),0),MAX((2-AmEur)*IF(CallPut=1,UndTree!BJ47-Strike,Strike-UndTree!BJ47),(UpProb*BK47+DownProb*BK48)*StepDiscount)))</f>
        <v>2.5298133580733173E-6</v>
      </c>
      <c r="BK47" s="17">
        <f>IF(BK$3="","",IF(BK$3=Steps,MAX(IF(CallPut=1,UndTree!BK47-Strike,Strike-UndTree!BK47),0),MAX((2-AmEur)*IF(CallPut=1,UndTree!BK47-Strike,Strike-UndTree!BK47),(UpProb*BL47+DownProb*BL48)*StepDiscount)))</f>
        <v>4.4072898429965812E-6</v>
      </c>
      <c r="BL47" s="17">
        <f>IF(BL$3="","",IF(BL$3=Steps,MAX(IF(CallPut=1,UndTree!BL47-Strike,Strike-UndTree!BL47),0),MAX((2-AmEur)*IF(CallPut=1,UndTree!BL47-Strike,Strike-UndTree!BL47),(UpProb*BM47+DownProb*BM48)*StepDiscount)))</f>
        <v>7.6543084751242742E-6</v>
      </c>
      <c r="BM47" s="17">
        <f>IF(BM$3="","",IF(BM$3=Steps,MAX(IF(CallPut=1,UndTree!BM47-Strike,Strike-UndTree!BM47),0),MAX((2-AmEur)*IF(CallPut=1,UndTree!BM47-Strike,Strike-UndTree!BM47),(UpProb*BN47+DownProb*BN48)*StepDiscount)))</f>
        <v>1.3250416642663209E-5</v>
      </c>
      <c r="BN47" s="17">
        <f>IF(BN$3="","",IF(BN$3=Steps,MAX(IF(CallPut=1,UndTree!BN47-Strike,Strike-UndTree!BN47),0),MAX((2-AmEur)*IF(CallPut=1,UndTree!BN47-Strike,Strike-UndTree!BN47),(UpProb*BO47+DownProb*BO48)*StepDiscount)))</f>
        <v>2.2859991422027864E-5</v>
      </c>
      <c r="BO47" s="17">
        <f>IF(BO$3="","",IF(BO$3=Steps,MAX(IF(CallPut=1,UndTree!BO47-Strike,Strike-UndTree!BO47),0),MAX((2-AmEur)*IF(CallPut=1,UndTree!BO47-Strike,Strike-UndTree!BO47),(UpProb*BP47+DownProb*BP48)*StepDiscount)))</f>
        <v>3.9298376195790145E-5</v>
      </c>
      <c r="BP47" s="17">
        <f>IF(BP$3="","",IF(BP$3=Steps,MAX(IF(CallPut=1,UndTree!BP47-Strike,Strike-UndTree!BP47),0),MAX((2-AmEur)*IF(CallPut=1,UndTree!BP47-Strike,Strike-UndTree!BP47),(UpProb*BQ47+DownProb*BQ48)*StepDiscount)))</f>
        <v>6.7305276777590288E-5</v>
      </c>
      <c r="BQ47" s="17">
        <f>IF(BQ$3="","",IF(BQ$3=Steps,MAX(IF(CallPut=1,UndTree!BQ47-Strike,Strike-UndTree!BQ47),0),MAX((2-AmEur)*IF(CallPut=1,UndTree!BQ47-Strike,Strike-UndTree!BQ47),(UpProb*BR47+DownProb*BR48)*StepDiscount)))</f>
        <v>1.1482010759579739E-4</v>
      </c>
      <c r="BR47" s="17">
        <f>IF(BR$3="","",IF(BR$3=Steps,MAX(IF(CallPut=1,UndTree!BR47-Strike,Strike-UndTree!BR47),0),MAX((2-AmEur)*IF(CallPut=1,UndTree!BR47-Strike,Strike-UndTree!BR47),(UpProb*BS47+DownProb*BS48)*StepDiscount)))</f>
        <v>1.9507128128592002E-4</v>
      </c>
      <c r="BS47" s="17">
        <f>IF(BS$3="","",IF(BS$3=Steps,MAX(IF(CallPut=1,UndTree!BS47-Strike,Strike-UndTree!BS47),0),MAX((2-AmEur)*IF(CallPut=1,UndTree!BS47-Strike,Strike-UndTree!BS47),(UpProb*BT47+DownProb*BT48)*StepDiscount)))</f>
        <v>3.2997479028037404E-4</v>
      </c>
      <c r="BT47" s="17">
        <f>IF(BT$3="","",IF(BT$3=Steps,MAX(IF(CallPut=1,UndTree!BT47-Strike,Strike-UndTree!BT47),0),MAX((2-AmEur)*IF(CallPut=1,UndTree!BT47-Strike,Strike-UndTree!BT47),(UpProb*BU47+DownProb*BU48)*StepDiscount)))</f>
        <v>5.556205395519109E-4</v>
      </c>
      <c r="BU47" s="17">
        <f>IF(BU$3="","",IF(BU$3=Steps,MAX(IF(CallPut=1,UndTree!BU47-Strike,Strike-UndTree!BU47),0),MAX((2-AmEur)*IF(CallPut=1,UndTree!BU47-Strike,Strike-UndTree!BU47),(UpProb*BV47+DownProb*BV48)*StepDiscount)))</f>
        <v>9.3105602851904627E-4</v>
      </c>
      <c r="BV47" s="17">
        <f>IF(BV$3="","",IF(BV$3=Steps,MAX(IF(CallPut=1,UndTree!BV47-Strike,Strike-UndTree!BV47),0),MAX((2-AmEur)*IF(CallPut=1,UndTree!BV47-Strike,Strike-UndTree!BV47),(UpProb*BW47+DownProb*BW48)*StepDiscount)))</f>
        <v>1.55222327868539E-3</v>
      </c>
      <c r="BW47" s="17">
        <f>IF(BW$3="","",IF(BW$3=Steps,MAX(IF(CallPut=1,UndTree!BW47-Strike,Strike-UndTree!BW47),0),MAX((2-AmEur)*IF(CallPut=1,UndTree!BW47-Strike,Strike-UndTree!BW47),(UpProb*BX47+DownProb*BX48)*StepDiscount)))</f>
        <v>2.5738562371793419E-3</v>
      </c>
      <c r="BX47" s="17">
        <f>IF(BX$3="","",IF(BX$3=Steps,MAX(IF(CallPut=1,UndTree!BX47-Strike,Strike-UndTree!BX47),0),MAX((2-AmEur)*IF(CallPut=1,UndTree!BX47-Strike,Strike-UndTree!BX47),(UpProb*BY47+DownProb*BY48)*StepDiscount)))</f>
        <v>4.2435165021482545E-3</v>
      </c>
      <c r="BY47" s="17">
        <f>IF(BY$3="","",IF(BY$3=Steps,MAX(IF(CallPut=1,UndTree!BY47-Strike,Strike-UndTree!BY47),0),MAX((2-AmEur)*IF(CallPut=1,UndTree!BY47-Strike,Strike-UndTree!BY47),(UpProb*BZ47+DownProb*BZ48)*StepDiscount)))</f>
        <v>6.9538695679635925E-3</v>
      </c>
      <c r="BZ47" s="17">
        <f>IF(BZ$3="","",IF(BZ$3=Steps,MAX(IF(CallPut=1,UndTree!BZ47-Strike,Strike-UndTree!BZ47),0),MAX((2-AmEur)*IF(CallPut=1,UndTree!BZ47-Strike,Strike-UndTree!BZ47),(UpProb*CA47+DownProb*CA48)*StepDiscount)))</f>
        <v>1.1321920444728274E-2</v>
      </c>
      <c r="CA47" s="17">
        <f>IF(CA$3="","",IF(CA$3=Steps,MAX(IF(CallPut=1,UndTree!CA47-Strike,Strike-UndTree!CA47),0),MAX((2-AmEur)*IF(CallPut=1,UndTree!CA47-Strike,Strike-UndTree!CA47),(UpProb*CB47+DownProb*CB48)*StepDiscount)))</f>
        <v>1.830734131711163E-2</v>
      </c>
      <c r="CB47" s="17">
        <f>IF(CB$3="","",IF(CB$3=Steps,MAX(IF(CallPut=1,UndTree!CB47-Strike,Strike-UndTree!CB47),0),MAX((2-AmEur)*IF(CallPut=1,UndTree!CB47-Strike,Strike-UndTree!CB47),(UpProb*CC47+DownProb*CC48)*StepDiscount)))</f>
        <v>2.9386232013902964E-2</v>
      </c>
      <c r="CC47" s="17">
        <f>IF(CC$3="","",IF(CC$3=Steps,MAX(IF(CallPut=1,UndTree!CC47-Strike,Strike-UndTree!CC47),0),MAX((2-AmEur)*IF(CallPut=1,UndTree!CC47-Strike,Strike-UndTree!CC47),(UpProb*CD47+DownProb*CD48)*StepDiscount)))</f>
        <v>4.680141673946113E-2</v>
      </c>
      <c r="CD47" s="17">
        <f>IF(CD$3="","",IF(CD$3=Steps,MAX(IF(CallPut=1,UndTree!CD47-Strike,Strike-UndTree!CD47),0),MAX((2-AmEur)*IF(CallPut=1,UndTree!CD47-Strike,Strike-UndTree!CD47),(UpProb*CE47+DownProb*CE48)*StepDiscount)))</f>
        <v>7.3915015748085913E-2</v>
      </c>
      <c r="CE47" s="17">
        <f>IF(CE$3="","",IF(CE$3=Steps,MAX(IF(CallPut=1,UndTree!CE47-Strike,Strike-UndTree!CE47),0),MAX((2-AmEur)*IF(CallPut=1,UndTree!CE47-Strike,Strike-UndTree!CE47),(UpProb*CF47+DownProb*CF48)*StepDiscount)))</f>
        <v>0.11569211692546948</v>
      </c>
      <c r="CF47" s="17">
        <f>IF(CF$3="","",IF(CF$3=Steps,MAX(IF(CallPut=1,UndTree!CF47-Strike,Strike-UndTree!CF47),0),MAX((2-AmEur)*IF(CallPut=1,UndTree!CF47-Strike,Strike-UndTree!CF47),(UpProb*CG47+DownProb*CG48)*StepDiscount)))</f>
        <v>0.17934336722010893</v>
      </c>
      <c r="CG47" s="17">
        <f>IF(CG$3="","",IF(CG$3=Steps,MAX(IF(CallPut=1,UndTree!CG47-Strike,Strike-UndTree!CG47),0),MAX((2-AmEur)*IF(CallPut=1,UndTree!CG47-Strike,Strike-UndTree!CG47),(UpProb*CH47+DownProb*CH48)*StepDiscount)))</f>
        <v>0.27514514173709143</v>
      </c>
      <c r="CH47" s="17">
        <f>IF(CH$3="","",IF(CH$3=Steps,MAX(IF(CallPut=1,UndTree!CH47-Strike,Strike-UndTree!CH47),0),MAX((2-AmEur)*IF(CallPut=1,UndTree!CH47-Strike,Strike-UndTree!CH47),(UpProb*CI47+DownProb*CI48)*StepDiscount)))</f>
        <v>0.41743278750165819</v>
      </c>
      <c r="CI47" s="17">
        <f>IF(CI$3="","",IF(CI$3=Steps,MAX(IF(CallPut=1,UndTree!CI47-Strike,Strike-UndTree!CI47),0),MAX((2-AmEur)*IF(CallPut=1,UndTree!CI47-Strike,Strike-UndTree!CI47),(UpProb*CJ47+DownProb*CJ48)*StepDiscount)))</f>
        <v>0.62571791312873459</v>
      </c>
      <c r="CJ47" s="17">
        <f>IF(CJ$3="","",IF(CJ$3=Steps,MAX(IF(CallPut=1,UndTree!CJ47-Strike,Strike-UndTree!CJ47),0),MAX((2-AmEur)*IF(CallPut=1,UndTree!CJ47-Strike,Strike-UndTree!CJ47),(UpProb*CK47+DownProb*CK48)*StepDiscount)))</f>
        <v>0.92580727919974914</v>
      </c>
      <c r="CK47" s="17">
        <f>IF(CK$3="","",IF(CK$3=Steps,MAX(IF(CallPut=1,UndTree!CK47-Strike,Strike-UndTree!CK47),0),MAX((2-AmEur)*IF(CallPut=1,UndTree!CK47-Strike,Strike-UndTree!CK47),(UpProb*CL47+DownProb*CL48)*StepDiscount)))</f>
        <v>1.3506942249046308</v>
      </c>
      <c r="CL47" s="17">
        <f>IF(CL$3="","",IF(CL$3=Steps,MAX(IF(CallPut=1,UndTree!CL47-Strike,Strike-UndTree!CL47),0),MAX((2-AmEur)*IF(CallPut=1,UndTree!CL47-Strike,Strike-UndTree!CL47),(UpProb*CM47+DownProb*CM48)*StepDiscount)))</f>
        <v>1.9408590508585715</v>
      </c>
      <c r="CM47" s="17">
        <f>IF(CM$3="","",IF(CM$3=Steps,MAX(IF(CallPut=1,UndTree!CM47-Strike,Strike-UndTree!CM47),0),MAX((2-AmEur)*IF(CallPut=1,UndTree!CM47-Strike,Strike-UndTree!CM47),(UpProb*CN47+DownProb*CN48)*StepDiscount)))</f>
        <v>2.7434773288689569</v>
      </c>
      <c r="CN47" s="17">
        <f>IF(CN$3="","",IF(CN$3=Steps,MAX(IF(CallPut=1,UndTree!CN47-Strike,Strike-UndTree!CN47),0),MAX((2-AmEur)*IF(CallPut=1,UndTree!CN47-Strike,Strike-UndTree!CN47),(UpProb*CO47+DownProb*CO48)*StepDiscount)))</f>
        <v>3.809951906388402</v>
      </c>
      <c r="CO47" s="17">
        <f>IF(CO$3="","",IF(CO$3=Steps,MAX(IF(CallPut=1,UndTree!CO47-Strike,Strike-UndTree!CO47),0),MAX((2-AmEur)*IF(CallPut=1,UndTree!CO47-Strike,Strike-UndTree!CO47),(UpProb*CP47+DownProb*CP48)*StepDiscount)))</f>
        <v>5.1912547420650261</v>
      </c>
      <c r="CP47" s="17">
        <f>IF(CP$3="","",IF(CP$3=Steps,MAX(IF(CallPut=1,UndTree!CP47-Strike,Strike-UndTree!CP47),0),MAX((2-AmEur)*IF(CallPut=1,UndTree!CP47-Strike,Strike-UndTree!CP47),(UpProb*CQ47+DownProb*CQ48)*StepDiscount)))</f>
        <v>6.9309250058827825</v>
      </c>
      <c r="CQ47" s="17">
        <f>IF(CQ$3="","",IF(CQ$3=Steps,MAX(IF(CallPut=1,UndTree!CQ47-Strike,Strike-UndTree!CQ47),0),MAX((2-AmEur)*IF(CallPut=1,UndTree!CQ47-Strike,Strike-UndTree!CQ47),(UpProb*CR47+DownProb*CR48)*StepDiscount)))</f>
        <v>9.0563512192446325</v>
      </c>
      <c r="CR47" s="17">
        <f>IF(CR$3="","",IF(CR$3=Steps,MAX(IF(CallPut=1,UndTree!CR47-Strike,Strike-UndTree!CR47),0),MAX((2-AmEur)*IF(CallPut=1,UndTree!CR47-Strike,Strike-UndTree!CR47),(UpProb*CS47+DownProb*CS48)*StepDiscount)))</f>
        <v>11.570185674914732</v>
      </c>
      <c r="CS47" s="17">
        <f>IF(CS$3="","",IF(CS$3=Steps,MAX(IF(CallPut=1,UndTree!CS47-Strike,Strike-UndTree!CS47),0),MAX((2-AmEur)*IF(CallPut=1,UndTree!CS47-Strike,Strike-UndTree!CS47),(UpProb*CT47+DownProb*CT48)*StepDiscount)))</f>
        <v>14.445116205770484</v>
      </c>
      <c r="CT47" s="17">
        <f>IF(CT$3="","",IF(CT$3=Steps,MAX(IF(CallPut=1,UndTree!CT47-Strike,Strike-UndTree!CT47),0),MAX((2-AmEur)*IF(CallPut=1,UndTree!CT47-Strike,Strike-UndTree!CT47),(UpProb*CU47+DownProb*CU48)*StepDiscount)))</f>
        <v>17.62595463937766</v>
      </c>
      <c r="CU47" s="17">
        <f>IF(CU$3="","",IF(CU$3=Steps,MAX(IF(CallPut=1,UndTree!CU47-Strike,Strike-UndTree!CU47),0),MAX((2-AmEur)*IF(CallPut=1,UndTree!CU47-Strike,Strike-UndTree!CU47),(UpProb*CV47+DownProb*CV48)*StepDiscount)))</f>
        <v>21.041748738991021</v>
      </c>
      <c r="CV47" s="17">
        <f>IF(CV$3="","",IF(CV$3=Steps,MAX(IF(CallPut=1,UndTree!CV47-Strike,Strike-UndTree!CV47),0),MAX((2-AmEur)*IF(CallPut=1,UndTree!CV47-Strike,Strike-UndTree!CV47),(UpProb*CW47+DownProb*CW48)*StepDiscount)))</f>
        <v>24.626114696696778</v>
      </c>
      <c r="CW47" s="17">
        <f>IF(CW$3="","",IF(CW$3=Steps,MAX(IF(CallPut=1,UndTree!CW47-Strike,Strike-UndTree!CW47),0),MAX((2-AmEur)*IF(CallPut=1,UndTree!CW47-Strike,Strike-UndTree!CW47),(UpProb*CX47+DownProb*CX48)*StepDiscount)))</f>
        <v>28.336856911589894</v>
      </c>
      <c r="CX47" s="17">
        <f>IF(CX$3="","",IF(CX$3=Steps,MAX(IF(CallPut=1,UndTree!CX47-Strike,Strike-UndTree!CX47),0),MAX((2-AmEur)*IF(CallPut=1,UndTree!CX47-Strike,Strike-UndTree!CX47),(UpProb*CY47+DownProb*CY48)*StepDiscount)))</f>
        <v>32.161493488159536</v>
      </c>
      <c r="CY47" s="17">
        <f>IF(CY$3="","",IF(CY$3=Steps,MAX(IF(CallPut=1,UndTree!CY47-Strike,Strike-UndTree!CY47),0),MAX((2-AmEur)*IF(CallPut=1,UndTree!CY47-Strike,Strike-UndTree!CY47),(UpProb*CZ47+DownProb*CZ48)*StepDiscount)))</f>
        <v>36.103473121756025</v>
      </c>
      <c r="CZ47" s="17">
        <f>IF(CZ$3="","",IF(CZ$3=Steps,MAX(IF(CallPut=1,UndTree!CZ47-Strike,Strike-UndTree!CZ47),0),MAX((2-AmEur)*IF(CallPut=1,UndTree!CZ47-Strike,Strike-UndTree!CZ47),(UpProb*DA47+DownProb*DA48)*StepDiscount)))</f>
        <v>40.166348908983032</v>
      </c>
      <c r="DA47" s="17">
        <f>IF(DA$3="","",IF(DA$3=Steps,MAX(IF(CallPut=1,UndTree!DA47-Strike,Strike-UndTree!DA47),0),MAX((2-AmEur)*IF(CallPut=1,UndTree!DA47-Strike,Strike-UndTree!DA47),(UpProb*DB47+DownProb*DB48)*StepDiscount)))</f>
        <v>44.353781508393133</v>
      </c>
      <c r="DB47" s="17">
        <f>IF(DB$3="","",IF(DB$3=Steps,MAX(IF(CallPut=1,UndTree!DB47-Strike,Strike-UndTree!DB47),0),MAX((2-AmEur)*IF(CallPut=1,UndTree!DB47-Strike,Strike-UndTree!DB47),(UpProb*DC47+DownProb*DC48)*StepDiscount)))</f>
        <v>48.669542397100003</v>
      </c>
    </row>
    <row r="48" spans="1:106" x14ac:dyDescent="0.2">
      <c r="A48">
        <f>ExDivTree!A48</f>
        <v>8.7494768693060485E+28</v>
      </c>
      <c r="B48" s="71">
        <f>ExDivTree!B48</f>
        <v>3.4510601216655369E-2</v>
      </c>
      <c r="C48" s="71">
        <f>ExDivTree!C48</f>
        <v>3.5707762168627297E-2</v>
      </c>
      <c r="D48" s="177">
        <f>ExDivTree!D48</f>
        <v>44</v>
      </c>
      <c r="AW48" s="17">
        <f>IF(AW$3="","",IF(AW$3=Steps,MAX(IF(CallPut=1,UndTree!AW48-Strike,Strike-UndTree!AW48),0),MAX((2-AmEur)*IF(CallPut=1,UndTree!AW48-Strike,Strike-UndTree!AW48),(UpProb*AX48+DownProb*AX49)*StepDiscount)))</f>
        <v>1.614812884052854E-10</v>
      </c>
      <c r="AX48" s="17">
        <f>IF(AX$3="","",IF(AX$3=Steps,MAX(IF(CallPut=1,UndTree!AX48-Strike,Strike-UndTree!AX48),0),MAX((2-AmEur)*IF(CallPut=1,UndTree!AX48-Strike,Strike-UndTree!AX48),(UpProb*AY48+DownProb*AY49)*StepDiscount)))</f>
        <v>2.954080056936209E-10</v>
      </c>
      <c r="AY48" s="17">
        <f>IF(AY$3="","",IF(AY$3=Steps,MAX(IF(CallPut=1,UndTree!AY48-Strike,Strike-UndTree!AY48),0),MAX((2-AmEur)*IF(CallPut=1,UndTree!AY48-Strike,Strike-UndTree!AY48),(UpProb*AZ48+DownProb*AZ49)*StepDiscount)))</f>
        <v>5.3958053690228506E-10</v>
      </c>
      <c r="AZ48" s="17">
        <f>IF(AZ$3="","",IF(AZ$3=Steps,MAX(IF(CallPut=1,UndTree!AZ48-Strike,Strike-UndTree!AZ48),0),MAX((2-AmEur)*IF(CallPut=1,UndTree!AZ48-Strike,Strike-UndTree!AZ48),(UpProb*BA48+DownProb*BA49)*StepDiscount)))</f>
        <v>9.8401229320268892E-10</v>
      </c>
      <c r="BA48" s="17">
        <f>IF(BA$3="","",IF(BA$3=Steps,MAX(IF(CallPut=1,UndTree!BA48-Strike,Strike-UndTree!BA48),0),MAX((2-AmEur)*IF(CallPut=1,UndTree!BA48-Strike,Strike-UndTree!BA48),(UpProb*BB48+DownProb*BB49)*StepDiscount)))</f>
        <v>1.7915543864815751E-9</v>
      </c>
      <c r="BB48" s="17">
        <f>IF(BB$3="","",IF(BB$3=Steps,MAX(IF(CallPut=1,UndTree!BB48-Strike,Strike-UndTree!BB48),0),MAX((2-AmEur)*IF(CallPut=1,UndTree!BB48-Strike,Strike-UndTree!BB48),(UpProb*BC48+DownProb*BC49)*StepDiscount)))</f>
        <v>3.2562542761989436E-9</v>
      </c>
      <c r="BC48" s="17">
        <f>IF(BC$3="","",IF(BC$3=Steps,MAX(IF(CallPut=1,UndTree!BC48-Strike,Strike-UndTree!BC48),0),MAX((2-AmEur)*IF(CallPut=1,UndTree!BC48-Strike,Strike-UndTree!BC48),(UpProb*BD48+DownProb*BD49)*StepDiscount)))</f>
        <v>5.9079608485809723E-9</v>
      </c>
      <c r="BD48" s="17">
        <f>IF(BD$3="","",IF(BD$3=Steps,MAX(IF(CallPut=1,UndTree!BD48-Strike,Strike-UndTree!BD48),0),MAX((2-AmEur)*IF(CallPut=1,UndTree!BD48-Strike,Strike-UndTree!BD48),(UpProb*BE48+DownProb*BE49)*StepDiscount)))</f>
        <v>1.0699375863793174E-8</v>
      </c>
      <c r="BE48" s="17">
        <f>IF(BE$3="","",IF(BE$3=Steps,MAX(IF(CallPut=1,UndTree!BE48-Strike,Strike-UndTree!BE48),0),MAX((2-AmEur)*IF(CallPut=1,UndTree!BE48-Strike,Strike-UndTree!BE48),(UpProb*BF48+DownProb*BF49)*StepDiscount)))</f>
        <v>1.9339696946227744E-8</v>
      </c>
      <c r="BF48" s="17">
        <f>IF(BF$3="","",IF(BF$3=Steps,MAX(IF(CallPut=1,UndTree!BF48-Strike,Strike-UndTree!BF48),0),MAX((2-AmEur)*IF(CallPut=1,UndTree!BF48-Strike,Strike-UndTree!BF48),(UpProb*BG48+DownProb*BG49)*StepDiscount)))</f>
        <v>3.4888176702413312E-8</v>
      </c>
      <c r="BG48" s="17">
        <f>IF(BG$3="","",IF(BG$3=Steps,MAX(IF(CallPut=1,UndTree!BG48-Strike,Strike-UndTree!BG48),0),MAX((2-AmEur)*IF(CallPut=1,UndTree!BG48-Strike,Strike-UndTree!BG48),(UpProb*BH48+DownProb*BH49)*StepDiscount)))</f>
        <v>6.2807178995869962E-8</v>
      </c>
      <c r="BH48" s="17">
        <f>IF(BH$3="","",IF(BH$3=Steps,MAX(IF(CallPut=1,UndTree!BH48-Strike,Strike-UndTree!BH48),0),MAX((2-AmEur)*IF(CallPut=1,UndTree!BH48-Strike,Strike-UndTree!BH48),(UpProb*BI48+DownProb*BI49)*StepDiscount)))</f>
        <v>1.1282506013118084E-7</v>
      </c>
      <c r="BI48" s="17">
        <f>IF(BI$3="","",IF(BI$3=Steps,MAX(IF(CallPut=1,UndTree!BI48-Strike,Strike-UndTree!BI48),0),MAX((2-AmEur)*IF(CallPut=1,UndTree!BI48-Strike,Strike-UndTree!BI48),(UpProb*BJ48+DownProb*BJ49)*StepDiscount)))</f>
        <v>2.0222166061631997E-7</v>
      </c>
      <c r="BJ48" s="17">
        <f>IF(BJ$3="","",IF(BJ$3=Steps,MAX(IF(CallPut=1,UndTree!BJ48-Strike,Strike-UndTree!BJ48),0),MAX((2-AmEur)*IF(CallPut=1,UndTree!BJ48-Strike,Strike-UndTree!BJ48),(UpProb*BK48+DownProb*BK49)*StepDiscount)))</f>
        <v>3.6160431257858426E-7</v>
      </c>
      <c r="BK48" s="17">
        <f>IF(BK$3="","",IF(BK$3=Steps,MAX(IF(CallPut=1,UndTree!BK48-Strike,Strike-UndTree!BK48),0),MAX((2-AmEur)*IF(CallPut=1,UndTree!BK48-Strike,Strike-UndTree!BK48),(UpProb*BL48+DownProb*BL49)*StepDiscount)))</f>
        <v>6.4502810599647831E-7</v>
      </c>
      <c r="BL48" s="17">
        <f>IF(BL$3="","",IF(BL$3=Steps,MAX(IF(CallPut=1,UndTree!BL48-Strike,Strike-UndTree!BL48),0),MAX((2-AmEur)*IF(CallPut=1,UndTree!BL48-Strike,Strike-UndTree!BL48),(UpProb*BM48+DownProb*BM49)*StepDiscount)))</f>
        <v>1.1476648580120766E-6</v>
      </c>
      <c r="BM48" s="17">
        <f>IF(BM$3="","",IF(BM$3=Steps,MAX(IF(CallPut=1,UndTree!BM48-Strike,Strike-UndTree!BM48),0),MAX((2-AmEur)*IF(CallPut=1,UndTree!BM48-Strike,Strike-UndTree!BM48),(UpProb*BN48+DownProb*BN49)*StepDiscount)))</f>
        <v>2.0365355210302229E-6</v>
      </c>
      <c r="BN48" s="17">
        <f>IF(BN$3="","",IF(BN$3=Steps,MAX(IF(CallPut=1,UndTree!BN48-Strike,Strike-UndTree!BN48),0),MAX((2-AmEur)*IF(CallPut=1,UndTree!BN48-Strike,Strike-UndTree!BN48),(UpProb*BO48+DownProb*BO49)*StepDiscount)))</f>
        <v>3.6037517628635376E-6</v>
      </c>
      <c r="BO48" s="17">
        <f>IF(BO$3="","",IF(BO$3=Steps,MAX(IF(CallPut=1,UndTree!BO48-Strike,Strike-UndTree!BO48),0),MAX((2-AmEur)*IF(CallPut=1,UndTree!BO48-Strike,Strike-UndTree!BO48),(UpProb*BP48+DownProb*BP49)*StepDiscount)))</f>
        <v>6.3583635915549393E-6</v>
      </c>
      <c r="BP48" s="17">
        <f>IF(BP$3="","",IF(BP$3=Steps,MAX(IF(CallPut=1,UndTree!BP48-Strike,Strike-UndTree!BP48),0),MAX((2-AmEur)*IF(CallPut=1,UndTree!BP48-Strike,Strike-UndTree!BP48),(UpProb*BQ48+DownProb*BQ49)*StepDiscount)))</f>
        <v>1.1184095354581407E-5</v>
      </c>
      <c r="BQ48" s="17">
        <f>IF(BQ$3="","",IF(BQ$3=Steps,MAX(IF(CallPut=1,UndTree!BQ48-Strike,Strike-UndTree!BQ48),0),MAX((2-AmEur)*IF(CallPut=1,UndTree!BQ48-Strike,Strike-UndTree!BQ48),(UpProb*BR48+DownProb*BR49)*StepDiscount)))</f>
        <v>1.9608940202827383E-5</v>
      </c>
      <c r="BR48" s="17">
        <f>IF(BR$3="","",IF(BR$3=Steps,MAX(IF(CallPut=1,UndTree!BR48-Strike,Strike-UndTree!BR48),0),MAX((2-AmEur)*IF(CallPut=1,UndTree!BR48-Strike,Strike-UndTree!BR48),(UpProb*BS48+DownProb*BS49)*StepDiscount)))</f>
        <v>3.4263582790401489E-5</v>
      </c>
      <c r="BS48" s="17">
        <f>IF(BS$3="","",IF(BS$3=Steps,MAX(IF(CallPut=1,UndTree!BS48-Strike,Strike-UndTree!BS48),0),MAX((2-AmEur)*IF(CallPut=1,UndTree!BS48-Strike,Strike-UndTree!BS48),(UpProb*BT48+DownProb*BT49)*StepDiscount)))</f>
        <v>5.9656643075335156E-5</v>
      </c>
      <c r="BT48" s="17">
        <f>IF(BT$3="","",IF(BT$3=Steps,MAX(IF(CallPut=1,UndTree!BT48-Strike,Strike-UndTree!BT48),0),MAX((2-AmEur)*IF(CallPut=1,UndTree!BT48-Strike,Strike-UndTree!BT48),(UpProb*BU48+DownProb*BU49)*StepDiscount)))</f>
        <v>1.0347799731487998E-4</v>
      </c>
      <c r="BU48" s="17">
        <f>IF(BU$3="","",IF(BU$3=Steps,MAX(IF(CallPut=1,UndTree!BU48-Strike,Strike-UndTree!BU48),0),MAX((2-AmEur)*IF(CallPut=1,UndTree!BU48-Strike,Strike-UndTree!BU48),(UpProb*BV48+DownProb*BV49)*StepDiscount)))</f>
        <v>1.7877602666597887E-4</v>
      </c>
      <c r="BV48" s="17">
        <f>IF(BV$3="","",IF(BV$3=Steps,MAX(IF(CallPut=1,UndTree!BV48-Strike,Strike-UndTree!BV48),0),MAX((2-AmEur)*IF(CallPut=1,UndTree!BV48-Strike,Strike-UndTree!BV48),(UpProb*BW48+DownProb*BW49)*StepDiscount)))</f>
        <v>3.0756993440613916E-4</v>
      </c>
      <c r="BW48" s="17">
        <f>IF(BW$3="","",IF(BW$3=Steps,MAX(IF(CallPut=1,UndTree!BW48-Strike,Strike-UndTree!BW48),0),MAX((2-AmEur)*IF(CallPut=1,UndTree!BW48-Strike,Strike-UndTree!BW48),(UpProb*BX48+DownProb*BX49)*StepDiscount)))</f>
        <v>5.2679859718666804E-4</v>
      </c>
      <c r="BX48" s="17">
        <f>IF(BX$3="","",IF(BX$3=Steps,MAX(IF(CallPut=1,UndTree!BX48-Strike,Strike-UndTree!BX48),0),MAX((2-AmEur)*IF(CallPut=1,UndTree!BX48-Strike,Strike-UndTree!BX48),(UpProb*BY48+DownProb*BY49)*StepDiscount)))</f>
        <v>8.9803824271784299E-4</v>
      </c>
      <c r="BY48" s="17">
        <f>IF(BY$3="","",IF(BY$3=Steps,MAX(IF(CallPut=1,UndTree!BY48-Strike,Strike-UndTree!BY48),0),MAX((2-AmEur)*IF(CallPut=1,UndTree!BY48-Strike,Strike-UndTree!BY48),(UpProb*BZ48+DownProb*BZ49)*StepDiscount)))</f>
        <v>1.5232366293488012E-3</v>
      </c>
      <c r="BZ48" s="17">
        <f>IF(BZ$3="","",IF(BZ$3=Steps,MAX(IF(CallPut=1,UndTree!BZ48-Strike,Strike-UndTree!BZ48),0),MAX((2-AmEur)*IF(CallPut=1,UndTree!BZ48-Strike,Strike-UndTree!BZ48),(UpProb*CA48+DownProb*CA49)*StepDiscount)))</f>
        <v>2.5699418019123365E-3</v>
      </c>
      <c r="CA48" s="17">
        <f>IF(CA$3="","",IF(CA$3=Steps,MAX(IF(CallPut=1,UndTree!CA48-Strike,Strike-UndTree!CA48),0),MAX((2-AmEur)*IF(CallPut=1,UndTree!CA48-Strike,Strike-UndTree!CA48),(UpProb*CB48+DownProb*CB49)*StepDiscount)))</f>
        <v>4.311321525593448E-3</v>
      </c>
      <c r="CB48" s="17">
        <f>IF(CB$3="","",IF(CB$3=Steps,MAX(IF(CallPut=1,UndTree!CB48-Strike,Strike-UndTree!CB48),0),MAX((2-AmEur)*IF(CallPut=1,UndTree!CB48-Strike,Strike-UndTree!CB48),(UpProb*CC48+DownProb*CC49)*StepDiscount)))</f>
        <v>7.1888883956883589E-3</v>
      </c>
      <c r="CC48" s="17">
        <f>IF(CC$3="","",IF(CC$3=Steps,MAX(IF(CallPut=1,UndTree!CC48-Strike,Strike-UndTree!CC48),0),MAX((2-AmEur)*IF(CallPut=1,UndTree!CC48-Strike,Strike-UndTree!CC48),(UpProb*CD48+DownProb*CD49)*StepDiscount)))</f>
        <v>1.1909500647948768E-2</v>
      </c>
      <c r="CD48" s="17">
        <f>IF(CD$3="","",IF(CD$3=Steps,MAX(IF(CallPut=1,UndTree!CD48-Strike,Strike-UndTree!CD48),0),MAX((2-AmEur)*IF(CallPut=1,UndTree!CD48-Strike,Strike-UndTree!CD48),(UpProb*CE48+DownProb*CE49)*StepDiscount)))</f>
        <v>1.9593104528125245E-2</v>
      </c>
      <c r="CE48" s="17">
        <f>IF(CE$3="","",IF(CE$3=Steps,MAX(IF(CallPut=1,UndTree!CE48-Strike,Strike-UndTree!CE48),0),MAX((2-AmEur)*IF(CallPut=1,UndTree!CE48-Strike,Strike-UndTree!CE48),(UpProb*CF48+DownProb*CF49)*StepDiscount)))</f>
        <v>3.1993881380883549E-2</v>
      </c>
      <c r="CF48" s="17">
        <f>IF(CF$3="","",IF(CF$3=Steps,MAX(IF(CallPut=1,UndTree!CF48-Strike,Strike-UndTree!CF48),0),MAX((2-AmEur)*IF(CallPut=1,UndTree!CF48-Strike,Strike-UndTree!CF48),(UpProb*CG48+DownProb*CG49)*StepDiscount)))</f>
        <v>5.182466520870524E-2</v>
      </c>
      <c r="CG48" s="17">
        <f>IF(CG$3="","",IF(CG$3=Steps,MAX(IF(CallPut=1,UndTree!CG48-Strike,Strike-UndTree!CG48),0),MAX((2-AmEur)*IF(CallPut=1,UndTree!CG48-Strike,Strike-UndTree!CG48),(UpProb*CH48+DownProb*CH49)*StepDiscount)))</f>
        <v>8.3221690833941514E-2</v>
      </c>
      <c r="CH48" s="17">
        <f>IF(CH$3="","",IF(CH$3=Steps,MAX(IF(CallPut=1,UndTree!CH48-Strike,Strike-UndTree!CH48),0),MAX((2-AmEur)*IF(CallPut=1,UndTree!CH48-Strike,Strike-UndTree!CH48),(UpProb*CI48+DownProb*CI49)*StepDiscount)))</f>
        <v>0.13239163407461421</v>
      </c>
      <c r="CI48" s="17">
        <f>IF(CI$3="","",IF(CI$3=Steps,MAX(IF(CallPut=1,UndTree!CI48-Strike,Strike-UndTree!CI48),0),MAX((2-AmEur)*IF(CallPut=1,UndTree!CI48-Strike,Strike-UndTree!CI48),(UpProb*CJ48+DownProb*CJ49)*StepDiscount)))</f>
        <v>0.2084811986163288</v>
      </c>
      <c r="CJ48" s="17">
        <f>IF(CJ$3="","",IF(CJ$3=Steps,MAX(IF(CallPut=1,UndTree!CJ48-Strike,Strike-UndTree!CJ48),0),MAX((2-AmEur)*IF(CallPut=1,UndTree!CJ48-Strike,Strike-UndTree!CJ48),(UpProb*CK48+DownProb*CK49)*StepDiscount)))</f>
        <v>0.32469397571530828</v>
      </c>
      <c r="CK48" s="17">
        <f>IF(CK$3="","",IF(CK$3=Steps,MAX(IF(CallPut=1,UndTree!CK48-Strike,Strike-UndTree!CK48),0),MAX((2-AmEur)*IF(CallPut=1,UndTree!CK48-Strike,Strike-UndTree!CK48),(UpProb*CL48+DownProb*CL49)*StepDiscount)))</f>
        <v>0.49963918822793885</v>
      </c>
      <c r="CL48" s="17">
        <f>IF(CL$3="","",IF(CL$3=Steps,MAX(IF(CallPut=1,UndTree!CL48-Strike,Strike-UndTree!CL48),0),MAX((2-AmEur)*IF(CallPut=1,UndTree!CL48-Strike,Strike-UndTree!CL48),(UpProb*CM48+DownProb*CM49)*StepDiscount)))</f>
        <v>0.75881824336249681</v>
      </c>
      <c r="CM48" s="17">
        <f>IF(CM$3="","",IF(CM$3=Steps,MAX(IF(CallPut=1,UndTree!CM48-Strike,Strike-UndTree!CM48),0),MAX((2-AmEur)*IF(CallPut=1,UndTree!CM48-Strike,Strike-UndTree!CM48),(UpProb*CN48+DownProb*CN49)*StepDiscount)))</f>
        <v>1.1360233100027415</v>
      </c>
      <c r="CN48" s="17">
        <f>IF(CN$3="","",IF(CN$3=Steps,MAX(IF(CallPut=1,UndTree!CN48-Strike,Strike-UndTree!CN48),0),MAX((2-AmEur)*IF(CallPut=1,UndTree!CN48-Strike,Strike-UndTree!CN48),(UpProb*CO48+DownProb*CO49)*StepDiscount)))</f>
        <v>1.6742300078324337</v>
      </c>
      <c r="CO48" s="17">
        <f>IF(CO$3="","",IF(CO$3=Steps,MAX(IF(CallPut=1,UndTree!CO48-Strike,Strike-UndTree!CO48),0),MAX((2-AmEur)*IF(CallPut=1,UndTree!CO48-Strike,Strike-UndTree!CO48),(UpProb*CP48+DownProb*CP49)*StepDiscount)))</f>
        <v>2.4253286166782071</v>
      </c>
      <c r="CP48" s="17">
        <f>IF(CP$3="","",IF(CP$3=Steps,MAX(IF(CallPut=1,UndTree!CP48-Strike,Strike-UndTree!CP48),0),MAX((2-AmEur)*IF(CallPut=1,UndTree!CP48-Strike,Strike-UndTree!CP48),(UpProb*CQ48+DownProb*CQ49)*StepDiscount)))</f>
        <v>3.4478171880456054</v>
      </c>
      <c r="CQ48" s="17">
        <f>IF(CQ$3="","",IF(CQ$3=Steps,MAX(IF(CallPut=1,UndTree!CQ48-Strike,Strike-UndTree!CQ48),0),MAX((2-AmEur)*IF(CallPut=1,UndTree!CQ48-Strike,Strike-UndTree!CQ48),(UpProb*CR48+DownProb*CR49)*StepDiscount)))</f>
        <v>4.8015173355320782</v>
      </c>
      <c r="CR48" s="17">
        <f>IF(CR$3="","",IF(CR$3=Steps,MAX(IF(CallPut=1,UndTree!CR48-Strike,Strike-UndTree!CR48),0),MAX((2-AmEur)*IF(CallPut=1,UndTree!CR48-Strike,Strike-UndTree!CR48),(UpProb*CS48+DownProb*CS49)*StepDiscount)))</f>
        <v>6.5387141906717208</v>
      </c>
      <c r="CS48" s="17">
        <f>IF(CS$3="","",IF(CS$3=Steps,MAX(IF(CallPut=1,UndTree!CS48-Strike,Strike-UndTree!CS48),0),MAX((2-AmEur)*IF(CallPut=1,UndTree!CS48-Strike,Strike-UndTree!CS48),(UpProb*CT48+DownProb*CT49)*StepDiscount)))</f>
        <v>8.692186567919455</v>
      </c>
      <c r="CT48" s="17">
        <f>IF(CT$3="","",IF(CT$3=Steps,MAX(IF(CallPut=1,UndTree!CT48-Strike,Strike-UndTree!CT48),0),MAX((2-AmEur)*IF(CallPut=1,UndTree!CT48-Strike,Strike-UndTree!CT48),(UpProb*CU48+DownProb*CU49)*StepDiscount)))</f>
        <v>11.262617640910157</v>
      </c>
      <c r="CU48" s="17">
        <f>IF(CU$3="","",IF(CU$3=Steps,MAX(IF(CallPut=1,UndTree!CU48-Strike,Strike-UndTree!CU48),0),MAX((2-AmEur)*IF(CallPut=1,UndTree!CU48-Strike,Strike-UndTree!CU48),(UpProb*CV48+DownProb*CV49)*StepDiscount)))</f>
        <v>14.210608839603964</v>
      </c>
      <c r="CV48" s="17">
        <f>IF(CV$3="","",IF(CV$3=Steps,MAX(IF(CallPut=1,UndTree!CV48-Strike,Strike-UndTree!CV48),0),MAX((2-AmEur)*IF(CallPut=1,UndTree!CV48-Strike,Strike-UndTree!CV48),(UpProb*CW48+DownProb*CW49)*StepDiscount)))</f>
        <v>17.460540330151819</v>
      </c>
      <c r="CW48" s="17">
        <f>IF(CW$3="","",IF(CW$3=Steps,MAX(IF(CallPut=1,UndTree!CW48-Strike,Strike-UndTree!CW48),0),MAX((2-AmEur)*IF(CallPut=1,UndTree!CW48-Strike,Strike-UndTree!CW48),(UpProb*CX48+DownProb*CX49)*StepDiscount)))</f>
        <v>20.921641471139992</v>
      </c>
      <c r="CX48" s="17">
        <f>IF(CX$3="","",IF(CX$3=Steps,MAX(IF(CallPut=1,UndTree!CX48-Strike,Strike-UndTree!CX48),0),MAX((2-AmEur)*IF(CallPut=1,UndTree!CX48-Strike,Strike-UndTree!CX48),(UpProb*CY48+DownProb*CY49)*StepDiscount)))</f>
        <v>24.521800491066376</v>
      </c>
      <c r="CY48" s="17">
        <f>IF(CY$3="","",IF(CY$3=Steps,MAX(IF(CallPut=1,UndTree!CY48-Strike,Strike-UndTree!CY48),0),MAX((2-AmEur)*IF(CallPut=1,UndTree!CY48-Strike,Strike-UndTree!CY48),(UpProb*CZ48+DownProb*CZ49)*StepDiscount)))</f>
        <v>28.232507057689006</v>
      </c>
      <c r="CZ48" s="17">
        <f>IF(CZ$3="","",IF(CZ$3=Steps,MAX(IF(CallPut=1,UndTree!CZ48-Strike,Strike-UndTree!CZ48),0),MAX((2-AmEur)*IF(CallPut=1,UndTree!CZ48-Strike,Strike-UndTree!CZ48),(UpProb*DA48+DownProb*DA49)*StepDiscount)))</f>
        <v>32.057108550149259</v>
      </c>
      <c r="DA48" s="17">
        <f>IF(DA$3="","",IF(DA$3=Steps,MAX(IF(CallPut=1,UndTree!DA48-Strike,Strike-UndTree!DA48),0),MAX((2-AmEur)*IF(CallPut=1,UndTree!DA48-Strike,Strike-UndTree!DA48),(UpProb*DB48+DownProb*DB49)*StepDiscount)))</f>
        <v>35.999053681537866</v>
      </c>
      <c r="DB48" s="17">
        <f>IF(DB$3="","",IF(DB$3=Steps,MAX(IF(CallPut=1,UndTree!DB48-Strike,Strike-UndTree!DB48),0),MAX((2-AmEur)*IF(CallPut=1,UndTree!DB48-Strike,Strike-UndTree!DB48),(UpProb*DC48+DownProb*DC49)*StepDiscount)))</f>
        <v>40.061895566499999</v>
      </c>
    </row>
    <row r="49" spans="1:106" x14ac:dyDescent="0.2">
      <c r="A49">
        <f>ExDivTree!A49</f>
        <v>1.1082670701120991E+29</v>
      </c>
      <c r="B49" s="71">
        <f>ExDivTree!B49</f>
        <v>4.3713428207763451E-2</v>
      </c>
      <c r="C49" s="71">
        <f>ExDivTree!C49</f>
        <v>4.4990704496602453E-2</v>
      </c>
      <c r="D49" s="177">
        <f>ExDivTree!D49</f>
        <v>45</v>
      </c>
      <c r="AX49" s="17">
        <f>IF(AX$3="","",IF(AX$3=Steps,MAX(IF(CallPut=1,UndTree!AX49-Strike,Strike-UndTree!AX49),0),MAX((2-AmEur)*IF(CallPut=1,UndTree!AX49-Strike,Strike-UndTree!AX49),(UpProb*AY49+DownProb*AY50)*StepDiscount)))</f>
        <v>2.7013180876368099E-11</v>
      </c>
      <c r="AY49" s="17">
        <f>IF(AY$3="","",IF(AY$3=Steps,MAX(IF(CallPut=1,UndTree!AY49-Strike,Strike-UndTree!AY49),0),MAX((2-AmEur)*IF(CallPut=1,UndTree!AY49-Strike,Strike-UndTree!AY49),(UpProb*AZ49+DownProb*AZ50)*StepDiscount)))</f>
        <v>5.024947645089788E-11</v>
      </c>
      <c r="AZ49" s="17">
        <f>IF(AZ$3="","",IF(AZ$3=Steps,MAX(IF(CallPut=1,UndTree!AZ49-Strike,Strike-UndTree!AZ49),0),MAX((2-AmEur)*IF(CallPut=1,UndTree!AZ49-Strike,Strike-UndTree!AZ49),(UpProb*BA49+DownProb*BA50)*StepDiscount)))</f>
        <v>9.3356108975504879E-11</v>
      </c>
      <c r="BA49" s="17">
        <f>IF(BA$3="","",IF(BA$3=Steps,MAX(IF(CallPut=1,UndTree!BA49-Strike,Strike-UndTree!BA49),0),MAX((2-AmEur)*IF(CallPut=1,UndTree!BA49-Strike,Strike-UndTree!BA49),(UpProb*BB49+DownProb*BB50)*StepDiscount)))</f>
        <v>1.7321665838353182E-10</v>
      </c>
      <c r="BB49" s="17">
        <f>IF(BB$3="","",IF(BB$3=Steps,MAX(IF(CallPut=1,UndTree!BB49-Strike,Strike-UndTree!BB49),0),MAX((2-AmEur)*IF(CallPut=1,UndTree!BB49-Strike,Strike-UndTree!BB49),(UpProb*BC49+DownProb*BC50)*StepDiscount)))</f>
        <v>3.2096045657025976E-10</v>
      </c>
      <c r="BC49" s="17">
        <f>IF(BC$3="","",IF(BC$3=Steps,MAX(IF(CallPut=1,UndTree!BC49-Strike,Strike-UndTree!BC49),0),MAX((2-AmEur)*IF(CallPut=1,UndTree!BC49-Strike,Strike-UndTree!BC49),(UpProb*BD49+DownProb*BD50)*StepDiscount)))</f>
        <v>5.9389059499078828E-10</v>
      </c>
      <c r="BD49" s="17">
        <f>IF(BD$3="","",IF(BD$3=Steps,MAX(IF(CallPut=1,UndTree!BD49-Strike,Strike-UndTree!BD49),0),MAX((2-AmEur)*IF(CallPut=1,UndTree!BD49-Strike,Strike-UndTree!BD49),(UpProb*BE49+DownProb*BE50)*StepDiscount)))</f>
        <v>1.0973148357030824E-9</v>
      </c>
      <c r="BE49" s="17">
        <f>IF(BE$3="","",IF(BE$3=Steps,MAX(IF(CallPut=1,UndTree!BE49-Strike,Strike-UndTree!BE49),0),MAX((2-AmEur)*IF(CallPut=1,UndTree!BE49-Strike,Strike-UndTree!BE49),(UpProb*BF49+DownProb*BF50)*StepDiscount)))</f>
        <v>2.0244237992211407E-9</v>
      </c>
      <c r="BF49" s="17">
        <f>IF(BF$3="","",IF(BF$3=Steps,MAX(IF(CallPut=1,UndTree!BF49-Strike,Strike-UndTree!BF49),0),MAX((2-AmEur)*IF(CallPut=1,UndTree!BF49-Strike,Strike-UndTree!BF49),(UpProb*BG49+DownProb*BG50)*StepDiscount)))</f>
        <v>3.7289885065287078E-9</v>
      </c>
      <c r="BG49" s="17">
        <f>IF(BG$3="","",IF(BG$3=Steps,MAX(IF(CallPut=1,UndTree!BG49-Strike,Strike-UndTree!BG49),0),MAX((2-AmEur)*IF(CallPut=1,UndTree!BG49-Strike,Strike-UndTree!BG49),(UpProb*BH49+DownProb*BH50)*StepDiscount)))</f>
        <v>6.8576065670933445E-9</v>
      </c>
      <c r="BH49" s="17">
        <f>IF(BH$3="","",IF(BH$3=Steps,MAX(IF(CallPut=1,UndTree!BH49-Strike,Strike-UndTree!BH49),0),MAX((2-AmEur)*IF(CallPut=1,UndTree!BH49-Strike,Strike-UndTree!BH49),(UpProb*BI49+DownProb*BI50)*StepDiscount)))</f>
        <v>1.2589740742491312E-8</v>
      </c>
      <c r="BI49" s="17">
        <f>IF(BI$3="","",IF(BI$3=Steps,MAX(IF(CallPut=1,UndTree!BI49-Strike,Strike-UndTree!BI49),0),MAX((2-AmEur)*IF(CallPut=1,UndTree!BI49-Strike,Strike-UndTree!BI49),(UpProb*BJ49+DownProb*BJ50)*StepDiscount)))</f>
        <v>2.3072394500783474E-8</v>
      </c>
      <c r="BJ49" s="17">
        <f>IF(BJ$3="","",IF(BJ$3=Steps,MAX(IF(CallPut=1,UndTree!BJ49-Strike,Strike-UndTree!BJ49),0),MAX((2-AmEur)*IF(CallPut=1,UndTree!BJ49-Strike,Strike-UndTree!BJ49),(UpProb*BK49+DownProb*BK50)*StepDiscount)))</f>
        <v>4.2205318612115032E-8</v>
      </c>
      <c r="BK49" s="17">
        <f>IF(BK$3="","",IF(BK$3=Steps,MAX(IF(CallPut=1,UndTree!BK49-Strike,Strike-UndTree!BK49),0),MAX((2-AmEur)*IF(CallPut=1,UndTree!BK49-Strike,Strike-UndTree!BK49),(UpProb*BL49+DownProb*BL50)*StepDiscount)))</f>
        <v>7.705576613512973E-8</v>
      </c>
      <c r="BL49" s="17">
        <f>IF(BL$3="","",IF(BL$3=Steps,MAX(IF(CallPut=1,UndTree!BL49-Strike,Strike-UndTree!BL49),0),MAX((2-AmEur)*IF(CallPut=1,UndTree!BL49-Strike,Strike-UndTree!BL49),(UpProb*BM49+DownProb*BM50)*StepDiscount)))</f>
        <v>1.4040061536020817E-7</v>
      </c>
      <c r="BM49" s="17">
        <f>IF(BM$3="","",IF(BM$3=Steps,MAX(IF(CallPut=1,UndTree!BM49-Strike,Strike-UndTree!BM49),0),MAX((2-AmEur)*IF(CallPut=1,UndTree!BM49-Strike,Strike-UndTree!BM49),(UpProb*BN49+DownProb*BN50)*StepDiscount)))</f>
        <v>2.5528111637678886E-7</v>
      </c>
      <c r="BN49" s="17">
        <f>IF(BN$3="","",IF(BN$3=Steps,MAX(IF(CallPut=1,UndTree!BN49-Strike,Strike-UndTree!BN49),0),MAX((2-AmEur)*IF(CallPut=1,UndTree!BN49-Strike,Strike-UndTree!BN49),(UpProb*BO49+DownProb*BO50)*StepDiscount)))</f>
        <v>4.6313892654638943E-7</v>
      </c>
      <c r="BO49" s="17">
        <f>IF(BO$3="","",IF(BO$3=Steps,MAX(IF(CallPut=1,UndTree!BO49-Strike,Strike-UndTree!BO49),0),MAX((2-AmEur)*IF(CallPut=1,UndTree!BO49-Strike,Strike-UndTree!BO49),(UpProb*BP49+DownProb*BP50)*StepDiscount)))</f>
        <v>8.3830264721120222E-7</v>
      </c>
      <c r="BP49" s="17">
        <f>IF(BP$3="","",IF(BP$3=Steps,MAX(IF(CallPut=1,UndTree!BP49-Strike,Strike-UndTree!BP49),0),MAX((2-AmEur)*IF(CallPut=1,UndTree!BP49-Strike,Strike-UndTree!BP49),(UpProb*BQ49+DownProb*BQ50)*StepDiscount)))</f>
        <v>1.5136938155187657E-6</v>
      </c>
      <c r="BQ49" s="17">
        <f>IF(BQ$3="","",IF(BQ$3=Steps,MAX(IF(CallPut=1,UndTree!BQ49-Strike,Strike-UndTree!BQ49),0),MAX((2-AmEur)*IF(CallPut=1,UndTree!BQ49-Strike,Strike-UndTree!BQ49),(UpProb*BR49+DownProb*BR50)*StepDiscount)))</f>
        <v>2.726276389370329E-6</v>
      </c>
      <c r="BR49" s="17">
        <f>IF(BR$3="","",IF(BR$3=Steps,MAX(IF(CallPut=1,UndTree!BR49-Strike,Strike-UndTree!BR49),0),MAX((2-AmEur)*IF(CallPut=1,UndTree!BR49-Strike,Strike-UndTree!BR49),(UpProb*BS49+DownProb*BS50)*StepDiscount)))</f>
        <v>4.8971038898701054E-6</v>
      </c>
      <c r="BS49" s="17">
        <f>IF(BS$3="","",IF(BS$3=Steps,MAX(IF(CallPut=1,UndTree!BS49-Strike,Strike-UndTree!BS49),0),MAX((2-AmEur)*IF(CallPut=1,UndTree!BS49-Strike,Strike-UndTree!BS49),(UpProb*BT49+DownProb*BT50)*StepDiscount)))</f>
        <v>8.7717209264896377E-6</v>
      </c>
      <c r="BT49" s="17">
        <f>IF(BT$3="","",IF(BT$3=Steps,MAX(IF(CallPut=1,UndTree!BT49-Strike,Strike-UndTree!BT49),0),MAX((2-AmEur)*IF(CallPut=1,UndTree!BT49-Strike,Strike-UndTree!BT49),(UpProb*BU49+DownProb*BU50)*StepDiscount)))</f>
        <v>1.5665341284235745E-5</v>
      </c>
      <c r="BU49" s="17">
        <f>IF(BU$3="","",IF(BU$3=Steps,MAX(IF(CallPut=1,UndTree!BU49-Strike,Strike-UndTree!BU49),0),MAX((2-AmEur)*IF(CallPut=1,UndTree!BU49-Strike,Strike-UndTree!BU49),(UpProb*BV49+DownProb*BV50)*StepDiscount)))</f>
        <v>2.7888971946170281E-5</v>
      </c>
      <c r="BV49" s="17">
        <f>IF(BV$3="","",IF(BV$3=Steps,MAX(IF(CallPut=1,UndTree!BV49-Strike,Strike-UndTree!BV49),0),MAX((2-AmEur)*IF(CallPut=1,UndTree!BV49-Strike,Strike-UndTree!BV49),(UpProb*BW49+DownProb*BW50)*StepDiscount)))</f>
        <v>4.948626360755944E-5</v>
      </c>
      <c r="BW49" s="17">
        <f>IF(BW$3="","",IF(BW$3=Steps,MAX(IF(CallPut=1,UndTree!BW49-Strike,Strike-UndTree!BW49),0),MAX((2-AmEur)*IF(CallPut=1,UndTree!BW49-Strike,Strike-UndTree!BW49),(UpProb*BX49+DownProb*BX50)*StepDiscount)))</f>
        <v>8.7500687719849343E-5</v>
      </c>
      <c r="BX49" s="17">
        <f>IF(BX$3="","",IF(BX$3=Steps,MAX(IF(CallPut=1,UndTree!BX49-Strike,Strike-UndTree!BX49),0),MAX((2-AmEur)*IF(CallPut=1,UndTree!BX49-Strike,Strike-UndTree!BX49),(UpProb*BY49+DownProb*BY50)*StepDiscount)))</f>
        <v>1.5414180857580335E-4</v>
      </c>
      <c r="BY49" s="17">
        <f>IF(BY$3="","",IF(BY$3=Steps,MAX(IF(CallPut=1,UndTree!BY49-Strike,Strike-UndTree!BY49),0),MAX((2-AmEur)*IF(CallPut=1,UndTree!BY49-Strike,Strike-UndTree!BY49),(UpProb*BZ49+DownProb*BZ50)*StepDiscount)))</f>
        <v>2.7046473769486401E-4</v>
      </c>
      <c r="BZ49" s="17">
        <f>IF(BZ$3="","",IF(BZ$3=Steps,MAX(IF(CallPut=1,UndTree!BZ49-Strike,Strike-UndTree!BZ49),0),MAX((2-AmEur)*IF(CallPut=1,UndTree!BZ49-Strike,Strike-UndTree!BZ49),(UpProb*CA49+DownProb*CA50)*StepDiscount)))</f>
        <v>4.7257587975913147E-4</v>
      </c>
      <c r="CA49" s="17">
        <f>IF(CA$3="","",IF(CA$3=Steps,MAX(IF(CallPut=1,UndTree!CA49-Strike,Strike-UndTree!CA49),0),MAX((2-AmEur)*IF(CallPut=1,UndTree!CA49-Strike,Strike-UndTree!CA49),(UpProb*CB49+DownProb*CB50)*StepDiscount)))</f>
        <v>8.2201902513545004E-4</v>
      </c>
      <c r="CB49" s="17">
        <f>IF(CB$3="","",IF(CB$3=Steps,MAX(IF(CallPut=1,UndTree!CB49-Strike,Strike-UndTree!CB49),0),MAX((2-AmEur)*IF(CallPut=1,UndTree!CB49-Strike,Strike-UndTree!CB49),(UpProb*CC49+DownProb*CC50)*StepDiscount)))</f>
        <v>1.4230106648814062E-3</v>
      </c>
      <c r="CC49" s="17">
        <f>IF(CC$3="","",IF(CC$3=Steps,MAX(IF(CallPut=1,UndTree!CC49-Strike,Strike-UndTree!CC49),0),MAX((2-AmEur)*IF(CallPut=1,UndTree!CC49-Strike,Strike-UndTree!CC49),(UpProb*CD49+DownProb*CD50)*StepDiscount)))</f>
        <v>2.4507734265663576E-3</v>
      </c>
      <c r="CD49" s="17">
        <f>IF(CD$3="","",IF(CD$3=Steps,MAX(IF(CallPut=1,UndTree!CD49-Strike,Strike-UndTree!CD49),0),MAX((2-AmEur)*IF(CallPut=1,UndTree!CD49-Strike,Strike-UndTree!CD49),(UpProb*CE49+DownProb*CE50)*StepDiscount)))</f>
        <v>4.1976280117461571E-3</v>
      </c>
      <c r="CE49" s="17">
        <f>IF(CE$3="","",IF(CE$3=Steps,MAX(IF(CallPut=1,UndTree!CE49-Strike,Strike-UndTree!CE49),0),MAX((2-AmEur)*IF(CallPut=1,UndTree!CE49-Strike,Strike-UndTree!CE49),(UpProb*CF49+DownProb*CF50)*StepDiscount)))</f>
        <v>7.1470966321816034E-3</v>
      </c>
      <c r="CF49" s="17">
        <f>IF(CF$3="","",IF(CF$3=Steps,MAX(IF(CallPut=1,UndTree!CF49-Strike,Strike-UndTree!CF49),0),MAX((2-AmEur)*IF(CallPut=1,UndTree!CF49-Strike,Strike-UndTree!CF49),(UpProb*CG49+DownProb*CG50)*StepDiscount)))</f>
        <v>1.2091464152388785E-2</v>
      </c>
      <c r="CG49" s="17">
        <f>IF(CG$3="","",IF(CG$3=Steps,MAX(IF(CallPut=1,UndTree!CG49-Strike,Strike-UndTree!CG49),0),MAX((2-AmEur)*IF(CallPut=1,UndTree!CG49-Strike,Strike-UndTree!CG49),(UpProb*CH49+DownProb*CH50)*StepDiscount)))</f>
        <v>2.03154615900604E-2</v>
      </c>
      <c r="CH49" s="17">
        <f>IF(CH$3="","",IF(CH$3=Steps,MAX(IF(CallPut=1,UndTree!CH49-Strike,Strike-UndTree!CH49),0),MAX((2-AmEur)*IF(CallPut=1,UndTree!CH49-Strike,Strike-UndTree!CH49),(UpProb*CI49+DownProb*CI50)*StepDiscount)))</f>
        <v>3.3878243894887174E-2</v>
      </c>
      <c r="CI49" s="17">
        <f>IF(CI$3="","",IF(CI$3=Steps,MAX(IF(CallPut=1,UndTree!CI49-Strike,Strike-UndTree!CI49),0),MAX((2-AmEur)*IF(CallPut=1,UndTree!CI49-Strike,Strike-UndTree!CI49),(UpProb*CJ49+DownProb*CJ50)*StepDiscount)))</f>
        <v>5.6037383504305892E-2</v>
      </c>
      <c r="CJ49" s="17">
        <f>IF(CJ$3="","",IF(CJ$3=Steps,MAX(IF(CallPut=1,UndTree!CJ49-Strike,Strike-UndTree!CJ49),0),MAX((2-AmEur)*IF(CallPut=1,UndTree!CJ49-Strike,Strike-UndTree!CJ49),(UpProb*CK49+DownProb*CK50)*StepDiscount)))</f>
        <v>9.1870787927804468E-2</v>
      </c>
      <c r="CK49" s="17">
        <f>IF(CK$3="","",IF(CK$3=Steps,MAX(IF(CallPut=1,UndTree!CK49-Strike,Strike-UndTree!CK49),0),MAX((2-AmEur)*IF(CallPut=1,UndTree!CK49-Strike,Strike-UndTree!CK49),(UpProb*CL49+DownProb*CL50)*StepDiscount)))</f>
        <v>0.14916162144280795</v>
      </c>
      <c r="CL49" s="17">
        <f>IF(CL$3="","",IF(CL$3=Steps,MAX(IF(CallPut=1,UndTree!CL49-Strike,Strike-UndTree!CL49),0),MAX((2-AmEur)*IF(CallPut=1,UndTree!CL49-Strike,Strike-UndTree!CL49),(UpProb*CM49+DownProb*CM50)*StepDiscount)))</f>
        <v>0.23960993148080531</v>
      </c>
      <c r="CM49" s="17">
        <f>IF(CM$3="","",IF(CM$3=Steps,MAX(IF(CallPut=1,UndTree!CM49-Strike,Strike-UndTree!CM49),0),MAX((2-AmEur)*IF(CallPut=1,UndTree!CM49-Strike,Strike-UndTree!CM49),(UpProb*CN49+DownProb*CN50)*StepDiscount)))</f>
        <v>0.38040921338957567</v>
      </c>
      <c r="CN49" s="17">
        <f>IF(CN$3="","",IF(CN$3=Steps,MAX(IF(CallPut=1,UndTree!CN49-Strike,Strike-UndTree!CN49),0),MAX((2-AmEur)*IF(CallPut=1,UndTree!CN49-Strike,Strike-UndTree!CN49),(UpProb*CO49+DownProb*CO50)*StepDiscount)))</f>
        <v>0.59615504090899774</v>
      </c>
      <c r="CO49" s="17">
        <f>IF(CO$3="","",IF(CO$3=Steps,MAX(IF(CallPut=1,UndTree!CO49-Strike,Strike-UndTree!CO49),0),MAX((2-AmEur)*IF(CallPut=1,UndTree!CO49-Strike,Strike-UndTree!CO49),(UpProb*CP49+DownProb*CP50)*StepDiscount)))</f>
        <v>0.92090635058653492</v>
      </c>
      <c r="CP49" s="17">
        <f>IF(CP$3="","",IF(CP$3=Steps,MAX(IF(CallPut=1,UndTree!CP49-Strike,Strike-UndTree!CP49),0),MAX((2-AmEur)*IF(CallPut=1,UndTree!CP49-Strike,Strike-UndTree!CP49),(UpProb*CQ49+DownProb*CQ50)*StepDiscount)))</f>
        <v>1.3999652978105377</v>
      </c>
      <c r="CQ49" s="17">
        <f>IF(CQ$3="","",IF(CQ$3=Steps,MAX(IF(CallPut=1,UndTree!CQ49-Strike,Strike-UndTree!CQ49),0),MAX((2-AmEur)*IF(CallPut=1,UndTree!CQ49-Strike,Strike-UndTree!CQ49),(UpProb*CR49+DownProb*CR50)*StepDiscount)))</f>
        <v>2.0905610792464819</v>
      </c>
      <c r="CR49" s="17">
        <f>IF(CR$3="","",IF(CR$3=Steps,MAX(IF(CallPut=1,UndTree!CR49-Strike,Strike-UndTree!CR49),0),MAX((2-AmEur)*IF(CallPut=1,UndTree!CR49-Strike,Strike-UndTree!CR49),(UpProb*CS49+DownProb*CS50)*StepDiscount)))</f>
        <v>3.0601549862932584</v>
      </c>
      <c r="CS49" s="17">
        <f>IF(CS$3="","",IF(CS$3=Steps,MAX(IF(CallPut=1,UndTree!CS49-Strike,Strike-UndTree!CS49),0),MAX((2-AmEur)*IF(CallPut=1,UndTree!CS49-Strike,Strike-UndTree!CS49),(UpProb*CT49+DownProb*CT50)*StepDiscount)))</f>
        <v>4.3806973290892337</v>
      </c>
      <c r="CT49" s="17">
        <f>IF(CT$3="","",IF(CT$3=Steps,MAX(IF(CallPut=1,UndTree!CT49-Strike,Strike-UndTree!CT49),0),MAX((2-AmEur)*IF(CallPut=1,UndTree!CT49-Strike,Strike-UndTree!CT49),(UpProb*CU49+DownProb*CU50)*StepDiscount)))</f>
        <v>6.1172677492129219</v>
      </c>
      <c r="CU49" s="17">
        <f>IF(CU$3="","",IF(CU$3=Steps,MAX(IF(CallPut=1,UndTree!CU49-Strike,Strike-UndTree!CU49),0),MAX((2-AmEur)*IF(CallPut=1,UndTree!CU49-Strike,Strike-UndTree!CU49),(UpProb*CV49+DownProb*CV50)*StepDiscount)))</f>
        <v>8.3108449212725883</v>
      </c>
      <c r="CV49" s="17">
        <f>IF(CV$3="","",IF(CV$3=Steps,MAX(IF(CallPut=1,UndTree!CV49-Strike,Strike-UndTree!CV49),0),MAX((2-AmEur)*IF(CallPut=1,UndTree!CV49-Strike,Strike-UndTree!CV49),(UpProb*CW49+DownProb*CW50)*StepDiscount)))</f>
        <v>10.958402473250677</v>
      </c>
      <c r="CW49" s="17">
        <f>IF(CW$3="","",IF(CW$3=Steps,MAX(IF(CallPut=1,UndTree!CW49-Strike,Strike-UndTree!CW49),0),MAX((2-AmEur)*IF(CallPut=1,UndTree!CW49-Strike,Strike-UndTree!CW49),(UpProb*CX49+DownProb*CX50)*StepDiscount)))</f>
        <v>13.99947209276651</v>
      </c>
      <c r="CX49" s="17">
        <f>IF(CX$3="","",IF(CX$3=Steps,MAX(IF(CallPut=1,UndTree!CX49-Strike,Strike-UndTree!CX49),0),MAX((2-AmEur)*IF(CallPut=1,UndTree!CX49-Strike,Strike-UndTree!CX49),(UpProb*CY49+DownProb*CY50)*StepDiscount)))</f>
        <v>17.324429291476893</v>
      </c>
      <c r="CY49" s="17">
        <f>IF(CY$3="","",IF(CY$3=Steps,MAX(IF(CallPut=1,UndTree!CY49-Strike,Strike-UndTree!CY49),0),MAX((2-AmEur)*IF(CallPut=1,UndTree!CY49-Strike,Strike-UndTree!CY49),(UpProb*CZ49+DownProb*CZ50)*StepDiscount)))</f>
        <v>20.817253004334543</v>
      </c>
      <c r="CZ49" s="17">
        <f>IF(CZ$3="","",IF(CZ$3=Steps,MAX(IF(CallPut=1,UndTree!CZ49-Strike,Strike-UndTree!CZ49),0),MAX((2-AmEur)*IF(CallPut=1,UndTree!CZ49-Strike,Strike-UndTree!CZ49),(UpProb*DA49+DownProb*DA50)*StepDiscount)))</f>
        <v>24.417375771205659</v>
      </c>
      <c r="DA49" s="17">
        <f>IF(DA$3="","",IF(DA$3=Steps,MAX(IF(CallPut=1,UndTree!DA49-Strike,Strike-UndTree!DA49),0),MAX((2-AmEur)*IF(CallPut=1,UndTree!DA49-Strike,Strike-UndTree!DA49),(UpProb*DB49+DownProb*DB50)*StepDiscount)))</f>
        <v>28.128046631694883</v>
      </c>
      <c r="DB49" s="17">
        <f>IF(DB$3="","",IF(DB$3=Steps,MAX(IF(CallPut=1,UndTree!DB49-Strike,Strike-UndTree!DB49),0),MAX((2-AmEur)*IF(CallPut=1,UndTree!DB49-Strike,Strike-UndTree!DB49),(UpProb*DC49+DownProb*DC50)*StepDiscount)))</f>
        <v>31.952612982400012</v>
      </c>
    </row>
    <row r="50" spans="1:106" x14ac:dyDescent="0.2">
      <c r="A50">
        <f>ExDivTree!A50</f>
        <v>1.3491946940495127E+29</v>
      </c>
      <c r="B50" s="71">
        <f>ExDivTree!B50</f>
        <v>5.3216347383364233E-2</v>
      </c>
      <c r="C50" s="71">
        <f>ExDivTree!C50</f>
        <v>5.4481719681635024E-2</v>
      </c>
      <c r="D50" s="177">
        <f>ExDivTree!D50</f>
        <v>46</v>
      </c>
      <c r="AY50" s="17">
        <f>IF(AY$3="","",IF(AY$3=Steps,MAX(IF(CallPut=1,UndTree!AY50-Strike,Strike-UndTree!AY50),0),MAX((2-AmEur)*IF(CallPut=1,UndTree!AY50-Strike,Strike-UndTree!AY50),(UpProb*AZ50+DownProb*AZ51)*StepDiscount)))</f>
        <v>3.6818945519450146E-12</v>
      </c>
      <c r="AZ50" s="17">
        <f>IF(AZ$3="","",IF(AZ$3=Steps,MAX(IF(CallPut=1,UndTree!AZ50-Strike,Strike-UndTree!AZ50),0),MAX((2-AmEur)*IF(CallPut=1,UndTree!AZ50-Strike,Strike-UndTree!AZ50),(UpProb*BA50+DownProb*BA51)*StepDiscount)))</f>
        <v>6.9667663141094222E-12</v>
      </c>
      <c r="BA50" s="17">
        <f>IF(BA$3="","",IF(BA$3=Steps,MAX(IF(CallPut=1,UndTree!BA50-Strike,Strike-UndTree!BA50),0),MAX((2-AmEur)*IF(CallPut=1,UndTree!BA50-Strike,Strike-UndTree!BA50),(UpProb*BB50+DownProb*BB51)*StepDiscount)))</f>
        <v>1.3169630359503282E-11</v>
      </c>
      <c r="BB50" s="17">
        <f>IF(BB$3="","",IF(BB$3=Steps,MAX(IF(CallPut=1,UndTree!BB50-Strike,Strike-UndTree!BB50),0),MAX((2-AmEur)*IF(CallPut=1,UndTree!BB50-Strike,Strike-UndTree!BB50),(UpProb*BC50+DownProb*BC51)*StepDiscount)))</f>
        <v>2.4870417711620908E-11</v>
      </c>
      <c r="BC50" s="17">
        <f>IF(BC$3="","",IF(BC$3=Steps,MAX(IF(CallPut=1,UndTree!BC50-Strike,Strike-UndTree!BC50),0),MAX((2-AmEur)*IF(CallPut=1,UndTree!BC50-Strike,Strike-UndTree!BC50),(UpProb*BD50+DownProb*BD51)*StepDiscount)))</f>
        <v>4.691844161597204E-11</v>
      </c>
      <c r="BD50" s="17">
        <f>IF(BD$3="","",IF(BD$3=Steps,MAX(IF(CallPut=1,UndTree!BD50-Strike,Strike-UndTree!BD50),0),MAX((2-AmEur)*IF(CallPut=1,UndTree!BD50-Strike,Strike-UndTree!BD50),(UpProb*BE50+DownProb*BE51)*StepDiscount)))</f>
        <v>8.8417456794701852E-11</v>
      </c>
      <c r="BE50" s="17">
        <f>IF(BE$3="","",IF(BE$3=Steps,MAX(IF(CallPut=1,UndTree!BE50-Strike,Strike-UndTree!BE50),0),MAX((2-AmEur)*IF(CallPut=1,UndTree!BE50-Strike,Strike-UndTree!BE50),(UpProb*BF50+DownProb*BF51)*StepDiscount)))</f>
        <v>1.6643641314278343E-10</v>
      </c>
      <c r="BF50" s="17">
        <f>IF(BF$3="","",IF(BF$3=Steps,MAX(IF(CallPut=1,UndTree!BF50-Strike,Strike-UndTree!BF50),0),MAX((2-AmEur)*IF(CallPut=1,UndTree!BF50-Strike,Strike-UndTree!BF50),(UpProb*BG50+DownProb*BG51)*StepDiscount)))</f>
        <v>3.1293594272261056E-10</v>
      </c>
      <c r="BG50" s="17">
        <f>IF(BG$3="","",IF(BG$3=Steps,MAX(IF(CallPut=1,UndTree!BG50-Strike,Strike-UndTree!BG50),0),MAX((2-AmEur)*IF(CallPut=1,UndTree!BG50-Strike,Strike-UndTree!BG50),(UpProb*BH50+DownProb*BH51)*StepDiscount)))</f>
        <v>5.8767748105267607E-10</v>
      </c>
      <c r="BH50" s="17">
        <f>IF(BH$3="","",IF(BH$3=Steps,MAX(IF(CallPut=1,UndTree!BH50-Strike,Strike-UndTree!BH50),0),MAX((2-AmEur)*IF(CallPut=1,UndTree!BH50-Strike,Strike-UndTree!BH50),(UpProb*BI50+DownProb*BI51)*StepDiscount)))</f>
        <v>1.1022437381279257E-9</v>
      </c>
      <c r="BI50" s="17">
        <f>IF(BI$3="","",IF(BI$3=Steps,MAX(IF(CallPut=1,UndTree!BI50-Strike,Strike-UndTree!BI50),0),MAX((2-AmEur)*IF(CallPut=1,UndTree!BI50-Strike,Strike-UndTree!BI50),(UpProb*BJ50+DownProb*BJ51)*StepDiscount)))</f>
        <v>2.0646591169099477E-9</v>
      </c>
      <c r="BJ50" s="17">
        <f>IF(BJ$3="","",IF(BJ$3=Steps,MAX(IF(CallPut=1,UndTree!BJ50-Strike,Strike-UndTree!BJ50),0),MAX((2-AmEur)*IF(CallPut=1,UndTree!BJ50-Strike,Strike-UndTree!BJ50),(UpProb*BK50+DownProb*BK51)*StepDiscount)))</f>
        <v>3.8621299188491831E-9</v>
      </c>
      <c r="BK50" s="17">
        <f>IF(BK$3="","",IF(BK$3=Steps,MAX(IF(CallPut=1,UndTree!BK50-Strike,Strike-UndTree!BK50),0),MAX((2-AmEur)*IF(CallPut=1,UndTree!BK50-Strike,Strike-UndTree!BK50),(UpProb*BL50+DownProb*BL51)*StepDiscount)))</f>
        <v>7.2141852211223361E-9</v>
      </c>
      <c r="BL50" s="17">
        <f>IF(BL$3="","",IF(BL$3=Steps,MAX(IF(CallPut=1,UndTree!BL50-Strike,Strike-UndTree!BL50),0),MAX((2-AmEur)*IF(CallPut=1,UndTree!BL50-Strike,Strike-UndTree!BL50),(UpProb*BM50+DownProb*BM51)*StepDiscount)))</f>
        <v>1.3455565105472624E-8</v>
      </c>
      <c r="BM50" s="17">
        <f>IF(BM$3="","",IF(BM$3=Steps,MAX(IF(CallPut=1,UndTree!BM50-Strike,Strike-UndTree!BM50),0),MAX((2-AmEur)*IF(CallPut=1,UndTree!BM50-Strike,Strike-UndTree!BM50),(UpProb*BN50+DownProb*BN51)*StepDiscount)))</f>
        <v>2.50577058894009E-8</v>
      </c>
      <c r="BN50" s="17">
        <f>IF(BN$3="","",IF(BN$3=Steps,MAX(IF(CallPut=1,UndTree!BN50-Strike,Strike-UndTree!BN50),0),MAX((2-AmEur)*IF(CallPut=1,UndTree!BN50-Strike,Strike-UndTree!BN50),(UpProb*BO50+DownProb*BO51)*StepDiscount)))</f>
        <v>4.6587970407537737E-8</v>
      </c>
      <c r="BO50" s="17">
        <f>IF(BO$3="","",IF(BO$3=Steps,MAX(IF(CallPut=1,UndTree!BO50-Strike,Strike-UndTree!BO50),0),MAX((2-AmEur)*IF(CallPut=1,UndTree!BO50-Strike,Strike-UndTree!BO50),(UpProb*BP50+DownProb*BP51)*StepDiscount)))</f>
        <v>8.6470016271042044E-8</v>
      </c>
      <c r="BP50" s="17">
        <f>IF(BP$3="","",IF(BP$3=Steps,MAX(IF(CallPut=1,UndTree!BP50-Strike,Strike-UndTree!BP50),0),MAX((2-AmEur)*IF(CallPut=1,UndTree!BP50-Strike,Strike-UndTree!BP50),(UpProb*BQ50+DownProb*BQ51)*StepDiscount)))</f>
        <v>1.6020653544323911E-7</v>
      </c>
      <c r="BQ50" s="17">
        <f>IF(BQ$3="","",IF(BQ$3=Steps,MAX(IF(CallPut=1,UndTree!BQ50-Strike,Strike-UndTree!BQ50),0),MAX((2-AmEur)*IF(CallPut=1,UndTree!BQ50-Strike,Strike-UndTree!BQ50),(UpProb*BR50+DownProb*BR51)*StepDiscount)))</f>
        <v>2.9626394691134752E-7</v>
      </c>
      <c r="BR50" s="17">
        <f>IF(BR$3="","",IF(BR$3=Steps,MAX(IF(CallPut=1,UndTree!BR50-Strike,Strike-UndTree!BR50),0),MAX((2-AmEur)*IF(CallPut=1,UndTree!BR50-Strike,Strike-UndTree!BR50),(UpProb*BS50+DownProb*BS51)*StepDiscount)))</f>
        <v>5.4678830592670119E-7</v>
      </c>
      <c r="BS50" s="17">
        <f>IF(BS$3="","",IF(BS$3=Steps,MAX(IF(CallPut=1,UndTree!BS50-Strike,Strike-UndTree!BS50),0),MAX((2-AmEur)*IF(CallPut=1,UndTree!BS50-Strike,Strike-UndTree!BS50),(UpProb*BT50+DownProb*BT51)*StepDiscount)))</f>
        <v>1.0070617636581952E-6</v>
      </c>
      <c r="BT50" s="17">
        <f>IF(BT$3="","",IF(BT$3=Steps,MAX(IF(CallPut=1,UndTree!BT50-Strike,Strike-UndTree!BT50),0),MAX((2-AmEur)*IF(CallPut=1,UndTree!BT50-Strike,Strike-UndTree!BT50),(UpProb*BU50+DownProb*BU51)*StepDiscount)))</f>
        <v>1.8507188257417083E-6</v>
      </c>
      <c r="BU50" s="17">
        <f>IF(BU$3="","",IF(BU$3=Steps,MAX(IF(CallPut=1,UndTree!BU50-Strike,Strike-UndTree!BU50),0),MAX((2-AmEur)*IF(CallPut=1,UndTree!BU50-Strike,Strike-UndTree!BU50),(UpProb*BV50+DownProb*BV51)*StepDiscount)))</f>
        <v>3.3932755428115713E-6</v>
      </c>
      <c r="BV50" s="17">
        <f>IF(BV$3="","",IF(BV$3=Steps,MAX(IF(CallPut=1,UndTree!BV50-Strike,Strike-UndTree!BV50),0),MAX((2-AmEur)*IF(CallPut=1,UndTree!BV50-Strike,Strike-UndTree!BV50),(UpProb*BW50+DownProb*BW51)*StepDiscount)))</f>
        <v>6.2063252709475374E-6</v>
      </c>
      <c r="BW50" s="17">
        <f>IF(BW$3="","",IF(BW$3=Steps,MAX(IF(CallPut=1,UndTree!BW50-Strike,Strike-UndTree!BW50),0),MAX((2-AmEur)*IF(CallPut=1,UndTree!BW50-Strike,Strike-UndTree!BW50),(UpProb*BX50+DownProb*BX51)*StepDiscount)))</f>
        <v>1.1322021659375254E-5</v>
      </c>
      <c r="BX50" s="17">
        <f>IF(BX$3="","",IF(BX$3=Steps,MAX(IF(CallPut=1,UndTree!BX50-Strike,Strike-UndTree!BX50),0),MAX((2-AmEur)*IF(CallPut=1,UndTree!BX50-Strike,Strike-UndTree!BX50),(UpProb*BY50+DownProb*BY51)*StepDiscount)))</f>
        <v>2.0597719371338336E-5</v>
      </c>
      <c r="BY50" s="17">
        <f>IF(BY$3="","",IF(BY$3=Steps,MAX(IF(CallPut=1,UndTree!BY50-Strike,Strike-UndTree!BY50),0),MAX((2-AmEur)*IF(CallPut=1,UndTree!BY50-Strike,Strike-UndTree!BY50),(UpProb*BZ50+DownProb*BZ51)*StepDiscount)))</f>
        <v>3.7363307640214506E-5</v>
      </c>
      <c r="BZ50" s="17">
        <f>IF(BZ$3="","",IF(BZ$3=Steps,MAX(IF(CallPut=1,UndTree!BZ50-Strike,Strike-UndTree!BZ50),0),MAX((2-AmEur)*IF(CallPut=1,UndTree!BZ50-Strike,Strike-UndTree!BZ50),(UpProb*CA50+DownProb*CA51)*StepDiscount)))</f>
        <v>6.756482925036116E-5</v>
      </c>
      <c r="CA50" s="17">
        <f>IF(CA$3="","",IF(CA$3=Steps,MAX(IF(CallPut=1,UndTree!CA50-Strike,Strike-UndTree!CA50),0),MAX((2-AmEur)*IF(CallPut=1,UndTree!CA50-Strike,Strike-UndTree!CA50),(UpProb*CB50+DownProb*CB51)*StepDiscount)))</f>
        <v>1.2177421104370671E-4</v>
      </c>
      <c r="CB50" s="17">
        <f>IF(CB$3="","",IF(CB$3=Steps,MAX(IF(CallPut=1,UndTree!CB50-Strike,Strike-UndTree!CB50),0),MAX((2-AmEur)*IF(CallPut=1,UndTree!CB50-Strike,Strike-UndTree!CB50),(UpProb*CC50+DownProb*CC51)*StepDiscount)))</f>
        <v>2.1870069208765975E-4</v>
      </c>
      <c r="CC50" s="17">
        <f>IF(CC$3="","",IF(CC$3=Steps,MAX(IF(CallPut=1,UndTree!CC50-Strike,Strike-UndTree!CC50),0),MAX((2-AmEur)*IF(CallPut=1,UndTree!CC50-Strike,Strike-UndTree!CC50),(UpProb*CD50+DownProb*CD51)*StepDiscount)))</f>
        <v>3.9128722195731633E-4</v>
      </c>
      <c r="CD50" s="17">
        <f>IF(CD$3="","",IF(CD$3=Steps,MAX(IF(CallPut=1,UndTree!CD50-Strike,Strike-UndTree!CD50),0),MAX((2-AmEur)*IF(CallPut=1,UndTree!CD50-Strike,Strike-UndTree!CD50),(UpProb*CE50+DownProb*CE51)*StepDiscount)))</f>
        <v>6.9722091233906521E-4</v>
      </c>
      <c r="CE50" s="17">
        <f>IF(CE$3="","",IF(CE$3=Steps,MAX(IF(CallPut=1,UndTree!CE50-Strike,Strike-UndTree!CE50),0),MAX((2-AmEur)*IF(CallPut=1,UndTree!CE50-Strike,Strike-UndTree!CE50),(UpProb*CF50+DownProb*CF51)*StepDiscount)))</f>
        <v>1.2369132413588603E-3</v>
      </c>
      <c r="CF50" s="17">
        <f>IF(CF$3="","",IF(CF$3=Steps,MAX(IF(CallPut=1,UndTree!CF50-Strike,Strike-UndTree!CF50),0),MAX((2-AmEur)*IF(CallPut=1,UndTree!CF50-Strike,Strike-UndTree!CF50),(UpProb*CG50+DownProb*CG51)*StepDiscount)))</f>
        <v>2.1839930166575343E-3</v>
      </c>
      <c r="CG50" s="17">
        <f>IF(CG$3="","",IF(CG$3=Steps,MAX(IF(CallPut=1,UndTree!CG50-Strike,Strike-UndTree!CG50),0),MAX((2-AmEur)*IF(CallPut=1,UndTree!CG50-Strike,Strike-UndTree!CG50),(UpProb*CH50+DownProb*CH51)*StepDiscount)))</f>
        <v>3.836517797273863E-3</v>
      </c>
      <c r="CH50" s="17">
        <f>IF(CH$3="","",IF(CH$3=Steps,MAX(IF(CallPut=1,UndTree!CH50-Strike,Strike-UndTree!CH50),0),MAX((2-AmEur)*IF(CallPut=1,UndTree!CH50-Strike,Strike-UndTree!CH50),(UpProb*CI50+DownProb*CI51)*StepDiscount)))</f>
        <v>6.7020345468422155E-3</v>
      </c>
      <c r="CI50" s="17">
        <f>IF(CI$3="","",IF(CI$3=Steps,MAX(IF(CallPut=1,UndTree!CI50-Strike,Strike-UndTree!CI50),0),MAX((2-AmEur)*IF(CallPut=1,UndTree!CI50-Strike,Strike-UndTree!CI50),(UpProb*CJ50+DownProb*CJ51)*StepDiscount)))</f>
        <v>1.1637084430123184E-2</v>
      </c>
      <c r="CJ50" s="17">
        <f>IF(CJ$3="","",IF(CJ$3=Steps,MAX(IF(CallPut=1,UndTree!CJ50-Strike,Strike-UndTree!CJ50),0),MAX((2-AmEur)*IF(CallPut=1,UndTree!CJ50-Strike,Strike-UndTree!CJ50),(UpProb*CK50+DownProb*CK51)*StepDiscount)))</f>
        <v>2.0072667871219061E-2</v>
      </c>
      <c r="CK50" s="17">
        <f>IF(CK$3="","",IF(CK$3=Steps,MAX(IF(CallPut=1,UndTree!CK50-Strike,Strike-UndTree!CK50),0),MAX((2-AmEur)*IF(CallPut=1,UndTree!CK50-Strike,Strike-UndTree!CK50),(UpProb*CL50+DownProb*CL51)*StepDiscount)))</f>
        <v>3.4372416553647901E-2</v>
      </c>
      <c r="CL50" s="17">
        <f>IF(CL$3="","",IF(CL$3=Steps,MAX(IF(CallPut=1,UndTree!CL50-Strike,Strike-UndTree!CL50),0),MAX((2-AmEur)*IF(CallPut=1,UndTree!CL50-Strike,Strike-UndTree!CL50),(UpProb*CM50+DownProb*CM51)*StepDiscount)))</f>
        <v>5.8390007970870052E-2</v>
      </c>
      <c r="CM50" s="17">
        <f>IF(CM$3="","",IF(CM$3=Steps,MAX(IF(CallPut=1,UndTree!CM50-Strike,Strike-UndTree!CM50),0),MAX((2-AmEur)*IF(CallPut=1,UndTree!CM50-Strike,Strike-UndTree!CM50),(UpProb*CN50+DownProb*CN51)*StepDiscount)))</f>
        <v>9.8315192589463987E-2</v>
      </c>
      <c r="CN50" s="17">
        <f>IF(CN$3="","",IF(CN$3=Steps,MAX(IF(CallPut=1,UndTree!CN50-Strike,Strike-UndTree!CN50),0),MAX((2-AmEur)*IF(CallPut=1,UndTree!CN50-Strike,Strike-UndTree!CN50),(UpProb*CO50+DownProb*CO51)*StepDiscount)))</f>
        <v>0.16391819194649321</v>
      </c>
      <c r="CO50" s="17">
        <f>IF(CO$3="","",IF(CO$3=Steps,MAX(IF(CallPut=1,UndTree!CO50-Strike,Strike-UndTree!CO50),0),MAX((2-AmEur)*IF(CallPut=1,UndTree!CO50-Strike,Strike-UndTree!CO50),(UpProb*CP50+DownProb*CP51)*StepDiscount)))</f>
        <v>0.27030687829618993</v>
      </c>
      <c r="CP50" s="17">
        <f>IF(CP$3="","",IF(CP$3=Steps,MAX(IF(CallPut=1,UndTree!CP50-Strike,Strike-UndTree!CP50),0),MAX((2-AmEur)*IF(CallPut=1,UndTree!CP50-Strike,Strike-UndTree!CP50),(UpProb*CQ50+DownProb*CQ51)*StepDiscount)))</f>
        <v>0.44027315880422457</v>
      </c>
      <c r="CQ50" s="17">
        <f>IF(CQ$3="","",IF(CQ$3=Steps,MAX(IF(CallPut=1,UndTree!CQ50-Strike,Strike-UndTree!CQ50),0),MAX((2-AmEur)*IF(CallPut=1,UndTree!CQ50-Strike,Strike-UndTree!CQ50),(UpProb*CR50+DownProb*CR51)*StepDiscount)))</f>
        <v>0.70717656920249961</v>
      </c>
      <c r="CR50" s="17">
        <f>IF(CR$3="","",IF(CR$3=Steps,MAX(IF(CallPut=1,UndTree!CR50-Strike,Strike-UndTree!CR50),0),MAX((2-AmEur)*IF(CallPut=1,UndTree!CR50-Strike,Strike-UndTree!CR50),(UpProb*CS50+DownProb*CS51)*StepDiscount)))</f>
        <v>1.1180202302112412</v>
      </c>
      <c r="CS50" s="17">
        <f>IF(CS$3="","",IF(CS$3=Steps,MAX(IF(CallPut=1,UndTree!CS50-Strike,Strike-UndTree!CS50),0),MAX((2-AmEur)*IF(CallPut=1,UndTree!CS50-Strike,Strike-UndTree!CS50),(UpProb*CT50+DownProb*CT51)*StepDiscount)))</f>
        <v>1.7358237574932542</v>
      </c>
      <c r="CT50" s="17">
        <f>IF(CT$3="","",IF(CT$3=Steps,MAX(IF(CallPut=1,UndTree!CT50-Strike,Strike-UndTree!CT50),0),MAX((2-AmEur)*IF(CallPut=1,UndTree!CT50-Strike,Strike-UndTree!CT50),(UpProb*CU50+DownProb*CU51)*StepDiscount)))</f>
        <v>2.6395205879462966</v>
      </c>
      <c r="CU50" s="17">
        <f>IF(CU$3="","",IF(CU$3=Steps,MAX(IF(CallPut=1,UndTree!CU50-Strike,Strike-UndTree!CU50),0),MAX((2-AmEur)*IF(CallPut=1,UndTree!CU50-Strike,Strike-UndTree!CU50),(UpProb*CV50+DownProb*CV51)*StepDiscount)))</f>
        <v>3.9184881164371896</v>
      </c>
      <c r="CV50" s="17">
        <f>IF(CV$3="","",IF(CV$3=Steps,MAX(IF(CallPut=1,UndTree!CV50-Strike,Strike-UndTree!CV50),0),MAX((2-AmEur)*IF(CallPut=1,UndTree!CV50-Strike,Strike-UndTree!CV50),(UpProb*CW50+DownProb*CW51)*StepDiscount)))</f>
        <v>5.6579872041028683</v>
      </c>
      <c r="CW50" s="17">
        <f>IF(CW$3="","",IF(CW$3=Steps,MAX(IF(CallPut=1,UndTree!CW50-Strike,Strike-UndTree!CW50),0),MAX((2-AmEur)*IF(CallPut=1,UndTree!CW50-Strike,Strike-UndTree!CW50),(UpProb*CX50+DownProb*CX51)*StepDiscount)))</f>
        <v>7.91273553154317</v>
      </c>
      <c r="CX50" s="17">
        <f>IF(CX$3="","",IF(CX$3=Steps,MAX(IF(CallPut=1,UndTree!CX50-Strike,Strike-UndTree!CX50),0),MAX((2-AmEur)*IF(CallPut=1,UndTree!CX50-Strike,Strike-UndTree!CX50),(UpProb*CY50+DownProb*CY51)*StepDiscount)))</f>
        <v>10.671618408024653</v>
      </c>
      <c r="CY50" s="17">
        <f>IF(CY$3="","",IF(CY$3=Steps,MAX(IF(CallPut=1,UndTree!CY50-Strike,Strike-UndTree!CY50),0),MAX((2-AmEur)*IF(CallPut=1,UndTree!CY50-Strike,Strike-UndTree!CY50),(UpProb*CZ50+DownProb*CZ51)*StepDiscount)))</f>
        <v>13.831326216315746</v>
      </c>
      <c r="CZ50" s="17">
        <f>IF(CZ$3="","",IF(CZ$3=Steps,MAX(IF(CallPut=1,UndTree!CZ50-Strike,Strike-UndTree!CZ50),0),MAX((2-AmEur)*IF(CallPut=1,UndTree!CZ50-Strike,Strike-UndTree!CZ50),(UpProb*DA50+DownProb*DA51)*StepDiscount)))</f>
        <v>17.219967093116324</v>
      </c>
      <c r="DA50" s="17">
        <f>IF(DA$3="","",IF(DA$3=Steps,MAX(IF(CallPut=1,UndTree!DA50-Strike,Strike-UndTree!DA50),0),MAX((2-AmEur)*IF(CallPut=1,UndTree!DA50-Strike,Strike-UndTree!DA50),(UpProb*DB50+DownProb*DB51)*StepDiscount)))</f>
        <v>20.712753964826469</v>
      </c>
      <c r="DB50" s="17">
        <f>IF(DB$3="","",IF(DB$3=Steps,MAX(IF(CallPut=1,UndTree!DB50-Strike,Strike-UndTree!DB50),0),MAX((2-AmEur)*IF(CallPut=1,UndTree!DB50-Strike,Strike-UndTree!DB50),(UpProb*DC50+DownProb*DC51)*StepDiscount)))</f>
        <v>24.312840420499995</v>
      </c>
    </row>
    <row r="51" spans="1:106" x14ac:dyDescent="0.2">
      <c r="A51">
        <f>ExDivTree!A51</f>
        <v>1.5788448547387906E+29</v>
      </c>
      <c r="B51" s="71">
        <f>ExDivTree!B51</f>
        <v>6.2274449065638962E-2</v>
      </c>
      <c r="C51" s="71">
        <f>ExDivTree!C51</f>
        <v>6.3418133698132609E-2</v>
      </c>
      <c r="D51" s="177">
        <f>ExDivTree!D51</f>
        <v>47</v>
      </c>
      <c r="AZ51" s="17">
        <f>IF(AZ$3="","",IF(AZ$3=Steps,MAX(IF(CallPut=1,UndTree!AZ51-Strike,Strike-UndTree!AZ51),0),MAX((2-AmEur)*IF(CallPut=1,UndTree!AZ51-Strike,Strike-UndTree!AZ51),(UpProb*BA51+DownProb*BA52)*StepDiscount)))</f>
        <v>3.8344962400118257E-13</v>
      </c>
      <c r="BA51" s="17">
        <f>IF(BA$3="","",IF(BA$3=Steps,MAX(IF(CallPut=1,UndTree!BA51-Strike,Strike-UndTree!BA51),0),MAX((2-AmEur)*IF(CallPut=1,UndTree!BA51-Strike,Strike-UndTree!BA51),(UpProb*BB51+DownProb*BB52)*StepDiscount)))</f>
        <v>7.382868782428702E-13</v>
      </c>
      <c r="BB51" s="17">
        <f>IF(BB$3="","",IF(BB$3=Steps,MAX(IF(CallPut=1,UndTree!BB51-Strike,Strike-UndTree!BB51),0),MAX((2-AmEur)*IF(CallPut=1,UndTree!BB51-Strike,Strike-UndTree!BB51),(UpProb*BC51+DownProb*BC52)*StepDiscount)))</f>
        <v>1.4205527534021779E-12</v>
      </c>
      <c r="BC51" s="17">
        <f>IF(BC$3="","",IF(BC$3=Steps,MAX(IF(CallPut=1,UndTree!BC51-Strike,Strike-UndTree!BC51),0),MAX((2-AmEur)*IF(CallPut=1,UndTree!BC51-Strike,Strike-UndTree!BC51),(UpProb*BD51+DownProb*BD52)*StepDiscount)))</f>
        <v>2.7314571844087701E-12</v>
      </c>
      <c r="BD51" s="17">
        <f>IF(BD$3="","",IF(BD$3=Steps,MAX(IF(CallPut=1,UndTree!BD51-Strike,Strike-UndTree!BD51),0),MAX((2-AmEur)*IF(CallPut=1,UndTree!BD51-Strike,Strike-UndTree!BD51),(UpProb*BE51+DownProb*BE52)*StepDiscount)))</f>
        <v>5.2483776259922227E-12</v>
      </c>
      <c r="BE51" s="17">
        <f>IF(BE$3="","",IF(BE$3=Steps,MAX(IF(CallPut=1,UndTree!BE51-Strike,Strike-UndTree!BE51),0),MAX((2-AmEur)*IF(CallPut=1,UndTree!BE51-Strike,Strike-UndTree!BE51),(UpProb*BF51+DownProb*BF52)*StepDiscount)))</f>
        <v>1.0077146863573423E-11</v>
      </c>
      <c r="BF51" s="17">
        <f>IF(BF$3="","",IF(BF$3=Steps,MAX(IF(CallPut=1,UndTree!BF51-Strike,Strike-UndTree!BF51),0),MAX((2-AmEur)*IF(CallPut=1,UndTree!BF51-Strike,Strike-UndTree!BF51),(UpProb*BG51+DownProb*BG52)*StepDiscount)))</f>
        <v>1.9333898178788518E-11</v>
      </c>
      <c r="BG51" s="17">
        <f>IF(BG$3="","",IF(BG$3=Steps,MAX(IF(CallPut=1,UndTree!BG51-Strike,Strike-UndTree!BG51),0),MAX((2-AmEur)*IF(CallPut=1,UndTree!BG51-Strike,Strike-UndTree!BG51),(UpProb*BH51+DownProb*BH52)*StepDiscount)))</f>
        <v>3.7064430677391921E-11</v>
      </c>
      <c r="BH51" s="17">
        <f>IF(BH$3="","",IF(BH$3=Steps,MAX(IF(CallPut=1,UndTree!BH51-Strike,Strike-UndTree!BH51),0),MAX((2-AmEur)*IF(CallPut=1,UndTree!BH51-Strike,Strike-UndTree!BH51),(UpProb*BI51+DownProb*BI52)*StepDiscount)))</f>
        <v>7.0996548523770064E-11</v>
      </c>
      <c r="BI51" s="17">
        <f>IF(BI$3="","",IF(BI$3=Steps,MAX(IF(CallPut=1,UndTree!BI51-Strike,Strike-UndTree!BI51),0),MAX((2-AmEur)*IF(CallPut=1,UndTree!BI51-Strike,Strike-UndTree!BI51),(UpProb*BJ51+DownProb*BJ52)*StepDiscount)))</f>
        <v>1.3587644737865149E-10</v>
      </c>
      <c r="BJ51" s="17">
        <f>IF(BJ$3="","",IF(BJ$3=Steps,MAX(IF(CallPut=1,UndTree!BJ51-Strike,Strike-UndTree!BJ51),0),MAX((2-AmEur)*IF(CallPut=1,UndTree!BJ51-Strike,Strike-UndTree!BJ51),(UpProb*BK51+DownProb*BK52)*StepDiscount)))</f>
        <v>2.5981383233374928E-10</v>
      </c>
      <c r="BK51" s="17">
        <f>IF(BK$3="","",IF(BK$3=Steps,MAX(IF(CallPut=1,UndTree!BK51-Strike,Strike-UndTree!BK51),0),MAX((2-AmEur)*IF(CallPut=1,UndTree!BK51-Strike,Strike-UndTree!BK51),(UpProb*BL51+DownProb*BL52)*StepDiscount)))</f>
        <v>4.9633459757390242E-10</v>
      </c>
      <c r="BL51" s="17">
        <f>IF(BL$3="","",IF(BL$3=Steps,MAX(IF(CallPut=1,UndTree!BL51-Strike,Strike-UndTree!BL51),0),MAX((2-AmEur)*IF(CallPut=1,UndTree!BL51-Strike,Strike-UndTree!BL51),(UpProb*BM51+DownProb*BM52)*StepDiscount)))</f>
        <v>9.4724637235838682E-10</v>
      </c>
      <c r="BM51" s="17">
        <f>IF(BM$3="","",IF(BM$3=Steps,MAX(IF(CallPut=1,UndTree!BM51-Strike,Strike-UndTree!BM51),0),MAX((2-AmEur)*IF(CallPut=1,UndTree!BM51-Strike,Strike-UndTree!BM51),(UpProb*BN51+DownProb*BN52)*StepDiscount)))</f>
        <v>1.8059601696014081E-9</v>
      </c>
      <c r="BN51" s="17">
        <f>IF(BN$3="","",IF(BN$3=Steps,MAX(IF(CallPut=1,UndTree!BN51-Strike,Strike-UndTree!BN51),0),MAX((2-AmEur)*IF(CallPut=1,UndTree!BN51-Strike,Strike-UndTree!BN51),(UpProb*BO51+DownProb*BO52)*StepDiscount)))</f>
        <v>3.4394543366192798E-9</v>
      </c>
      <c r="BO51" s="17">
        <f>IF(BO$3="","",IF(BO$3=Steps,MAX(IF(CallPut=1,UndTree!BO51-Strike,Strike-UndTree!BO51),0),MAX((2-AmEur)*IF(CallPut=1,UndTree!BO51-Strike,Strike-UndTree!BO51),(UpProb*BP51+DownProb*BP52)*StepDiscount)))</f>
        <v>6.5431211988007842E-9</v>
      </c>
      <c r="BP51" s="17">
        <f>IF(BP$3="","",IF(BP$3=Steps,MAX(IF(CallPut=1,UndTree!BP51-Strike,Strike-UndTree!BP51),0),MAX((2-AmEur)*IF(CallPut=1,UndTree!BP51-Strike,Strike-UndTree!BP51),(UpProb*BQ51+DownProb*BQ52)*StepDiscount)))</f>
        <v>1.2432849423499274E-8</v>
      </c>
      <c r="BQ51" s="17">
        <f>IF(BQ$3="","",IF(BQ$3=Steps,MAX(IF(CallPut=1,UndTree!BQ51-Strike,Strike-UndTree!BQ51),0),MAX((2-AmEur)*IF(CallPut=1,UndTree!BQ51-Strike,Strike-UndTree!BQ51),(UpProb*BR51+DownProb*BR52)*StepDiscount)))</f>
        <v>2.3595063556781319E-8</v>
      </c>
      <c r="BR51" s="17">
        <f>IF(BR$3="","",IF(BR$3=Steps,MAX(IF(CallPut=1,UndTree!BR51-Strike,Strike-UndTree!BR51),0),MAX((2-AmEur)*IF(CallPut=1,UndTree!BR51-Strike,Strike-UndTree!BR51),(UpProb*BS51+DownProb*BS52)*StepDiscount)))</f>
        <v>4.4720733023470606E-8</v>
      </c>
      <c r="BS51" s="17">
        <f>IF(BS$3="","",IF(BS$3=Steps,MAX(IF(CallPut=1,UndTree!BS51-Strike,Strike-UndTree!BS51),0),MAX((2-AmEur)*IF(CallPut=1,UndTree!BS51-Strike,Strike-UndTree!BS51),(UpProb*BT51+DownProb*BT52)*StepDiscount)))</f>
        <v>8.464558469891423E-8</v>
      </c>
      <c r="BT51" s="17">
        <f>IF(BT$3="","",IF(BT$3=Steps,MAX(IF(CallPut=1,UndTree!BT51-Strike,Strike-UndTree!BT51),0),MAX((2-AmEur)*IF(CallPut=1,UndTree!BT51-Strike,Strike-UndTree!BT51),(UpProb*BU51+DownProb*BU52)*StepDiscount)))</f>
        <v>1.5998353505011316E-7</v>
      </c>
      <c r="BU51" s="17">
        <f>IF(BU$3="","",IF(BU$3=Steps,MAX(IF(CallPut=1,UndTree!BU51-Strike,Strike-UndTree!BU51),0),MAX((2-AmEur)*IF(CallPut=1,UndTree!BU51-Strike,Strike-UndTree!BU51),(UpProb*BV51+DownProb*BV52)*StepDiscount)))</f>
        <v>3.0191670138304872E-7</v>
      </c>
      <c r="BV51" s="17">
        <f>IF(BV$3="","",IF(BV$3=Steps,MAX(IF(CallPut=1,UndTree!BV51-Strike,Strike-UndTree!BV51),0),MAX((2-AmEur)*IF(CallPut=1,UndTree!BV51-Strike,Strike-UndTree!BV51),(UpProb*BW51+DownProb*BW52)*StepDiscount)))</f>
        <v>5.6885577958149316E-7</v>
      </c>
      <c r="BW51" s="17">
        <f>IF(BW$3="","",IF(BW$3=Steps,MAX(IF(CallPut=1,UndTree!BW51-Strike,Strike-UndTree!BW51),0),MAX((2-AmEur)*IF(CallPut=1,UndTree!BW51-Strike,Strike-UndTree!BW51),(UpProb*BX51+DownProb*BX52)*StepDiscount)))</f>
        <v>1.0699892251466478E-6</v>
      </c>
      <c r="BX51" s="17">
        <f>IF(BX$3="","",IF(BX$3=Steps,MAX(IF(CallPut=1,UndTree!BX51-Strike,Strike-UndTree!BX51),0),MAX((2-AmEur)*IF(CallPut=1,UndTree!BX51-Strike,Strike-UndTree!BX51),(UpProb*BY51+DownProb*BY52)*StepDiscount)))</f>
        <v>2.0089730848214529E-6</v>
      </c>
      <c r="BY51" s="17">
        <f>IF(BY$3="","",IF(BY$3=Steps,MAX(IF(CallPut=1,UndTree!BY51-Strike,Strike-UndTree!BY51),0),MAX((2-AmEur)*IF(CallPut=1,UndTree!BY51-Strike,Strike-UndTree!BY51),(UpProb*BZ51+DownProb*BZ52)*StepDiscount)))</f>
        <v>3.7647612190594265E-6</v>
      </c>
      <c r="BZ51" s="17">
        <f>IF(BZ$3="","",IF(BZ$3=Steps,MAX(IF(CallPut=1,UndTree!BZ51-Strike,Strike-UndTree!BZ51),0),MAX((2-AmEur)*IF(CallPut=1,UndTree!BZ51-Strike,Strike-UndTree!BZ51),(UpProb*CA51+DownProb*CA52)*StepDiscount)))</f>
        <v>7.0406988856742004E-6</v>
      </c>
      <c r="CA51" s="17">
        <f>IF(CA$3="","",IF(CA$3=Steps,MAX(IF(CallPut=1,UndTree!CA51-Strike,Strike-UndTree!CA51),0),MAX((2-AmEur)*IF(CallPut=1,UndTree!CA51-Strike,Strike-UndTree!CA51),(UpProb*CB51+DownProb*CB52)*StepDiscount)))</f>
        <v>1.3138633811903015E-5</v>
      </c>
      <c r="CB51" s="17">
        <f>IF(CB$3="","",IF(CB$3=Steps,MAX(IF(CallPut=1,UndTree!CB51-Strike,Strike-UndTree!CB51),0),MAX((2-AmEur)*IF(CallPut=1,UndTree!CB51-Strike,Strike-UndTree!CB51),(UpProb*CC51+DownProb*CC52)*StepDiscount)))</f>
        <v>2.4461088629703842E-5</v>
      </c>
      <c r="CC51" s="17">
        <f>IF(CC$3="","",IF(CC$3=Steps,MAX(IF(CallPut=1,UndTree!CC51-Strike,Strike-UndTree!CC51),0),MAX((2-AmEur)*IF(CallPut=1,UndTree!CC51-Strike,Strike-UndTree!CC51),(UpProb*CD51+DownProb*CD52)*StepDiscount)))</f>
        <v>4.5427685852246778E-5</v>
      </c>
      <c r="CD51" s="17">
        <f>IF(CD$3="","",IF(CD$3=Steps,MAX(IF(CallPut=1,UndTree!CD51-Strike,Strike-UndTree!CD51),0),MAX((2-AmEur)*IF(CallPut=1,UndTree!CD51-Strike,Strike-UndTree!CD51),(UpProb*CE51+DownProb*CE52)*StepDiscount)))</f>
        <v>8.4140466418318726E-5</v>
      </c>
      <c r="CE51" s="17">
        <f>IF(CE$3="","",IF(CE$3=Steps,MAX(IF(CallPut=1,UndTree!CE51-Strike,Strike-UndTree!CE51),0),MAX((2-AmEur)*IF(CallPut=1,UndTree!CE51-Strike,Strike-UndTree!CE51),(UpProb*CF51+DownProb*CF52)*StepDiscount)))</f>
        <v>1.5539597981070508E-4</v>
      </c>
      <c r="CF51" s="17">
        <f>IF(CF$3="","",IF(CF$3=Steps,MAX(IF(CallPut=1,UndTree!CF51-Strike,Strike-UndTree!CF51),0),MAX((2-AmEur)*IF(CallPut=1,UndTree!CF51-Strike,Strike-UndTree!CF51),(UpProb*CG51+DownProb*CG52)*StepDiscount)))</f>
        <v>2.8610520106243492E-4</v>
      </c>
      <c r="CG51" s="17">
        <f>IF(CG$3="","",IF(CG$3=Steps,MAX(IF(CallPut=1,UndTree!CG51-Strike,Strike-UndTree!CG51),0),MAX((2-AmEur)*IF(CallPut=1,UndTree!CG51-Strike,Strike-UndTree!CG51),(UpProb*CH51+DownProb*CH52)*StepDiscount)))</f>
        <v>5.2499009944063544E-4</v>
      </c>
      <c r="CH51" s="17">
        <f>IF(CH$3="","",IF(CH$3=Steps,MAX(IF(CallPut=1,UndTree!CH51-Strike,Strike-UndTree!CH51),0),MAX((2-AmEur)*IF(CallPut=1,UndTree!CH51-Strike,Strike-UndTree!CH51),(UpProb*CI51+DownProb*CI52)*StepDiscount)))</f>
        <v>9.5981997018939767E-4</v>
      </c>
      <c r="CI51" s="17">
        <f>IF(CI$3="","",IF(CI$3=Steps,MAX(IF(CallPut=1,UndTree!CI51-Strike,Strike-UndTree!CI51),0),MAX((2-AmEur)*IF(CallPut=1,UndTree!CI51-Strike,Strike-UndTree!CI51),(UpProb*CJ51+DownProb*CJ52)*StepDiscount)))</f>
        <v>1.7478283490308284E-3</v>
      </c>
      <c r="CJ51" s="17">
        <f>IF(CJ$3="","",IF(CJ$3=Steps,MAX(IF(CallPut=1,UndTree!CJ51-Strike,Strike-UndTree!CJ51),0),MAX((2-AmEur)*IF(CallPut=1,UndTree!CJ51-Strike,Strike-UndTree!CJ51),(UpProb*CK51+DownProb*CK52)*StepDiscount)))</f>
        <v>3.1689479054111706E-3</v>
      </c>
      <c r="CK51" s="17">
        <f>IF(CK$3="","",IF(CK$3=Steps,MAX(IF(CallPut=1,UndTree!CK51-Strike,Strike-UndTree!CK51),0),MAX((2-AmEur)*IF(CallPut=1,UndTree!CK51-Strike,Strike-UndTree!CK51),(UpProb*CL51+DownProb*CL52)*StepDiscount)))</f>
        <v>5.7181011837474528E-3</v>
      </c>
      <c r="CL51" s="17">
        <f>IF(CL$3="","",IF(CL$3=Steps,MAX(IF(CallPut=1,UndTree!CL51-Strike,Strike-UndTree!CL51),0),MAX((2-AmEur)*IF(CallPut=1,UndTree!CL51-Strike,Strike-UndTree!CL51),(UpProb*CM51+DownProb*CM52)*StepDiscount)))</f>
        <v>1.0263449104401632E-2</v>
      </c>
      <c r="CM51" s="17">
        <f>IF(CM$3="","",IF(CM$3=Steps,MAX(IF(CallPut=1,UndTree!CM51-Strike,Strike-UndTree!CM51),0),MAX((2-AmEur)*IF(CallPut=1,UndTree!CM51-Strike,Strike-UndTree!CM51),(UpProb*CN51+DownProb*CN52)*StepDiscount)))</f>
        <v>1.8314247238562786E-2</v>
      </c>
      <c r="CN51" s="17">
        <f>IF(CN$3="","",IF(CN$3=Steps,MAX(IF(CallPut=1,UndTree!CN51-Strike,Strike-UndTree!CN51),0),MAX((2-AmEur)*IF(CallPut=1,UndTree!CN51-Strike,Strike-UndTree!CN51),(UpProb*CO51+DownProb*CO52)*StepDiscount)))</f>
        <v>3.2467277621440832E-2</v>
      </c>
      <c r="CO51" s="17">
        <f>IF(CO$3="","",IF(CO$3=Steps,MAX(IF(CallPut=1,UndTree!CO51-Strike,Strike-UndTree!CO51),0),MAX((2-AmEur)*IF(CallPut=1,UndTree!CO51-Strike,Strike-UndTree!CO51),(UpProb*CP51+DownProb*CP52)*StepDiscount)))</f>
        <v>5.7137053249518913E-2</v>
      </c>
      <c r="CP51" s="17">
        <f>IF(CP$3="","",IF(CP$3=Steps,MAX(IF(CallPut=1,UndTree!CP51-Strike,Strike-UndTree!CP51),0),MAX((2-AmEur)*IF(CallPut=1,UndTree!CP51-Strike,Strike-UndTree!CP51),(UpProb*CQ51+DownProb*CQ52)*StepDiscount)))</f>
        <v>9.9722516154930177E-2</v>
      </c>
      <c r="CQ51" s="17">
        <f>IF(CQ$3="","",IF(CQ$3=Steps,MAX(IF(CallPut=1,UndTree!CQ51-Strike,Strike-UndTree!CQ51),0),MAX((2-AmEur)*IF(CallPut=1,UndTree!CQ51-Strike,Strike-UndTree!CQ51),(UpProb*CR51+DownProb*CR52)*StepDiscount)))</f>
        <v>0.17241583334937258</v>
      </c>
      <c r="CR51" s="17">
        <f>IF(CR$3="","",IF(CR$3=Steps,MAX(IF(CallPut=1,UndTree!CR51-Strike,Strike-UndTree!CR51),0),MAX((2-AmEur)*IF(CallPut=1,UndTree!CR51-Strike,Strike-UndTree!CR51),(UpProb*CS51+DownProb*CS52)*StepDiscount)))</f>
        <v>0.29489564879744107</v>
      </c>
      <c r="CS51" s="17">
        <f>IF(CS$3="","",IF(CS$3=Steps,MAX(IF(CallPut=1,UndTree!CS51-Strike,Strike-UndTree!CS51),0),MAX((2-AmEur)*IF(CallPut=1,UndTree!CS51-Strike,Strike-UndTree!CS51),(UpProb*CT51+DownProb*CT52)*StepDiscount)))</f>
        <v>0.49811306956225293</v>
      </c>
      <c r="CT51" s="17">
        <f>IF(CT$3="","",IF(CT$3=Steps,MAX(IF(CallPut=1,UndTree!CT51-Strike,Strike-UndTree!CT51),0),MAX((2-AmEur)*IF(CallPut=1,UndTree!CT51-Strike,Strike-UndTree!CT51),(UpProb*CU51+DownProb*CU52)*StepDiscount)))</f>
        <v>0.82915582175714753</v>
      </c>
      <c r="CU51" s="17">
        <f>IF(CU$3="","",IF(CU$3=Steps,MAX(IF(CallPut=1,UndTree!CU51-Strike,Strike-UndTree!CU51),0),MAX((2-AmEur)*IF(CallPut=1,UndTree!CU51-Strike,Strike-UndTree!CU51),(UpProb*CV51+DownProb*CV52)*StepDiscount)))</f>
        <v>1.356541184878687</v>
      </c>
      <c r="CV51" s="17">
        <f>IF(CV$3="","",IF(CV$3=Steps,MAX(IF(CallPut=1,UndTree!CV51-Strike,Strike-UndTree!CV51),0),MAX((2-AmEur)*IF(CallPut=1,UndTree!CV51-Strike,Strike-UndTree!CV51),(UpProb*CW51+DownProb*CW52)*StepDiscount)))</f>
        <v>2.1738793008730517</v>
      </c>
      <c r="CW51" s="17">
        <f>IF(CW$3="","",IF(CW$3=Steps,MAX(IF(CallPut=1,UndTree!CW51-Strike,Strike-UndTree!CW51),0),MAX((2-AmEur)*IF(CallPut=1,UndTree!CW51-Strike,Strike-UndTree!CW51),(UpProb*CX51+DownProb*CX52)*StepDiscount)))</f>
        <v>3.3972265387451399</v>
      </c>
      <c r="CX51" s="17">
        <f>IF(CX$3="","",IF(CX$3=Steps,MAX(IF(CallPut=1,UndTree!CX51-Strike,Strike-UndTree!CX51),0),MAX((2-AmEur)*IF(CallPut=1,UndTree!CX51-Strike,Strike-UndTree!CX51),(UpProb*CY51+DownProb*CY52)*StepDiscount)))</f>
        <v>5.1475406044251493</v>
      </c>
      <c r="CY51" s="17">
        <f>IF(CY$3="","",IF(CY$3=Steps,MAX(IF(CallPut=1,UndTree!CY51-Strike,Strike-UndTree!CY51),0),MAX((2-AmEur)*IF(CallPut=1,UndTree!CY51-Strike,Strike-UndTree!CY51),(UpProb*CZ51+DownProb*CZ52)*StepDiscount)))</f>
        <v>7.5063800227360149</v>
      </c>
      <c r="CZ51" s="17">
        <f>IF(CZ$3="","",IF(CZ$3=Steps,MAX(IF(CallPut=1,UndTree!CZ51-Strike,Strike-UndTree!CZ51),0),MAX((2-AmEur)*IF(CallPut=1,UndTree!CZ51-Strike,Strike-UndTree!CZ51),(UpProb*DA51+DownProb*DA52)*StepDiscount)))</f>
        <v>10.439272901564804</v>
      </c>
      <c r="DA51" s="17">
        <f>IF(DA$3="","",IF(DA$3=Steps,MAX(IF(CallPut=1,UndTree!DA51-Strike,Strike-UndTree!DA51),0),MAX((2-AmEur)*IF(CallPut=1,UndTree!DA51-Strike,Strike-UndTree!DA51),(UpProb*DB51+DownProb*DB52)*StepDiscount)))</f>
        <v>13.726790799797715</v>
      </c>
      <c r="DB51" s="17">
        <f>IF(DB$3="","",IF(DB$3=Steps,MAX(IF(CallPut=1,UndTree!DB51-Strike,Strike-UndTree!DB51),0),MAX((2-AmEur)*IF(CallPut=1,UndTree!DB51-Strike,Strike-UndTree!DB51),(UpProb*DC51+DownProb*DC52)*StepDiscount)))</f>
        <v>17.115394263799999</v>
      </c>
    </row>
    <row r="52" spans="1:106" x14ac:dyDescent="0.2">
      <c r="A52">
        <f>ExDivTree!A52</f>
        <v>1.7762004615811383E+29</v>
      </c>
      <c r="B52" s="71">
        <f>ExDivTree!B52</f>
        <v>7.0058755198843789E-2</v>
      </c>
      <c r="C52" s="71">
        <f>ExDivTree!C52</f>
        <v>7.0968201282729765E-2</v>
      </c>
      <c r="D52" s="177">
        <f>ExDivTree!D52</f>
        <v>48</v>
      </c>
      <c r="BA52" s="17">
        <f>IF(BA$3="","",IF(BA$3=Steps,MAX(IF(CallPut=1,UndTree!BA52-Strike,Strike-UndTree!BA52),0),MAX((2-AmEur)*IF(CallPut=1,UndTree!BA52-Strike,Strike-UndTree!BA52),(UpProb*BB52+DownProb*BB53)*StepDiscount)))</f>
        <v>2.7131107768535405E-14</v>
      </c>
      <c r="BB52" s="17">
        <f>IF(BB$3="","",IF(BB$3=Steps,MAX(IF(CallPut=1,UndTree!BB52-Strike,Strike-UndTree!BB52),0),MAX((2-AmEur)*IF(CallPut=1,UndTree!BB52-Strike,Strike-UndTree!BB52),(UpProb*BC52+DownProb*BC53)*StepDiscount)))</f>
        <v>5.3173958139746441E-14</v>
      </c>
      <c r="BC52" s="17">
        <f>IF(BC$3="","",IF(BC$3=Steps,MAX(IF(CallPut=1,UndTree!BC52-Strike,Strike-UndTree!BC52),0),MAX((2-AmEur)*IF(CallPut=1,UndTree!BC52-Strike,Strike-UndTree!BC52),(UpProb*BD52+DownProb*BD53)*StepDiscount)))</f>
        <v>1.0418013645072244E-13</v>
      </c>
      <c r="BD52" s="17">
        <f>IF(BD$3="","",IF(BD$3=Steps,MAX(IF(CallPut=1,UndTree!BD52-Strike,Strike-UndTree!BD52),0),MAX((2-AmEur)*IF(CallPut=1,UndTree!BD52-Strike,Strike-UndTree!BD52),(UpProb*BE52+DownProb*BE53)*StepDiscount)))</f>
        <v>2.0404212869156879E-13</v>
      </c>
      <c r="BE52" s="17">
        <f>IF(BE$3="","",IF(BE$3=Steps,MAX(IF(CallPut=1,UndTree!BE52-Strike,Strike-UndTree!BE52),0),MAX((2-AmEur)*IF(CallPut=1,UndTree!BE52-Strike,Strike-UndTree!BE52),(UpProb*BF52+DownProb*BF53)*StepDiscount)))</f>
        <v>3.9948269119542032E-13</v>
      </c>
      <c r="BF52" s="17">
        <f>IF(BF$3="","",IF(BF$3=Steps,MAX(IF(CallPut=1,UndTree!BF52-Strike,Strike-UndTree!BF52),0),MAX((2-AmEur)*IF(CallPut=1,UndTree!BF52-Strike,Strike-UndTree!BF52),(UpProb*BG52+DownProb*BG53)*StepDiscount)))</f>
        <v>7.8183147776105917E-13</v>
      </c>
      <c r="BG52" s="17">
        <f>IF(BG$3="","",IF(BG$3=Steps,MAX(IF(CallPut=1,UndTree!BG52-Strike,Strike-UndTree!BG52),0),MAX((2-AmEur)*IF(CallPut=1,UndTree!BG52-Strike,Strike-UndTree!BG52),(UpProb*BH52+DownProb*BH53)*StepDiscount)))</f>
        <v>1.5295331695301703E-12</v>
      </c>
      <c r="BH52" s="17">
        <f>IF(BH$3="","",IF(BH$3=Steps,MAX(IF(CallPut=1,UndTree!BH52-Strike,Strike-UndTree!BH52),0),MAX((2-AmEur)*IF(CallPut=1,UndTree!BH52-Strike,Strike-UndTree!BH52),(UpProb*BI52+DownProb*BI53)*StepDiscount)))</f>
        <v>2.9910819515841859E-12</v>
      </c>
      <c r="BI52" s="17">
        <f>IF(BI$3="","",IF(BI$3=Steps,MAX(IF(CallPut=1,UndTree!BI52-Strike,Strike-UndTree!BI52),0),MAX((2-AmEur)*IF(CallPut=1,UndTree!BI52-Strike,Strike-UndTree!BI52),(UpProb*BJ52+DownProb*BJ53)*StepDiscount)))</f>
        <v>5.8467437780036127E-12</v>
      </c>
      <c r="BJ52" s="17">
        <f>IF(BJ$3="","",IF(BJ$3=Steps,MAX(IF(CallPut=1,UndTree!BJ52-Strike,Strike-UndTree!BJ52),0),MAX((2-AmEur)*IF(CallPut=1,UndTree!BJ52-Strike,Strike-UndTree!BJ52),(UpProb*BK52+DownProb*BK53)*StepDiscount)))</f>
        <v>1.1423741176425592E-11</v>
      </c>
      <c r="BK52" s="17">
        <f>IF(BK$3="","",IF(BK$3=Steps,MAX(IF(CallPut=1,UndTree!BK52-Strike,Strike-UndTree!BK52),0),MAX((2-AmEur)*IF(CallPut=1,UndTree!BK52-Strike,Strike-UndTree!BK52),(UpProb*BL52+DownProb*BL53)*StepDiscount)))</f>
        <v>2.2310170496735852E-11</v>
      </c>
      <c r="BL52" s="17">
        <f>IF(BL$3="","",IF(BL$3=Steps,MAX(IF(CallPut=1,UndTree!BL52-Strike,Strike-UndTree!BL52),0),MAX((2-AmEur)*IF(CallPut=1,UndTree!BL52-Strike,Strike-UndTree!BL52),(UpProb*BM52+DownProb*BM53)*StepDiscount)))</f>
        <v>4.3550065448753172E-11</v>
      </c>
      <c r="BM52" s="17">
        <f>IF(BM$3="","",IF(BM$3=Steps,MAX(IF(CallPut=1,UndTree!BM52-Strike,Strike-UndTree!BM52),0),MAX((2-AmEur)*IF(CallPut=1,UndTree!BM52-Strike,Strike-UndTree!BM52),(UpProb*BN52+DownProb*BN53)*StepDiscount)))</f>
        <v>8.4968248942348131E-11</v>
      </c>
      <c r="BN52" s="17">
        <f>IF(BN$3="","",IF(BN$3=Steps,MAX(IF(CallPut=1,UndTree!BN52-Strike,Strike-UndTree!BN52),0),MAX((2-AmEur)*IF(CallPut=1,UndTree!BN52-Strike,Strike-UndTree!BN52),(UpProb*BO52+DownProb*BO53)*StepDiscount)))</f>
        <v>1.6569001799388798E-10</v>
      </c>
      <c r="BO52" s="17">
        <f>IF(BO$3="","",IF(BO$3=Steps,MAX(IF(CallPut=1,UndTree!BO52-Strike,Strike-UndTree!BO52),0),MAX((2-AmEur)*IF(CallPut=1,UndTree!BO52-Strike,Strike-UndTree!BO52),(UpProb*BP52+DownProb*BP53)*StepDiscount)))</f>
        <v>3.2292153605115571E-10</v>
      </c>
      <c r="BP52" s="17">
        <f>IF(BP$3="","",IF(BP$3=Steps,MAX(IF(CallPut=1,UndTree!BP52-Strike,Strike-UndTree!BP52),0),MAX((2-AmEur)*IF(CallPut=1,UndTree!BP52-Strike,Strike-UndTree!BP52),(UpProb*BQ52+DownProb*BQ53)*StepDiscount)))</f>
        <v>6.2899477613757888E-10</v>
      </c>
      <c r="BQ52" s="17">
        <f>IF(BQ$3="","",IF(BQ$3=Steps,MAX(IF(CallPut=1,UndTree!BQ52-Strike,Strike-UndTree!BQ52),0),MAX((2-AmEur)*IF(CallPut=1,UndTree!BQ52-Strike,Strike-UndTree!BQ52),(UpProb*BR52+DownProb*BR53)*StepDiscount)))</f>
        <v>1.2244299378096524E-9</v>
      </c>
      <c r="BR52" s="17">
        <f>IF(BR$3="","",IF(BR$3=Steps,MAX(IF(CallPut=1,UndTree!BR52-Strike,Strike-UndTree!BR52),0),MAX((2-AmEur)*IF(CallPut=1,UndTree!BR52-Strike,Strike-UndTree!BR52),(UpProb*BS52+DownProb*BS53)*StepDiscount)))</f>
        <v>2.3820137433235478E-9</v>
      </c>
      <c r="BS52" s="17">
        <f>IF(BS$3="","",IF(BS$3=Steps,MAX(IF(CallPut=1,UndTree!BS52-Strike,Strike-UndTree!BS52),0),MAX((2-AmEur)*IF(CallPut=1,UndTree!BS52-Strike,Strike-UndTree!BS52),(UpProb*BT52+DownProb*BT53)*StepDiscount)))</f>
        <v>4.6308797035549244E-9</v>
      </c>
      <c r="BT52" s="17">
        <f>IF(BT$3="","",IF(BT$3=Steps,MAX(IF(CallPut=1,UndTree!BT52-Strike,Strike-UndTree!BT52),0),MAX((2-AmEur)*IF(CallPut=1,UndTree!BT52-Strike,Strike-UndTree!BT52),(UpProb*BU52+DownProb*BU53)*StepDiscount)))</f>
        <v>8.9965493899848178E-9</v>
      </c>
      <c r="BU52" s="17">
        <f>IF(BU$3="","",IF(BU$3=Steps,MAX(IF(CallPut=1,UndTree!BU52-Strike,Strike-UndTree!BU52),0),MAX((2-AmEur)*IF(CallPut=1,UndTree!BU52-Strike,Strike-UndTree!BU52),(UpProb*BV52+DownProb*BV53)*StepDiscount)))</f>
        <v>1.7464843035114688E-8</v>
      </c>
      <c r="BV52" s="17">
        <f>IF(BV$3="","",IF(BV$3=Steps,MAX(IF(CallPut=1,UndTree!BV52-Strike,Strike-UndTree!BV52),0),MAX((2-AmEur)*IF(CallPut=1,UndTree!BV52-Strike,Strike-UndTree!BV52),(UpProb*BW52+DownProb*BW53)*StepDiscount)))</f>
        <v>3.3877489580072177E-8</v>
      </c>
      <c r="BW52" s="17">
        <f>IF(BW$3="","",IF(BW$3=Steps,MAX(IF(CallPut=1,UndTree!BW52-Strike,Strike-UndTree!BW52),0),MAX((2-AmEur)*IF(CallPut=1,UndTree!BW52-Strike,Strike-UndTree!BW52),(UpProb*BX52+DownProb*BX53)*StepDiscount)))</f>
        <v>6.5659189096677644E-8</v>
      </c>
      <c r="BX52" s="17">
        <f>IF(BX$3="","",IF(BX$3=Steps,MAX(IF(CallPut=1,UndTree!BX52-Strike,Strike-UndTree!BX52),0),MAX((2-AmEur)*IF(CallPut=1,UndTree!BX52-Strike,Strike-UndTree!BX52),(UpProb*BY52+DownProb*BY53)*StepDiscount)))</f>
        <v>1.2714394988763451E-7</v>
      </c>
      <c r="BY52" s="17">
        <f>IF(BY$3="","",IF(BY$3=Steps,MAX(IF(CallPut=1,UndTree!BY52-Strike,Strike-UndTree!BY52),0),MAX((2-AmEur)*IF(CallPut=1,UndTree!BY52-Strike,Strike-UndTree!BY52),(UpProb*BZ52+DownProb*BZ53)*StepDiscount)))</f>
        <v>2.4597323908455053E-7</v>
      </c>
      <c r="BZ52" s="17">
        <f>IF(BZ$3="","",IF(BZ$3=Steps,MAX(IF(CallPut=1,UndTree!BZ52-Strike,Strike-UndTree!BZ52),0),MAX((2-AmEur)*IF(CallPut=1,UndTree!BZ52-Strike,Strike-UndTree!BZ52),(UpProb*CA52+DownProb*CA53)*StepDiscount)))</f>
        <v>4.7538533379063181E-7</v>
      </c>
      <c r="CA52" s="17">
        <f>IF(CA$3="","",IF(CA$3=Steps,MAX(IF(CallPut=1,UndTree!CA52-Strike,Strike-UndTree!CA52),0),MAX((2-AmEur)*IF(CallPut=1,UndTree!CA52-Strike,Strike-UndTree!CA52),(UpProb*CB52+DownProb*CB53)*StepDiscount)))</f>
        <v>9.1778430435996438E-7</v>
      </c>
      <c r="CB52" s="17">
        <f>IF(CB$3="","",IF(CB$3=Steps,MAX(IF(CallPut=1,UndTree!CB52-Strike,Strike-UndTree!CB52),0),MAX((2-AmEur)*IF(CallPut=1,UndTree!CB52-Strike,Strike-UndTree!CB52),(UpProb*CC52+DownProb*CC53)*StepDiscount)))</f>
        <v>1.7698668788149663E-6</v>
      </c>
      <c r="CC52" s="17">
        <f>IF(CC$3="","",IF(CC$3=Steps,MAX(IF(CallPut=1,UndTree!CC52-Strike,Strike-UndTree!CC52),0),MAX((2-AmEur)*IF(CallPut=1,UndTree!CC52-Strike,Strike-UndTree!CC52),(UpProb*CD52+DownProb*CD53)*StepDiscount)))</f>
        <v>3.408870586629195E-6</v>
      </c>
      <c r="CD52" s="17">
        <f>IF(CD$3="","",IF(CD$3=Steps,MAX(IF(CallPut=1,UndTree!CD52-Strike,Strike-UndTree!CD52),0),MAX((2-AmEur)*IF(CallPut=1,UndTree!CD52-Strike,Strike-UndTree!CD52),(UpProb*CE52+DownProb*CE53)*StepDiscount)))</f>
        <v>6.5570920099201721E-6</v>
      </c>
      <c r="CE52" s="17">
        <f>IF(CE$3="","",IF(CE$3=Steps,MAX(IF(CallPut=1,UndTree!CE52-Strike,Strike-UndTree!CE52),0),MAX((2-AmEur)*IF(CallPut=1,UndTree!CE52-Strike,Strike-UndTree!CE52),(UpProb*CF52+DownProb*CF53)*StepDiscount)))</f>
        <v>1.2595033271683733E-5</v>
      </c>
      <c r="CF52" s="17">
        <f>IF(CF$3="","",IF(CF$3=Steps,MAX(IF(CallPut=1,UndTree!CF52-Strike,Strike-UndTree!CF52),0),MAX((2-AmEur)*IF(CallPut=1,UndTree!CF52-Strike,Strike-UndTree!CF52),(UpProb*CG52+DownProb*CG53)*StepDiscount)))</f>
        <v>2.4156046684586732E-5</v>
      </c>
      <c r="CG52" s="17">
        <f>IF(CG$3="","",IF(CG$3=Steps,MAX(IF(CallPut=1,UndTree!CG52-Strike,Strike-UndTree!CG52),0),MAX((2-AmEur)*IF(CallPut=1,UndTree!CG52-Strike,Strike-UndTree!CG52),(UpProb*CH52+DownProb*CH53)*StepDiscount)))</f>
        <v>4.6252589963673858E-5</v>
      </c>
      <c r="CH52" s="17">
        <f>IF(CH$3="","",IF(CH$3=Steps,MAX(IF(CallPut=1,UndTree!CH52-Strike,Strike-UndTree!CH52),0),MAX((2-AmEur)*IF(CallPut=1,UndTree!CH52-Strike,Strike-UndTree!CH52),(UpProb*CI52+DownProb*CI53)*StepDiscount)))</f>
        <v>8.8403191966087083E-5</v>
      </c>
      <c r="CI52" s="17">
        <f>IF(CI$3="","",IF(CI$3=Steps,MAX(IF(CallPut=1,UndTree!CI52-Strike,Strike-UndTree!CI52),0),MAX((2-AmEur)*IF(CallPut=1,UndTree!CI52-Strike,Strike-UndTree!CI52),(UpProb*CJ52+DownProb*CJ53)*StepDiscount)))</f>
        <v>1.6863633846280095E-4</v>
      </c>
      <c r="CJ52" s="17">
        <f>IF(CJ$3="","",IF(CJ$3=Steps,MAX(IF(CallPut=1,UndTree!CJ52-Strike,Strike-UndTree!CJ52),0),MAX((2-AmEur)*IF(CallPut=1,UndTree!CJ52-Strike,Strike-UndTree!CJ52),(UpProb*CK52+DownProb*CK53)*StepDiscount)))</f>
        <v>3.2100023300377843E-4</v>
      </c>
      <c r="CK52" s="17">
        <f>IF(CK$3="","",IF(CK$3=Steps,MAX(IF(CallPut=1,UndTree!CK52-Strike,Strike-UndTree!CK52),0),MAX((2-AmEur)*IF(CallPut=1,UndTree!CK52-Strike,Strike-UndTree!CK52),(UpProb*CL52+DownProb*CL53)*StepDiscount)))</f>
        <v>6.0959044562239263E-4</v>
      </c>
      <c r="CL52" s="17">
        <f>IF(CL$3="","",IF(CL$3=Steps,MAX(IF(CallPut=1,UndTree!CL52-Strike,Strike-UndTree!CL52),0),MAX((2-AmEur)*IF(CallPut=1,UndTree!CL52-Strike,Strike-UndTree!CL52),(UpProb*CM52+DownProb*CM53)*StepDiscount)))</f>
        <v>1.1546297346411041E-3</v>
      </c>
      <c r="CM52" s="17">
        <f>IF(CM$3="","",IF(CM$3=Steps,MAX(IF(CallPut=1,UndTree!CM52-Strike,Strike-UndTree!CM52),0),MAX((2-AmEur)*IF(CallPut=1,UndTree!CM52-Strike,Strike-UndTree!CM52),(UpProb*CN52+DownProb*CN53)*StepDiscount)))</f>
        <v>2.180693227695638E-3</v>
      </c>
      <c r="CN52" s="17">
        <f>IF(CN$3="","",IF(CN$3=Steps,MAX(IF(CallPut=1,UndTree!CN52-Strike,Strike-UndTree!CN52),0),MAX((2-AmEur)*IF(CallPut=1,UndTree!CN52-Strike,Strike-UndTree!CN52),(UpProb*CO52+DownProb*CO53)*StepDiscount)))</f>
        <v>4.1053227315856772E-3</v>
      </c>
      <c r="CO52" s="17">
        <f>IF(CO$3="","",IF(CO$3=Steps,MAX(IF(CallPut=1,UndTree!CO52-Strike,Strike-UndTree!CO52),0),MAX((2-AmEur)*IF(CallPut=1,UndTree!CO52-Strike,Strike-UndTree!CO52),(UpProb*CP52+DownProb*CP53)*StepDiscount)))</f>
        <v>7.7006487855986166E-3</v>
      </c>
      <c r="CP52" s="17">
        <f>IF(CP$3="","",IF(CP$3=Steps,MAX(IF(CallPut=1,UndTree!CP52-Strike,Strike-UndTree!CP52),0),MAX((2-AmEur)*IF(CallPut=1,UndTree!CP52-Strike,Strike-UndTree!CP52),(UpProb*CQ52+DownProb*CQ53)*StepDiscount)))</f>
        <v>1.4385552296737637E-2</v>
      </c>
      <c r="CQ52" s="17">
        <f>IF(CQ$3="","",IF(CQ$3=Steps,MAX(IF(CallPut=1,UndTree!CQ52-Strike,Strike-UndTree!CQ52),0),MAX((2-AmEur)*IF(CallPut=1,UndTree!CQ52-Strike,Strike-UndTree!CQ52),(UpProb*CR52+DownProb*CR53)*StepDiscount)))</f>
        <v>2.6748083362949305E-2</v>
      </c>
      <c r="CR52" s="17">
        <f>IF(CR$3="","",IF(CR$3=Steps,MAX(IF(CallPut=1,UndTree!CR52-Strike,Strike-UndTree!CR52),0),MAX((2-AmEur)*IF(CallPut=1,UndTree!CR52-Strike,Strike-UndTree!CR52),(UpProb*CS52+DownProb*CS53)*StepDiscount)))</f>
        <v>4.9467009366882433E-2</v>
      </c>
      <c r="CS52" s="17">
        <f>IF(CS$3="","",IF(CS$3=Steps,MAX(IF(CallPut=1,UndTree!CS52-Strike,Strike-UndTree!CS52),0),MAX((2-AmEur)*IF(CallPut=1,UndTree!CS52-Strike,Strike-UndTree!CS52),(UpProb*CT52+DownProb*CT53)*StepDiscount)))</f>
        <v>9.090936745191594E-2</v>
      </c>
      <c r="CT52" s="17">
        <f>IF(CT$3="","",IF(CT$3=Steps,MAX(IF(CallPut=1,UndTree!CT52-Strike,Strike-UndTree!CT52),0),MAX((2-AmEur)*IF(CallPut=1,UndTree!CT52-Strike,Strike-UndTree!CT52),(UpProb*CU52+DownProb*CU53)*StepDiscount)))</f>
        <v>0.16583654627835645</v>
      </c>
      <c r="CU52" s="17">
        <f>IF(CU$3="","",IF(CU$3=Steps,MAX(IF(CallPut=1,UndTree!CU52-Strike,Strike-UndTree!CU52),0),MAX((2-AmEur)*IF(CallPut=1,UndTree!CU52-Strike,Strike-UndTree!CU52),(UpProb*CV52+DownProb*CV53)*StepDiscount)))</f>
        <v>0.29984251851399996</v>
      </c>
      <c r="CV52" s="17">
        <f>IF(CV$3="","",IF(CV$3=Steps,MAX(IF(CallPut=1,UndTree!CV52-Strike,Strike-UndTree!CV52),0),MAX((2-AmEur)*IF(CallPut=1,UndTree!CV52-Strike,Strike-UndTree!CV52),(UpProb*CW52+DownProb*CW53)*StepDiscount)))</f>
        <v>0.53629064841645324</v>
      </c>
      <c r="CW52" s="17">
        <f>IF(CW$3="","",IF(CW$3=Steps,MAX(IF(CallPut=1,UndTree!CW52-Strike,Strike-UndTree!CW52),0),MAX((2-AmEur)*IF(CallPut=1,UndTree!CW52-Strike,Strike-UndTree!CW52),(UpProb*CX52+DownProb*CX53)*StepDiscount)))</f>
        <v>0.94632434944735089</v>
      </c>
      <c r="CX52" s="17">
        <f>IF(CX$3="","",IF(CX$3=Steps,MAX(IF(CallPut=1,UndTree!CX52-Strike,Strike-UndTree!CX52),0),MAX((2-AmEur)*IF(CallPut=1,UndTree!CX52-Strike,Strike-UndTree!CX52),(UpProb*CY52+DownProb*CY53)*StepDiscount)))</f>
        <v>1.6411950951029104</v>
      </c>
      <c r="CY52" s="17">
        <f>IF(CY$3="","",IF(CY$3=Steps,MAX(IF(CallPut=1,UndTree!CY52-Strike,Strike-UndTree!CY52),0),MAX((2-AmEur)*IF(CallPut=1,UndTree!CY52-Strike,Strike-UndTree!CY52),(UpProb*CZ52+DownProb*CZ53)*StepDiscount)))</f>
        <v>2.7815968461883509</v>
      </c>
      <c r="CZ52" s="17">
        <f>IF(CZ$3="","",IF(CZ$3=Steps,MAX(IF(CallPut=1,UndTree!CZ52-Strike,Strike-UndTree!CZ52),0),MAX((2-AmEur)*IF(CallPut=1,UndTree!CZ52-Strike,Strike-UndTree!CZ52),(UpProb*DA52+DownProb*DA53)*StepDiscount)))</f>
        <v>4.5658213325863768</v>
      </c>
      <c r="DA52" s="17">
        <f>IF(DA$3="","",IF(DA$3=Steps,MAX(IF(CallPut=1,UndTree!DA52-Strike,Strike-UndTree!DA52),0),MAX((2-AmEur)*IF(CallPut=1,UndTree!DA52-Strike,Strike-UndTree!DA52),(UpProb*DB52+DownProb*DB53)*StepDiscount)))</f>
        <v>7.1452998799004641</v>
      </c>
      <c r="DB52" s="17">
        <f>IF(DB$3="","",IF(DB$3=Steps,MAX(IF(CallPut=1,UndTree!DB52-Strike,Strike-UndTree!DB52),0),MAX((2-AmEur)*IF(CallPut=1,UndTree!DB52-Strike,Strike-UndTree!DB52),(UpProb*DC52+DownProb*DC53)*StepDiscount)))</f>
        <v>10.334664764300001</v>
      </c>
    </row>
    <row r="53" spans="1:106" x14ac:dyDescent="0.2">
      <c r="A53">
        <f>ExDivTree!A53</f>
        <v>1.9211964176285804E+29</v>
      </c>
      <c r="B53" s="71">
        <f>ExDivTree!B53</f>
        <v>7.577783725589235E-2</v>
      </c>
      <c r="C53" s="71">
        <f>ExDivTree!C53</f>
        <v>7.6355689968182316E-2</v>
      </c>
      <c r="D53" s="177">
        <f>ExDivTree!D53</f>
        <v>49</v>
      </c>
      <c r="BB53" s="17">
        <f>IF(BB$3="","",IF(BB$3=Steps,MAX(IF(CallPut=1,UndTree!BB53-Strike,Strike-UndTree!BB53),0),MAX((2-AmEur)*IF(CallPut=1,UndTree!BB53-Strike,Strike-UndTree!BB53),(UpProb*BC53+DownProb*BC54)*StepDiscount)))</f>
        <v>9.7847415108671205E-16</v>
      </c>
      <c r="BC53" s="17">
        <f>IF(BC$3="","",IF(BC$3=Steps,MAX(IF(CallPut=1,UndTree!BC53-Strike,Strike-UndTree!BC53),0),MAX((2-AmEur)*IF(CallPut=1,UndTree!BC53-Strike,Strike-UndTree!BC53),(UpProb*BD53+DownProb*BD54)*StepDiscount)))</f>
        <v>1.9528024393741722E-15</v>
      </c>
      <c r="BD53" s="17">
        <f>IF(BD$3="","",IF(BD$3=Steps,MAX(IF(CallPut=1,UndTree!BD53-Strike,Strike-UndTree!BD53),0),MAX((2-AmEur)*IF(CallPut=1,UndTree!BD53-Strike,Strike-UndTree!BD53),(UpProb*BE53+DownProb*BE54)*StepDiscount)))</f>
        <v>3.8973307194578842E-15</v>
      </c>
      <c r="BE53" s="17">
        <f>IF(BE$3="","",IF(BE$3=Steps,MAX(IF(CallPut=1,UndTree!BE53-Strike,Strike-UndTree!BE53),0),MAX((2-AmEur)*IF(CallPut=1,UndTree!BE53-Strike,Strike-UndTree!BE53),(UpProb*BF53+DownProb*BF54)*StepDiscount)))</f>
        <v>7.7781481785212691E-15</v>
      </c>
      <c r="BF53" s="17">
        <f>IF(BF$3="","",IF(BF$3=Steps,MAX(IF(CallPut=1,UndTree!BF53-Strike,Strike-UndTree!BF53),0),MAX((2-AmEur)*IF(CallPut=1,UndTree!BF53-Strike,Strike-UndTree!BF53),(UpProb*BG53+DownProb*BG54)*StepDiscount)))</f>
        <v>1.5523339804082416E-14</v>
      </c>
      <c r="BG53" s="17">
        <f>IF(BG$3="","",IF(BG$3=Steps,MAX(IF(CallPut=1,UndTree!BG53-Strike,Strike-UndTree!BG53),0),MAX((2-AmEur)*IF(CallPut=1,UndTree!BG53-Strike,Strike-UndTree!BG53),(UpProb*BH53+DownProb*BH54)*StepDiscount)))</f>
        <v>3.09809061414438E-14</v>
      </c>
      <c r="BH53" s="17">
        <f>IF(BH$3="","",IF(BH$3=Steps,MAX(IF(CallPut=1,UndTree!BH53-Strike,Strike-UndTree!BH53),0),MAX((2-AmEur)*IF(CallPut=1,UndTree!BH53-Strike,Strike-UndTree!BH53),(UpProb*BI53+DownProb*BI54)*StepDiscount)))</f>
        <v>6.1830544036183008E-14</v>
      </c>
      <c r="BI53" s="17">
        <f>IF(BI$3="","",IF(BI$3=Steps,MAX(IF(CallPut=1,UndTree!BI53-Strike,Strike-UndTree!BI53),0),MAX((2-AmEur)*IF(CallPut=1,UndTree!BI53-Strike,Strike-UndTree!BI53),(UpProb*BJ53+DownProb*BJ54)*StepDiscount)))</f>
        <v>1.2339910777161671E-13</v>
      </c>
      <c r="BJ53" s="17">
        <f>IF(BJ$3="","",IF(BJ$3=Steps,MAX(IF(CallPut=1,UndTree!BJ53-Strike,Strike-UndTree!BJ53),0),MAX((2-AmEur)*IF(CallPut=1,UndTree!BJ53-Strike,Strike-UndTree!BJ53),(UpProb*BK53+DownProb*BK54)*StepDiscount)))</f>
        <v>2.4627536497042774E-13</v>
      </c>
      <c r="BK53" s="17">
        <f>IF(BK$3="","",IF(BK$3=Steps,MAX(IF(CallPut=1,UndTree!BK53-Strike,Strike-UndTree!BK53),0),MAX((2-AmEur)*IF(CallPut=1,UndTree!BK53-Strike,Strike-UndTree!BK53),(UpProb*BL53+DownProb*BL54)*StepDiscount)))</f>
        <v>4.9150724414936165E-13</v>
      </c>
      <c r="BL53" s="17">
        <f>IF(BL$3="","",IF(BL$3=Steps,MAX(IF(CallPut=1,UndTree!BL53-Strike,Strike-UndTree!BL53),0),MAX((2-AmEur)*IF(CallPut=1,UndTree!BL53-Strike,Strike-UndTree!BL53),(UpProb*BM53+DownProb*BM54)*StepDiscount)))</f>
        <v>9.8093193803736129E-13</v>
      </c>
      <c r="BM53" s="17">
        <f>IF(BM$3="","",IF(BM$3=Steps,MAX(IF(CallPut=1,UndTree!BM53-Strike,Strike-UndTree!BM53),0),MAX((2-AmEur)*IF(CallPut=1,UndTree!BM53-Strike,Strike-UndTree!BM53),(UpProb*BN53+DownProb*BN54)*StepDiscount)))</f>
        <v>1.9577075994618039E-12</v>
      </c>
      <c r="BN53" s="17">
        <f>IF(BN$3="","",IF(BN$3=Steps,MAX(IF(CallPut=1,UndTree!BN53-Strike,Strike-UndTree!BN53),0),MAX((2-AmEur)*IF(CallPut=1,UndTree!BN53-Strike,Strike-UndTree!BN53),(UpProb*BO53+DownProb*BO54)*StepDiscount)))</f>
        <v>3.9071202561298641E-12</v>
      </c>
      <c r="BO53" s="17">
        <f>IF(BO$3="","",IF(BO$3=Steps,MAX(IF(CallPut=1,UndTree!BO53-Strike,Strike-UndTree!BO53),0),MAX((2-AmEur)*IF(CallPut=1,UndTree!BO53-Strike,Strike-UndTree!BO53),(UpProb*BP53+DownProb*BP54)*StepDiscount)))</f>
        <v>7.7976857729198064E-12</v>
      </c>
      <c r="BP53" s="17">
        <f>IF(BP$3="","",IF(BP$3=Steps,MAX(IF(CallPut=1,UndTree!BP53-Strike,Strike-UndTree!BP53),0),MAX((2-AmEur)*IF(CallPut=1,UndTree!BP53-Strike,Strike-UndTree!BP53),(UpProb*BQ53+DownProb*BQ54)*StepDiscount)))</f>
        <v>1.5562332210737814E-11</v>
      </c>
      <c r="BQ53" s="17">
        <f>IF(BQ$3="","",IF(BQ$3=Steps,MAX(IF(CallPut=1,UndTree!BQ53-Strike,Strike-UndTree!BQ53),0),MAX((2-AmEur)*IF(CallPut=1,UndTree!BQ53-Strike,Strike-UndTree!BQ53),(UpProb*BR53+DownProb*BR54)*StepDiscount)))</f>
        <v>3.1058725741224916E-11</v>
      </c>
      <c r="BR53" s="17">
        <f>IF(BR$3="","",IF(BR$3=Steps,MAX(IF(CallPut=1,UndTree!BR53-Strike,Strike-UndTree!BR53),0),MAX((2-AmEur)*IF(CallPut=1,UndTree!BR53-Strike,Strike-UndTree!BR53),(UpProb*BS53+DownProb*BS54)*StepDiscount)))</f>
        <v>6.1985853508707043E-11</v>
      </c>
      <c r="BS53" s="17">
        <f>IF(BS$3="","",IF(BS$3=Steps,MAX(IF(CallPut=1,UndTree!BS53-Strike,Strike-UndTree!BS53),0),MAX((2-AmEur)*IF(CallPut=1,UndTree!BS53-Strike,Strike-UndTree!BS53),(UpProb*BT53+DownProb*BT54)*StepDiscount)))</f>
        <v>1.2370906865966471E-10</v>
      </c>
      <c r="BT53" s="17">
        <f>IF(BT$3="","",IF(BT$3=Steps,MAX(IF(CallPut=1,UndTree!BT53-Strike,Strike-UndTree!BT53),0),MAX((2-AmEur)*IF(CallPut=1,UndTree!BT53-Strike,Strike-UndTree!BT53),(UpProb*BU53+DownProb*BU54)*StepDiscount)))</f>
        <v>2.4689397342075674E-10</v>
      </c>
      <c r="BU53" s="17">
        <f>IF(BU$3="","",IF(BU$3=Steps,MAX(IF(CallPut=1,UndTree!BU53-Strike,Strike-UndTree!BU53),0),MAX((2-AmEur)*IF(CallPut=1,UndTree!BU53-Strike,Strike-UndTree!BU53),(UpProb*BV53+DownProb*BV54)*StepDiscount)))</f>
        <v>4.9274183996313786E-10</v>
      </c>
      <c r="BV53" s="17">
        <f>IF(BV$3="","",IF(BV$3=Steps,MAX(IF(CallPut=1,UndTree!BV53-Strike,Strike-UndTree!BV53),0),MAX((2-AmEur)*IF(CallPut=1,UndTree!BV53-Strike,Strike-UndTree!BV53),(UpProb*BW53+DownProb*BW54)*StepDiscount)))</f>
        <v>9.8339589859687718E-10</v>
      </c>
      <c r="BW53" s="17">
        <f>IF(BW$3="","",IF(BW$3=Steps,MAX(IF(CallPut=1,UndTree!BW53-Strike,Strike-UndTree!BW53),0),MAX((2-AmEur)*IF(CallPut=1,UndTree!BW53-Strike,Strike-UndTree!BW53),(UpProb*BX53+DownProb*BX54)*StepDiscount)))</f>
        <v>1.9626250806091605E-9</v>
      </c>
      <c r="BX53" s="17">
        <f>IF(BX$3="","",IF(BX$3=Steps,MAX(IF(CallPut=1,UndTree!BX53-Strike,Strike-UndTree!BX53),0),MAX((2-AmEur)*IF(CallPut=1,UndTree!BX53-Strike,Strike-UndTree!BX53),(UpProb*BY53+DownProb*BY54)*StepDiscount)))</f>
        <v>3.9169343827161101E-9</v>
      </c>
      <c r="BY53" s="17">
        <f>IF(BY$3="","",IF(BY$3=Steps,MAX(IF(CallPut=1,UndTree!BY53-Strike,Strike-UndTree!BY53),0),MAX((2-AmEur)*IF(CallPut=1,UndTree!BY53-Strike,Strike-UndTree!BY53),(UpProb*BZ53+DownProb*BZ54)*StepDiscount)))</f>
        <v>7.817272442957705E-9</v>
      </c>
      <c r="BZ53" s="17">
        <f>IF(BZ$3="","",IF(BZ$3=Steps,MAX(IF(CallPut=1,UndTree!BZ53-Strike,Strike-UndTree!BZ53),0),MAX((2-AmEur)*IF(CallPut=1,UndTree!BZ53-Strike,Strike-UndTree!BZ53),(UpProb*CA53+DownProb*CA54)*StepDiscount)))</f>
        <v>1.5601422560735044E-8</v>
      </c>
      <c r="CA53" s="17">
        <f>IF(CA$3="","",IF(CA$3=Steps,MAX(IF(CallPut=1,UndTree!CA53-Strike,Strike-UndTree!CA53),0),MAX((2-AmEur)*IF(CallPut=1,UndTree!CA53-Strike,Strike-UndTree!CA53),(UpProb*CB53+DownProb*CB54)*StepDiscount)))</f>
        <v>3.1136740812696964E-8</v>
      </c>
      <c r="CB53" s="17">
        <f>IF(CB$3="","",IF(CB$3=Steps,MAX(IF(CallPut=1,UndTree!CB53-Strike,Strike-UndTree!CB53),0),MAX((2-AmEur)*IF(CallPut=1,UndTree!CB53-Strike,Strike-UndTree!CB53),(UpProb*CC53+DownProb*CC54)*StepDiscount)))</f>
        <v>6.2141553096385846E-8</v>
      </c>
      <c r="CC53" s="17">
        <f>IF(CC$3="","",IF(CC$3=Steps,MAX(IF(CallPut=1,UndTree!CC53-Strike,Strike-UndTree!CC53),0),MAX((2-AmEur)*IF(CallPut=1,UndTree!CC53-Strike,Strike-UndTree!CC53),(UpProb*CD53+DownProb*CD54)*StepDiscount)))</f>
        <v>1.2401980812507729E-7</v>
      </c>
      <c r="CD53" s="17">
        <f>IF(CD$3="","",IF(CD$3=Steps,MAX(IF(CallPut=1,UndTree!CD53-Strike,Strike-UndTree!CD53),0),MAX((2-AmEur)*IF(CallPut=1,UndTree!CD53-Strike,Strike-UndTree!CD53),(UpProb*CE53+DownProb*CE54)*StepDiscount)))</f>
        <v>2.4751413572692864E-7</v>
      </c>
      <c r="CE53" s="17">
        <f>IF(CE$3="","",IF(CE$3=Steps,MAX(IF(CallPut=1,UndTree!CE53-Strike,Strike-UndTree!CE53),0),MAX((2-AmEur)*IF(CallPut=1,UndTree!CE53-Strike,Strike-UndTree!CE53),(UpProb*CF53+DownProb*CF54)*StepDiscount)))</f>
        <v>4.9397953690480498E-7</v>
      </c>
      <c r="CF53" s="17">
        <f>IF(CF$3="","",IF(CF$3=Steps,MAX(IF(CallPut=1,UndTree!CF53-Strike,Strike-UndTree!CF53),0),MAX((2-AmEur)*IF(CallPut=1,UndTree!CF53-Strike,Strike-UndTree!CF53),(UpProb*CG53+DownProb*CG54)*StepDiscount)))</f>
        <v>9.858660482724808E-7</v>
      </c>
      <c r="CG53" s="17">
        <f>IF(CG$3="","",IF(CG$3=Steps,MAX(IF(CallPut=1,UndTree!CG53-Strike,Strike-UndTree!CG53),0),MAX((2-AmEur)*IF(CallPut=1,UndTree!CG53-Strike,Strike-UndTree!CG53),(UpProb*CH53+DownProb*CH54)*StepDiscount)))</f>
        <v>1.9675549137649782E-6</v>
      </c>
      <c r="CH53" s="17">
        <f>IF(CH$3="","",IF(CH$3=Steps,MAX(IF(CallPut=1,UndTree!CH53-Strike,Strike-UndTree!CH53),0),MAX((2-AmEur)*IF(CallPut=1,UndTree!CH53-Strike,Strike-UndTree!CH53),(UpProb*CI53+DownProb*CI54)*StepDiscount)))</f>
        <v>3.9267731609829617E-6</v>
      </c>
      <c r="CI53" s="17">
        <f>IF(CI$3="","",IF(CI$3=Steps,MAX(IF(CallPut=1,UndTree!CI53-Strike,Strike-UndTree!CI53),0),MAX((2-AmEur)*IF(CallPut=1,UndTree!CI53-Strike,Strike-UndTree!CI53),(UpProb*CJ53+DownProb*CJ54)*StepDiscount)))</f>
        <v>7.8369083119059353E-6</v>
      </c>
      <c r="CJ53" s="17">
        <f>IF(CJ$3="","",IF(CJ$3=Steps,MAX(IF(CallPut=1,UndTree!CJ53-Strike,Strike-UndTree!CJ53),0),MAX((2-AmEur)*IF(CallPut=1,UndTree!CJ53-Strike,Strike-UndTree!CJ53),(UpProb*CK53+DownProb*CK54)*StepDiscount)))</f>
        <v>1.5640611100093749E-5</v>
      </c>
      <c r="CK53" s="17">
        <f>IF(CK$3="","",IF(CK$3=Steps,MAX(IF(CallPut=1,UndTree!CK53-Strike,Strike-UndTree!CK53),0),MAX((2-AmEur)*IF(CallPut=1,UndTree!CK53-Strike,Strike-UndTree!CK53),(UpProb*CL53+DownProb*CL54)*StepDiscount)))</f>
        <v>3.121495184685683E-5</v>
      </c>
      <c r="CL53" s="17">
        <f>IF(CL$3="","",IF(CL$3=Steps,MAX(IF(CallPut=1,UndTree!CL53-Strike,Strike-UndTree!CL53),0),MAX((2-AmEur)*IF(CallPut=1,UndTree!CL53-Strike,Strike-UndTree!CL53),(UpProb*CM53+DownProb*CM54)*StepDiscount)))</f>
        <v>6.229764377913279E-5</v>
      </c>
      <c r="CM53" s="17">
        <f>IF(CM$3="","",IF(CM$3=Steps,MAX(IF(CallPut=1,UndTree!CM53-Strike,Strike-UndTree!CM53),0),MAX((2-AmEur)*IF(CallPut=1,UndTree!CM53-Strike,Strike-UndTree!CM53),(UpProb*CN53+DownProb*CN54)*StepDiscount)))</f>
        <v>1.2433132812352926E-4</v>
      </c>
      <c r="CN53" s="17">
        <f>IF(CN$3="","",IF(CN$3=Steps,MAX(IF(CallPut=1,UndTree!CN53-Strike,Strike-UndTree!CN53),0),MAX((2-AmEur)*IF(CallPut=1,UndTree!CN53-Strike,Strike-UndTree!CN53),(UpProb*CO53+DownProb*CO54)*StepDiscount)))</f>
        <v>2.4813585579200673E-4</v>
      </c>
      <c r="CO53" s="17">
        <f>IF(CO$3="","",IF(CO$3=Steps,MAX(IF(CallPut=1,UndTree!CO53-Strike,Strike-UndTree!CO53),0),MAX((2-AmEur)*IF(CallPut=1,UndTree!CO53-Strike,Strike-UndTree!CO53),(UpProb*CP53+DownProb*CP54)*StepDiscount)))</f>
        <v>4.9522034276395209E-4</v>
      </c>
      <c r="CP53" s="17">
        <f>IF(CP$3="","",IF(CP$3=Steps,MAX(IF(CallPut=1,UndTree!CP53-Strike,Strike-UndTree!CP53),0),MAX((2-AmEur)*IF(CallPut=1,UndTree!CP53-Strike,Strike-UndTree!CP53),(UpProb*CQ53+DownProb*CQ54)*StepDiscount)))</f>
        <v>9.8834240261034558E-4</v>
      </c>
      <c r="CQ53" s="17">
        <f>IF(CQ$3="","",IF(CQ$3=Steps,MAX(IF(CallPut=1,UndTree!CQ53-Strike,Strike-UndTree!CQ53),0),MAX((2-AmEur)*IF(CallPut=1,UndTree!CQ53-Strike,Strike-UndTree!CQ53),(UpProb*CR53+DownProb*CR54)*StepDiscount)))</f>
        <v>1.9724971299557347E-3</v>
      </c>
      <c r="CR53" s="17">
        <f>IF(CR$3="","",IF(CR$3=Steps,MAX(IF(CallPut=1,UndTree!CR53-Strike,Strike-UndTree!CR53),0),MAX((2-AmEur)*IF(CallPut=1,UndTree!CR53-Strike,Strike-UndTree!CR53),(UpProb*CS53+DownProb*CS54)*StepDiscount)))</f>
        <v>3.9366366528519143E-3</v>
      </c>
      <c r="CS53" s="17">
        <f>IF(CS$3="","",IF(CS$3=Steps,MAX(IF(CallPut=1,UndTree!CS53-Strike,Strike-UndTree!CS53),0),MAX((2-AmEur)*IF(CallPut=1,UndTree!CS53-Strike,Strike-UndTree!CS53),(UpProb*CT53+DownProb*CT54)*StepDiscount)))</f>
        <v>7.856593503345121E-3</v>
      </c>
      <c r="CT53" s="17">
        <f>IF(CT$3="","",IF(CT$3=Steps,MAX(IF(CallPut=1,UndTree!CT53-Strike,Strike-UndTree!CT53),0),MAX((2-AmEur)*IF(CallPut=1,UndTree!CT53-Strike,Strike-UndTree!CT53),(UpProb*CU53+DownProb*CU54)*StepDiscount)))</f>
        <v>1.5679898075451552E-2</v>
      </c>
      <c r="CU53" s="17">
        <f>IF(CU$3="","",IF(CU$3=Steps,MAX(IF(CallPut=1,UndTree!CU53-Strike,Strike-UndTree!CU53),0),MAX((2-AmEur)*IF(CallPut=1,UndTree!CU53-Strike,Strike-UndTree!CU53),(UpProb*CV53+DownProb*CV54)*StepDiscount)))</f>
        <v>3.1293359335934738E-2</v>
      </c>
      <c r="CV53" s="17">
        <f>IF(CV$3="","",IF(CV$3=Steps,MAX(IF(CallPut=1,UndTree!CV53-Strike,Strike-UndTree!CV53),0),MAX((2-AmEur)*IF(CallPut=1,UndTree!CV53-Strike,Strike-UndTree!CV53),(UpProb*CW53+DownProb*CW54)*StepDiscount)))</f>
        <v>6.245412653932271E-2</v>
      </c>
      <c r="CW53" s="17">
        <f>IF(CW$3="","",IF(CW$3=Steps,MAX(IF(CallPut=1,UndTree!CW53-Strike,Strike-UndTree!CW53),0),MAX((2-AmEur)*IF(CallPut=1,UndTree!CW53-Strike,Strike-UndTree!CW53),(UpProb*CX53+DownProb*CX54)*StepDiscount)))</f>
        <v>0.12464363061560788</v>
      </c>
      <c r="CX53" s="17">
        <f>IF(CX$3="","",IF(CX$3=Steps,MAX(IF(CallPut=1,UndTree!CX53-Strike,Strike-UndTree!CX53),0),MAX((2-AmEur)*IF(CallPut=1,UndTree!CX53-Strike,Strike-UndTree!CX53),(UpProb*CY53+DownProb*CY54)*StepDiscount)))</f>
        <v>0.24875913752885834</v>
      </c>
      <c r="CY53" s="17">
        <f>IF(CY$3="","",IF(CY$3=Steps,MAX(IF(CallPut=1,UndTree!CY53-Strike,Strike-UndTree!CY53),0),MAX((2-AmEur)*IF(CallPut=1,UndTree!CY53-Strike,Strike-UndTree!CY53),(UpProb*CZ53+DownProb*CZ54)*StepDiscount)))</f>
        <v>0.4964642653497347</v>
      </c>
      <c r="CZ53" s="17">
        <f>IF(CZ$3="","",IF(CZ$3=Steps,MAX(IF(CallPut=1,UndTree!CZ53-Strike,Strike-UndTree!CZ53),0),MAX((2-AmEur)*IF(CallPut=1,UndTree!CZ53-Strike,Strike-UndTree!CZ53),(UpProb*DA53+DownProb*DA54)*StepDiscount)))</f>
        <v>0.99082497719569473</v>
      </c>
      <c r="DA53" s="17">
        <f>IF(DA$3="","",IF(DA$3=Steps,MAX(IF(CallPut=1,UndTree!DA53-Strike,Strike-UndTree!DA53),0),MAX((2-AmEur)*IF(CallPut=1,UndTree!DA53-Strike,Strike-UndTree!DA53),(UpProb*DB53+DownProb*DB54)*StepDiscount)))</f>
        <v>1.9774517602858397</v>
      </c>
      <c r="DB53" s="17">
        <f>IF(DB$3="","",IF(DB$3=Steps,MAX(IF(CallPut=1,UndTree!DB53-Strike,Strike-UndTree!DB53),0),MAX((2-AmEur)*IF(CallPut=1,UndTree!DB53-Strike,Strike-UndTree!DB53),(UpProb*DC53+DownProb*DC54)*StepDiscount)))</f>
        <v>3.9465249203999946</v>
      </c>
    </row>
    <row r="54" spans="1:106" x14ac:dyDescent="0.2">
      <c r="A54">
        <f>ExDivTree!A54</f>
        <v>1.9980442743337221E+29</v>
      </c>
      <c r="B54" s="71">
        <f>ExDivTree!B54</f>
        <v>7.8808950746127981E-2</v>
      </c>
      <c r="C54" s="71">
        <f>ExDivTree!C54</f>
        <v>7.8990081789659244E-2</v>
      </c>
      <c r="D54" s="177">
        <f>ExDivTree!D54</f>
        <v>50</v>
      </c>
      <c r="BC54" s="17">
        <f>IF(BC$3="","",IF(BC$3=Steps,MAX(IF(CallPut=1,UndTree!BC54-Strike,Strike-UndTree!BC54),0),MAX((2-AmEur)*IF(CallPut=1,UndTree!BC54-Strike,Strike-UndTree!BC54),(UpProb*BD54+DownProb*BD55)*StepDiscount)))</f>
        <v>0</v>
      </c>
      <c r="BD54" s="17">
        <f>IF(BD$3="","",IF(BD$3=Steps,MAX(IF(CallPut=1,UndTree!BD54-Strike,Strike-UndTree!BD54),0),MAX((2-AmEur)*IF(CallPut=1,UndTree!BD54-Strike,Strike-UndTree!BD54),(UpProb*BE54+DownProb*BE55)*StepDiscount)))</f>
        <v>0</v>
      </c>
      <c r="BE54" s="17">
        <f>IF(BE$3="","",IF(BE$3=Steps,MAX(IF(CallPut=1,UndTree!BE54-Strike,Strike-UndTree!BE54),0),MAX((2-AmEur)*IF(CallPut=1,UndTree!BE54-Strike,Strike-UndTree!BE54),(UpProb*BF54+DownProb*BF55)*StepDiscount)))</f>
        <v>0</v>
      </c>
      <c r="BF54" s="17">
        <f>IF(BF$3="","",IF(BF$3=Steps,MAX(IF(CallPut=1,UndTree!BF54-Strike,Strike-UndTree!BF54),0),MAX((2-AmEur)*IF(CallPut=1,UndTree!BF54-Strike,Strike-UndTree!BF54),(UpProb*BG54+DownProb*BG55)*StepDiscount)))</f>
        <v>0</v>
      </c>
      <c r="BG54" s="17">
        <f>IF(BG$3="","",IF(BG$3=Steps,MAX(IF(CallPut=1,UndTree!BG54-Strike,Strike-UndTree!BG54),0),MAX((2-AmEur)*IF(CallPut=1,UndTree!BG54-Strike,Strike-UndTree!BG54),(UpProb*BH54+DownProb*BH55)*StepDiscount)))</f>
        <v>0</v>
      </c>
      <c r="BH54" s="17">
        <f>IF(BH$3="","",IF(BH$3=Steps,MAX(IF(CallPut=1,UndTree!BH54-Strike,Strike-UndTree!BH54),0),MAX((2-AmEur)*IF(CallPut=1,UndTree!BH54-Strike,Strike-UndTree!BH54),(UpProb*BI54+DownProb*BI55)*StepDiscount)))</f>
        <v>0</v>
      </c>
      <c r="BI54" s="17">
        <f>IF(BI$3="","",IF(BI$3=Steps,MAX(IF(CallPut=1,UndTree!BI54-Strike,Strike-UndTree!BI54),0),MAX((2-AmEur)*IF(CallPut=1,UndTree!BI54-Strike,Strike-UndTree!BI54),(UpProb*BJ54+DownProb*BJ55)*StepDiscount)))</f>
        <v>0</v>
      </c>
      <c r="BJ54" s="17">
        <f>IF(BJ$3="","",IF(BJ$3=Steps,MAX(IF(CallPut=1,UndTree!BJ54-Strike,Strike-UndTree!BJ54),0),MAX((2-AmEur)*IF(CallPut=1,UndTree!BJ54-Strike,Strike-UndTree!BJ54),(UpProb*BK54+DownProb*BK55)*StepDiscount)))</f>
        <v>0</v>
      </c>
      <c r="BK54" s="17">
        <f>IF(BK$3="","",IF(BK$3=Steps,MAX(IF(CallPut=1,UndTree!BK54-Strike,Strike-UndTree!BK54),0),MAX((2-AmEur)*IF(CallPut=1,UndTree!BK54-Strike,Strike-UndTree!BK54),(UpProb*BL54+DownProb*BL55)*StepDiscount)))</f>
        <v>0</v>
      </c>
      <c r="BL54" s="17">
        <f>IF(BL$3="","",IF(BL$3=Steps,MAX(IF(CallPut=1,UndTree!BL54-Strike,Strike-UndTree!BL54),0),MAX((2-AmEur)*IF(CallPut=1,UndTree!BL54-Strike,Strike-UndTree!BL54),(UpProb*BM54+DownProb*BM55)*StepDiscount)))</f>
        <v>0</v>
      </c>
      <c r="BM54" s="17">
        <f>IF(BM$3="","",IF(BM$3=Steps,MAX(IF(CallPut=1,UndTree!BM54-Strike,Strike-UndTree!BM54),0),MAX((2-AmEur)*IF(CallPut=1,UndTree!BM54-Strike,Strike-UndTree!BM54),(UpProb*BN54+DownProb*BN55)*StepDiscount)))</f>
        <v>0</v>
      </c>
      <c r="BN54" s="17">
        <f>IF(BN$3="","",IF(BN$3=Steps,MAX(IF(CallPut=1,UndTree!BN54-Strike,Strike-UndTree!BN54),0),MAX((2-AmEur)*IF(CallPut=1,UndTree!BN54-Strike,Strike-UndTree!BN54),(UpProb*BO54+DownProb*BO55)*StepDiscount)))</f>
        <v>0</v>
      </c>
      <c r="BO54" s="17">
        <f>IF(BO$3="","",IF(BO$3=Steps,MAX(IF(CallPut=1,UndTree!BO54-Strike,Strike-UndTree!BO54),0),MAX((2-AmEur)*IF(CallPut=1,UndTree!BO54-Strike,Strike-UndTree!BO54),(UpProb*BP54+DownProb*BP55)*StepDiscount)))</f>
        <v>0</v>
      </c>
      <c r="BP54" s="17">
        <f>IF(BP$3="","",IF(BP$3=Steps,MAX(IF(CallPut=1,UndTree!BP54-Strike,Strike-UndTree!BP54),0),MAX((2-AmEur)*IF(CallPut=1,UndTree!BP54-Strike,Strike-UndTree!BP54),(UpProb*BQ54+DownProb*BQ55)*StepDiscount)))</f>
        <v>0</v>
      </c>
      <c r="BQ54" s="17">
        <f>IF(BQ$3="","",IF(BQ$3=Steps,MAX(IF(CallPut=1,UndTree!BQ54-Strike,Strike-UndTree!BQ54),0),MAX((2-AmEur)*IF(CallPut=1,UndTree!BQ54-Strike,Strike-UndTree!BQ54),(UpProb*BR54+DownProb*BR55)*StepDiscount)))</f>
        <v>0</v>
      </c>
      <c r="BR54" s="17">
        <f>IF(BR$3="","",IF(BR$3=Steps,MAX(IF(CallPut=1,UndTree!BR54-Strike,Strike-UndTree!BR54),0),MAX((2-AmEur)*IF(CallPut=1,UndTree!BR54-Strike,Strike-UndTree!BR54),(UpProb*BS54+DownProb*BS55)*StepDiscount)))</f>
        <v>0</v>
      </c>
      <c r="BS54" s="17">
        <f>IF(BS$3="","",IF(BS$3=Steps,MAX(IF(CallPut=1,UndTree!BS54-Strike,Strike-UndTree!BS54),0),MAX((2-AmEur)*IF(CallPut=1,UndTree!BS54-Strike,Strike-UndTree!BS54),(UpProb*BT54+DownProb*BT55)*StepDiscount)))</f>
        <v>0</v>
      </c>
      <c r="BT54" s="17">
        <f>IF(BT$3="","",IF(BT$3=Steps,MAX(IF(CallPut=1,UndTree!BT54-Strike,Strike-UndTree!BT54),0),MAX((2-AmEur)*IF(CallPut=1,UndTree!BT54-Strike,Strike-UndTree!BT54),(UpProb*BU54+DownProb*BU55)*StepDiscount)))</f>
        <v>0</v>
      </c>
      <c r="BU54" s="17">
        <f>IF(BU$3="","",IF(BU$3=Steps,MAX(IF(CallPut=1,UndTree!BU54-Strike,Strike-UndTree!BU54),0),MAX((2-AmEur)*IF(CallPut=1,UndTree!BU54-Strike,Strike-UndTree!BU54),(UpProb*BV54+DownProb*BV55)*StepDiscount)))</f>
        <v>0</v>
      </c>
      <c r="BV54" s="17">
        <f>IF(BV$3="","",IF(BV$3=Steps,MAX(IF(CallPut=1,UndTree!BV54-Strike,Strike-UndTree!BV54),0),MAX((2-AmEur)*IF(CallPut=1,UndTree!BV54-Strike,Strike-UndTree!BV54),(UpProb*BW54+DownProb*BW55)*StepDiscount)))</f>
        <v>0</v>
      </c>
      <c r="BW54" s="17">
        <f>IF(BW$3="","",IF(BW$3=Steps,MAX(IF(CallPut=1,UndTree!BW54-Strike,Strike-UndTree!BW54),0),MAX((2-AmEur)*IF(CallPut=1,UndTree!BW54-Strike,Strike-UndTree!BW54),(UpProb*BX54+DownProb*BX55)*StepDiscount)))</f>
        <v>0</v>
      </c>
      <c r="BX54" s="17">
        <f>IF(BX$3="","",IF(BX$3=Steps,MAX(IF(CallPut=1,UndTree!BX54-Strike,Strike-UndTree!BX54),0),MAX((2-AmEur)*IF(CallPut=1,UndTree!BX54-Strike,Strike-UndTree!BX54),(UpProb*BY54+DownProb*BY55)*StepDiscount)))</f>
        <v>0</v>
      </c>
      <c r="BY54" s="17">
        <f>IF(BY$3="","",IF(BY$3=Steps,MAX(IF(CallPut=1,UndTree!BY54-Strike,Strike-UndTree!BY54),0),MAX((2-AmEur)*IF(CallPut=1,UndTree!BY54-Strike,Strike-UndTree!BY54),(UpProb*BZ54+DownProb*BZ55)*StepDiscount)))</f>
        <v>0</v>
      </c>
      <c r="BZ54" s="17">
        <f>IF(BZ$3="","",IF(BZ$3=Steps,MAX(IF(CallPut=1,UndTree!BZ54-Strike,Strike-UndTree!BZ54),0),MAX((2-AmEur)*IF(CallPut=1,UndTree!BZ54-Strike,Strike-UndTree!BZ54),(UpProb*CA54+DownProb*CA55)*StepDiscount)))</f>
        <v>0</v>
      </c>
      <c r="CA54" s="17">
        <f>IF(CA$3="","",IF(CA$3=Steps,MAX(IF(CallPut=1,UndTree!CA54-Strike,Strike-UndTree!CA54),0),MAX((2-AmEur)*IF(CallPut=1,UndTree!CA54-Strike,Strike-UndTree!CA54),(UpProb*CB54+DownProb*CB55)*StepDiscount)))</f>
        <v>0</v>
      </c>
      <c r="CB54" s="17">
        <f>IF(CB$3="","",IF(CB$3=Steps,MAX(IF(CallPut=1,UndTree!CB54-Strike,Strike-UndTree!CB54),0),MAX((2-AmEur)*IF(CallPut=1,UndTree!CB54-Strike,Strike-UndTree!CB54),(UpProb*CC54+DownProb*CC55)*StepDiscount)))</f>
        <v>0</v>
      </c>
      <c r="CC54" s="17">
        <f>IF(CC$3="","",IF(CC$3=Steps,MAX(IF(CallPut=1,UndTree!CC54-Strike,Strike-UndTree!CC54),0),MAX((2-AmEur)*IF(CallPut=1,UndTree!CC54-Strike,Strike-UndTree!CC54),(UpProb*CD54+DownProb*CD55)*StepDiscount)))</f>
        <v>0</v>
      </c>
      <c r="CD54" s="17">
        <f>IF(CD$3="","",IF(CD$3=Steps,MAX(IF(CallPut=1,UndTree!CD54-Strike,Strike-UndTree!CD54),0),MAX((2-AmEur)*IF(CallPut=1,UndTree!CD54-Strike,Strike-UndTree!CD54),(UpProb*CE54+DownProb*CE55)*StepDiscount)))</f>
        <v>0</v>
      </c>
      <c r="CE54" s="17">
        <f>IF(CE$3="","",IF(CE$3=Steps,MAX(IF(CallPut=1,UndTree!CE54-Strike,Strike-UndTree!CE54),0),MAX((2-AmEur)*IF(CallPut=1,UndTree!CE54-Strike,Strike-UndTree!CE54),(UpProb*CF54+DownProb*CF55)*StepDiscount)))</f>
        <v>0</v>
      </c>
      <c r="CF54" s="17">
        <f>IF(CF$3="","",IF(CF$3=Steps,MAX(IF(CallPut=1,UndTree!CF54-Strike,Strike-UndTree!CF54),0),MAX((2-AmEur)*IF(CallPut=1,UndTree!CF54-Strike,Strike-UndTree!CF54),(UpProb*CG54+DownProb*CG55)*StepDiscount)))</f>
        <v>0</v>
      </c>
      <c r="CG54" s="17">
        <f>IF(CG$3="","",IF(CG$3=Steps,MAX(IF(CallPut=1,UndTree!CG54-Strike,Strike-UndTree!CG54),0),MAX((2-AmEur)*IF(CallPut=1,UndTree!CG54-Strike,Strike-UndTree!CG54),(UpProb*CH54+DownProb*CH55)*StepDiscount)))</f>
        <v>0</v>
      </c>
      <c r="CH54" s="17">
        <f>IF(CH$3="","",IF(CH$3=Steps,MAX(IF(CallPut=1,UndTree!CH54-Strike,Strike-UndTree!CH54),0),MAX((2-AmEur)*IF(CallPut=1,UndTree!CH54-Strike,Strike-UndTree!CH54),(UpProb*CI54+DownProb*CI55)*StepDiscount)))</f>
        <v>0</v>
      </c>
      <c r="CI54" s="17">
        <f>IF(CI$3="","",IF(CI$3=Steps,MAX(IF(CallPut=1,UndTree!CI54-Strike,Strike-UndTree!CI54),0),MAX((2-AmEur)*IF(CallPut=1,UndTree!CI54-Strike,Strike-UndTree!CI54),(UpProb*CJ54+DownProb*CJ55)*StepDiscount)))</f>
        <v>0</v>
      </c>
      <c r="CJ54" s="17">
        <f>IF(CJ$3="","",IF(CJ$3=Steps,MAX(IF(CallPut=1,UndTree!CJ54-Strike,Strike-UndTree!CJ54),0),MAX((2-AmEur)*IF(CallPut=1,UndTree!CJ54-Strike,Strike-UndTree!CJ54),(UpProb*CK54+DownProb*CK55)*StepDiscount)))</f>
        <v>0</v>
      </c>
      <c r="CK54" s="17">
        <f>IF(CK$3="","",IF(CK$3=Steps,MAX(IF(CallPut=1,UndTree!CK54-Strike,Strike-UndTree!CK54),0),MAX((2-AmEur)*IF(CallPut=1,UndTree!CK54-Strike,Strike-UndTree!CK54),(UpProb*CL54+DownProb*CL55)*StepDiscount)))</f>
        <v>0</v>
      </c>
      <c r="CL54" s="17">
        <f>IF(CL$3="","",IF(CL$3=Steps,MAX(IF(CallPut=1,UndTree!CL54-Strike,Strike-UndTree!CL54),0),MAX((2-AmEur)*IF(CallPut=1,UndTree!CL54-Strike,Strike-UndTree!CL54),(UpProb*CM54+DownProb*CM55)*StepDiscount)))</f>
        <v>0</v>
      </c>
      <c r="CM54" s="17">
        <f>IF(CM$3="","",IF(CM$3=Steps,MAX(IF(CallPut=1,UndTree!CM54-Strike,Strike-UndTree!CM54),0),MAX((2-AmEur)*IF(CallPut=1,UndTree!CM54-Strike,Strike-UndTree!CM54),(UpProb*CN54+DownProb*CN55)*StepDiscount)))</f>
        <v>0</v>
      </c>
      <c r="CN54" s="17">
        <f>IF(CN$3="","",IF(CN$3=Steps,MAX(IF(CallPut=1,UndTree!CN54-Strike,Strike-UndTree!CN54),0),MAX((2-AmEur)*IF(CallPut=1,UndTree!CN54-Strike,Strike-UndTree!CN54),(UpProb*CO54+DownProb*CO55)*StepDiscount)))</f>
        <v>0</v>
      </c>
      <c r="CO54" s="17">
        <f>IF(CO$3="","",IF(CO$3=Steps,MAX(IF(CallPut=1,UndTree!CO54-Strike,Strike-UndTree!CO54),0),MAX((2-AmEur)*IF(CallPut=1,UndTree!CO54-Strike,Strike-UndTree!CO54),(UpProb*CP54+DownProb*CP55)*StepDiscount)))</f>
        <v>0</v>
      </c>
      <c r="CP54" s="17">
        <f>IF(CP$3="","",IF(CP$3=Steps,MAX(IF(CallPut=1,UndTree!CP54-Strike,Strike-UndTree!CP54),0),MAX((2-AmEur)*IF(CallPut=1,UndTree!CP54-Strike,Strike-UndTree!CP54),(UpProb*CQ54+DownProb*CQ55)*StepDiscount)))</f>
        <v>0</v>
      </c>
      <c r="CQ54" s="17">
        <f>IF(CQ$3="","",IF(CQ$3=Steps,MAX(IF(CallPut=1,UndTree!CQ54-Strike,Strike-UndTree!CQ54),0),MAX((2-AmEur)*IF(CallPut=1,UndTree!CQ54-Strike,Strike-UndTree!CQ54),(UpProb*CR54+DownProb*CR55)*StepDiscount)))</f>
        <v>0</v>
      </c>
      <c r="CR54" s="17">
        <f>IF(CR$3="","",IF(CR$3=Steps,MAX(IF(CallPut=1,UndTree!CR54-Strike,Strike-UndTree!CR54),0),MAX((2-AmEur)*IF(CallPut=1,UndTree!CR54-Strike,Strike-UndTree!CR54),(UpProb*CS54+DownProb*CS55)*StepDiscount)))</f>
        <v>0</v>
      </c>
      <c r="CS54" s="17">
        <f>IF(CS$3="","",IF(CS$3=Steps,MAX(IF(CallPut=1,UndTree!CS54-Strike,Strike-UndTree!CS54),0),MAX((2-AmEur)*IF(CallPut=1,UndTree!CS54-Strike,Strike-UndTree!CS54),(UpProb*CT54+DownProb*CT55)*StepDiscount)))</f>
        <v>0</v>
      </c>
      <c r="CT54" s="17">
        <f>IF(CT$3="","",IF(CT$3=Steps,MAX(IF(CallPut=1,UndTree!CT54-Strike,Strike-UndTree!CT54),0),MAX((2-AmEur)*IF(CallPut=1,UndTree!CT54-Strike,Strike-UndTree!CT54),(UpProb*CU54+DownProb*CU55)*StepDiscount)))</f>
        <v>0</v>
      </c>
      <c r="CU54" s="17">
        <f>IF(CU$3="","",IF(CU$3=Steps,MAX(IF(CallPut=1,UndTree!CU54-Strike,Strike-UndTree!CU54),0),MAX((2-AmEur)*IF(CallPut=1,UndTree!CU54-Strike,Strike-UndTree!CU54),(UpProb*CV54+DownProb*CV55)*StepDiscount)))</f>
        <v>0</v>
      </c>
      <c r="CV54" s="17">
        <f>IF(CV$3="","",IF(CV$3=Steps,MAX(IF(CallPut=1,UndTree!CV54-Strike,Strike-UndTree!CV54),0),MAX((2-AmEur)*IF(CallPut=1,UndTree!CV54-Strike,Strike-UndTree!CV54),(UpProb*CW54+DownProb*CW55)*StepDiscount)))</f>
        <v>0</v>
      </c>
      <c r="CW54" s="17">
        <f>IF(CW$3="","",IF(CW$3=Steps,MAX(IF(CallPut=1,UndTree!CW54-Strike,Strike-UndTree!CW54),0),MAX((2-AmEur)*IF(CallPut=1,UndTree!CW54-Strike,Strike-UndTree!CW54),(UpProb*CX54+DownProb*CX55)*StepDiscount)))</f>
        <v>0</v>
      </c>
      <c r="CX54" s="17">
        <f>IF(CX$3="","",IF(CX$3=Steps,MAX(IF(CallPut=1,UndTree!CX54-Strike,Strike-UndTree!CX54),0),MAX((2-AmEur)*IF(CallPut=1,UndTree!CX54-Strike,Strike-UndTree!CX54),(UpProb*CY54+DownProb*CY55)*StepDiscount)))</f>
        <v>0</v>
      </c>
      <c r="CY54" s="17">
        <f>IF(CY$3="","",IF(CY$3=Steps,MAX(IF(CallPut=1,UndTree!CY54-Strike,Strike-UndTree!CY54),0),MAX((2-AmEur)*IF(CallPut=1,UndTree!CY54-Strike,Strike-UndTree!CY54),(UpProb*CZ54+DownProb*CZ55)*StepDiscount)))</f>
        <v>0</v>
      </c>
      <c r="CZ54" s="17">
        <f>IF(CZ$3="","",IF(CZ$3=Steps,MAX(IF(CallPut=1,UndTree!CZ54-Strike,Strike-UndTree!CZ54),0),MAX((2-AmEur)*IF(CallPut=1,UndTree!CZ54-Strike,Strike-UndTree!CZ54),(UpProb*DA54+DownProb*DA55)*StepDiscount)))</f>
        <v>0</v>
      </c>
      <c r="DA54" s="17">
        <f>IF(DA$3="","",IF(DA$3=Steps,MAX(IF(CallPut=1,UndTree!DA54-Strike,Strike-UndTree!DA54),0),MAX((2-AmEur)*IF(CallPut=1,UndTree!DA54-Strike,Strike-UndTree!DA54),(UpProb*DB54+DownProb*DB55)*StepDiscount)))</f>
        <v>0</v>
      </c>
      <c r="DB54" s="17">
        <f>IF(DB$3="","",IF(DB$3=Steps,MAX(IF(CallPut=1,UndTree!DB54-Strike,Strike-UndTree!DB54),0),MAX((2-AmEur)*IF(CallPut=1,UndTree!DB54-Strike,Strike-UndTree!DB54),(UpProb*DC54+DownProb*DC55)*StepDiscount)))</f>
        <v>0</v>
      </c>
    </row>
    <row r="55" spans="1:106" x14ac:dyDescent="0.2">
      <c r="A55">
        <f>ExDivTree!A55</f>
        <v>1.9980442743337221E+29</v>
      </c>
      <c r="B55" s="71">
        <f>ExDivTree!B55</f>
        <v>7.8808950746127981E-2</v>
      </c>
      <c r="C55" s="71">
        <f>ExDivTree!C55</f>
        <v>7.8572465660599763E-2</v>
      </c>
      <c r="D55" s="177">
        <f>ExDivTree!D55</f>
        <v>51</v>
      </c>
      <c r="BD55" s="17">
        <f>IF(BD$3="","",IF(BD$3=Steps,MAX(IF(CallPut=1,UndTree!BD55-Strike,Strike-UndTree!BD55),0),MAX((2-AmEur)*IF(CallPut=1,UndTree!BD55-Strike,Strike-UndTree!BD55),(UpProb*BE55+DownProb*BE56)*StepDiscount)))</f>
        <v>0</v>
      </c>
      <c r="BE55" s="17">
        <f>IF(BE$3="","",IF(BE$3=Steps,MAX(IF(CallPut=1,UndTree!BE55-Strike,Strike-UndTree!BE55),0),MAX((2-AmEur)*IF(CallPut=1,UndTree!BE55-Strike,Strike-UndTree!BE55),(UpProb*BF55+DownProb*BF56)*StepDiscount)))</f>
        <v>0</v>
      </c>
      <c r="BF55" s="17">
        <f>IF(BF$3="","",IF(BF$3=Steps,MAX(IF(CallPut=1,UndTree!BF55-Strike,Strike-UndTree!BF55),0),MAX((2-AmEur)*IF(CallPut=1,UndTree!BF55-Strike,Strike-UndTree!BF55),(UpProb*BG55+DownProb*BG56)*StepDiscount)))</f>
        <v>0</v>
      </c>
      <c r="BG55" s="17">
        <f>IF(BG$3="","",IF(BG$3=Steps,MAX(IF(CallPut=1,UndTree!BG55-Strike,Strike-UndTree!BG55),0),MAX((2-AmEur)*IF(CallPut=1,UndTree!BG55-Strike,Strike-UndTree!BG55),(UpProb*BH55+DownProb*BH56)*StepDiscount)))</f>
        <v>0</v>
      </c>
      <c r="BH55" s="17">
        <f>IF(BH$3="","",IF(BH$3=Steps,MAX(IF(CallPut=1,UndTree!BH55-Strike,Strike-UndTree!BH55),0),MAX((2-AmEur)*IF(CallPut=1,UndTree!BH55-Strike,Strike-UndTree!BH55),(UpProb*BI55+DownProb*BI56)*StepDiscount)))</f>
        <v>0</v>
      </c>
      <c r="BI55" s="17">
        <f>IF(BI$3="","",IF(BI$3=Steps,MAX(IF(CallPut=1,UndTree!BI55-Strike,Strike-UndTree!BI55),0),MAX((2-AmEur)*IF(CallPut=1,UndTree!BI55-Strike,Strike-UndTree!BI55),(UpProb*BJ55+DownProb*BJ56)*StepDiscount)))</f>
        <v>0</v>
      </c>
      <c r="BJ55" s="17">
        <f>IF(BJ$3="","",IF(BJ$3=Steps,MAX(IF(CallPut=1,UndTree!BJ55-Strike,Strike-UndTree!BJ55),0),MAX((2-AmEur)*IF(CallPut=1,UndTree!BJ55-Strike,Strike-UndTree!BJ55),(UpProb*BK55+DownProb*BK56)*StepDiscount)))</f>
        <v>0</v>
      </c>
      <c r="BK55" s="17">
        <f>IF(BK$3="","",IF(BK$3=Steps,MAX(IF(CallPut=1,UndTree!BK55-Strike,Strike-UndTree!BK55),0),MAX((2-AmEur)*IF(CallPut=1,UndTree!BK55-Strike,Strike-UndTree!BK55),(UpProb*BL55+DownProb*BL56)*StepDiscount)))</f>
        <v>0</v>
      </c>
      <c r="BL55" s="17">
        <f>IF(BL$3="","",IF(BL$3=Steps,MAX(IF(CallPut=1,UndTree!BL55-Strike,Strike-UndTree!BL55),0),MAX((2-AmEur)*IF(CallPut=1,UndTree!BL55-Strike,Strike-UndTree!BL55),(UpProb*BM55+DownProb*BM56)*StepDiscount)))</f>
        <v>0</v>
      </c>
      <c r="BM55" s="17">
        <f>IF(BM$3="","",IF(BM$3=Steps,MAX(IF(CallPut=1,UndTree!BM55-Strike,Strike-UndTree!BM55),0),MAX((2-AmEur)*IF(CallPut=1,UndTree!BM55-Strike,Strike-UndTree!BM55),(UpProb*BN55+DownProb*BN56)*StepDiscount)))</f>
        <v>0</v>
      </c>
      <c r="BN55" s="17">
        <f>IF(BN$3="","",IF(BN$3=Steps,MAX(IF(CallPut=1,UndTree!BN55-Strike,Strike-UndTree!BN55),0),MAX((2-AmEur)*IF(CallPut=1,UndTree!BN55-Strike,Strike-UndTree!BN55),(UpProb*BO55+DownProb*BO56)*StepDiscount)))</f>
        <v>0</v>
      </c>
      <c r="BO55" s="17">
        <f>IF(BO$3="","",IF(BO$3=Steps,MAX(IF(CallPut=1,UndTree!BO55-Strike,Strike-UndTree!BO55),0),MAX((2-AmEur)*IF(CallPut=1,UndTree!BO55-Strike,Strike-UndTree!BO55),(UpProb*BP55+DownProb*BP56)*StepDiscount)))</f>
        <v>0</v>
      </c>
      <c r="BP55" s="17">
        <f>IF(BP$3="","",IF(BP$3=Steps,MAX(IF(CallPut=1,UndTree!BP55-Strike,Strike-UndTree!BP55),0),MAX((2-AmEur)*IF(CallPut=1,UndTree!BP55-Strike,Strike-UndTree!BP55),(UpProb*BQ55+DownProb*BQ56)*StepDiscount)))</f>
        <v>0</v>
      </c>
      <c r="BQ55" s="17">
        <f>IF(BQ$3="","",IF(BQ$3=Steps,MAX(IF(CallPut=1,UndTree!BQ55-Strike,Strike-UndTree!BQ55),0),MAX((2-AmEur)*IF(CallPut=1,UndTree!BQ55-Strike,Strike-UndTree!BQ55),(UpProb*BR55+DownProb*BR56)*StepDiscount)))</f>
        <v>0</v>
      </c>
      <c r="BR55" s="17">
        <f>IF(BR$3="","",IF(BR$3=Steps,MAX(IF(CallPut=1,UndTree!BR55-Strike,Strike-UndTree!BR55),0),MAX((2-AmEur)*IF(CallPut=1,UndTree!BR55-Strike,Strike-UndTree!BR55),(UpProb*BS55+DownProb*BS56)*StepDiscount)))</f>
        <v>0</v>
      </c>
      <c r="BS55" s="17">
        <f>IF(BS$3="","",IF(BS$3=Steps,MAX(IF(CallPut=1,UndTree!BS55-Strike,Strike-UndTree!BS55),0),MAX((2-AmEur)*IF(CallPut=1,UndTree!BS55-Strike,Strike-UndTree!BS55),(UpProb*BT55+DownProb*BT56)*StepDiscount)))</f>
        <v>0</v>
      </c>
      <c r="BT55" s="17">
        <f>IF(BT$3="","",IF(BT$3=Steps,MAX(IF(CallPut=1,UndTree!BT55-Strike,Strike-UndTree!BT55),0),MAX((2-AmEur)*IF(CallPut=1,UndTree!BT55-Strike,Strike-UndTree!BT55),(UpProb*BU55+DownProb*BU56)*StepDiscount)))</f>
        <v>0</v>
      </c>
      <c r="BU55" s="17">
        <f>IF(BU$3="","",IF(BU$3=Steps,MAX(IF(CallPut=1,UndTree!BU55-Strike,Strike-UndTree!BU55),0),MAX((2-AmEur)*IF(CallPut=1,UndTree!BU55-Strike,Strike-UndTree!BU55),(UpProb*BV55+DownProb*BV56)*StepDiscount)))</f>
        <v>0</v>
      </c>
      <c r="BV55" s="17">
        <f>IF(BV$3="","",IF(BV$3=Steps,MAX(IF(CallPut=1,UndTree!BV55-Strike,Strike-UndTree!BV55),0),MAX((2-AmEur)*IF(CallPut=1,UndTree!BV55-Strike,Strike-UndTree!BV55),(UpProb*BW55+DownProb*BW56)*StepDiscount)))</f>
        <v>0</v>
      </c>
      <c r="BW55" s="17">
        <f>IF(BW$3="","",IF(BW$3=Steps,MAX(IF(CallPut=1,UndTree!BW55-Strike,Strike-UndTree!BW55),0),MAX((2-AmEur)*IF(CallPut=1,UndTree!BW55-Strike,Strike-UndTree!BW55),(UpProb*BX55+DownProb*BX56)*StepDiscount)))</f>
        <v>0</v>
      </c>
      <c r="BX55" s="17">
        <f>IF(BX$3="","",IF(BX$3=Steps,MAX(IF(CallPut=1,UndTree!BX55-Strike,Strike-UndTree!BX55),0),MAX((2-AmEur)*IF(CallPut=1,UndTree!BX55-Strike,Strike-UndTree!BX55),(UpProb*BY55+DownProb*BY56)*StepDiscount)))</f>
        <v>0</v>
      </c>
      <c r="BY55" s="17">
        <f>IF(BY$3="","",IF(BY$3=Steps,MAX(IF(CallPut=1,UndTree!BY55-Strike,Strike-UndTree!BY55),0),MAX((2-AmEur)*IF(CallPut=1,UndTree!BY55-Strike,Strike-UndTree!BY55),(UpProb*BZ55+DownProb*BZ56)*StepDiscount)))</f>
        <v>0</v>
      </c>
      <c r="BZ55" s="17">
        <f>IF(BZ$3="","",IF(BZ$3=Steps,MAX(IF(CallPut=1,UndTree!BZ55-Strike,Strike-UndTree!BZ55),0),MAX((2-AmEur)*IF(CallPut=1,UndTree!BZ55-Strike,Strike-UndTree!BZ55),(UpProb*CA55+DownProb*CA56)*StepDiscount)))</f>
        <v>0</v>
      </c>
      <c r="CA55" s="17">
        <f>IF(CA$3="","",IF(CA$3=Steps,MAX(IF(CallPut=1,UndTree!CA55-Strike,Strike-UndTree!CA55),0),MAX((2-AmEur)*IF(CallPut=1,UndTree!CA55-Strike,Strike-UndTree!CA55),(UpProb*CB55+DownProb*CB56)*StepDiscount)))</f>
        <v>0</v>
      </c>
      <c r="CB55" s="17">
        <f>IF(CB$3="","",IF(CB$3=Steps,MAX(IF(CallPut=1,UndTree!CB55-Strike,Strike-UndTree!CB55),0),MAX((2-AmEur)*IF(CallPut=1,UndTree!CB55-Strike,Strike-UndTree!CB55),(UpProb*CC55+DownProb*CC56)*StepDiscount)))</f>
        <v>0</v>
      </c>
      <c r="CC55" s="17">
        <f>IF(CC$3="","",IF(CC$3=Steps,MAX(IF(CallPut=1,UndTree!CC55-Strike,Strike-UndTree!CC55),0),MAX((2-AmEur)*IF(CallPut=1,UndTree!CC55-Strike,Strike-UndTree!CC55),(UpProb*CD55+DownProb*CD56)*StepDiscount)))</f>
        <v>0</v>
      </c>
      <c r="CD55" s="17">
        <f>IF(CD$3="","",IF(CD$3=Steps,MAX(IF(CallPut=1,UndTree!CD55-Strike,Strike-UndTree!CD55),0),MAX((2-AmEur)*IF(CallPut=1,UndTree!CD55-Strike,Strike-UndTree!CD55),(UpProb*CE55+DownProb*CE56)*StepDiscount)))</f>
        <v>0</v>
      </c>
      <c r="CE55" s="17">
        <f>IF(CE$3="","",IF(CE$3=Steps,MAX(IF(CallPut=1,UndTree!CE55-Strike,Strike-UndTree!CE55),0),MAX((2-AmEur)*IF(CallPut=1,UndTree!CE55-Strike,Strike-UndTree!CE55),(UpProb*CF55+DownProb*CF56)*StepDiscount)))</f>
        <v>0</v>
      </c>
      <c r="CF55" s="17">
        <f>IF(CF$3="","",IF(CF$3=Steps,MAX(IF(CallPut=1,UndTree!CF55-Strike,Strike-UndTree!CF55),0),MAX((2-AmEur)*IF(CallPut=1,UndTree!CF55-Strike,Strike-UndTree!CF55),(UpProb*CG55+DownProb*CG56)*StepDiscount)))</f>
        <v>0</v>
      </c>
      <c r="CG55" s="17">
        <f>IF(CG$3="","",IF(CG$3=Steps,MAX(IF(CallPut=1,UndTree!CG55-Strike,Strike-UndTree!CG55),0),MAX((2-AmEur)*IF(CallPut=1,UndTree!CG55-Strike,Strike-UndTree!CG55),(UpProb*CH55+DownProb*CH56)*StepDiscount)))</f>
        <v>0</v>
      </c>
      <c r="CH55" s="17">
        <f>IF(CH$3="","",IF(CH$3=Steps,MAX(IF(CallPut=1,UndTree!CH55-Strike,Strike-UndTree!CH55),0),MAX((2-AmEur)*IF(CallPut=1,UndTree!CH55-Strike,Strike-UndTree!CH55),(UpProb*CI55+DownProb*CI56)*StepDiscount)))</f>
        <v>0</v>
      </c>
      <c r="CI55" s="17">
        <f>IF(CI$3="","",IF(CI$3=Steps,MAX(IF(CallPut=1,UndTree!CI55-Strike,Strike-UndTree!CI55),0),MAX((2-AmEur)*IF(CallPut=1,UndTree!CI55-Strike,Strike-UndTree!CI55),(UpProb*CJ55+DownProb*CJ56)*StepDiscount)))</f>
        <v>0</v>
      </c>
      <c r="CJ55" s="17">
        <f>IF(CJ$3="","",IF(CJ$3=Steps,MAX(IF(CallPut=1,UndTree!CJ55-Strike,Strike-UndTree!CJ55),0),MAX((2-AmEur)*IF(CallPut=1,UndTree!CJ55-Strike,Strike-UndTree!CJ55),(UpProb*CK55+DownProb*CK56)*StepDiscount)))</f>
        <v>0</v>
      </c>
      <c r="CK55" s="17">
        <f>IF(CK$3="","",IF(CK$3=Steps,MAX(IF(CallPut=1,UndTree!CK55-Strike,Strike-UndTree!CK55),0),MAX((2-AmEur)*IF(CallPut=1,UndTree!CK55-Strike,Strike-UndTree!CK55),(UpProb*CL55+DownProb*CL56)*StepDiscount)))</f>
        <v>0</v>
      </c>
      <c r="CL55" s="17">
        <f>IF(CL$3="","",IF(CL$3=Steps,MAX(IF(CallPut=1,UndTree!CL55-Strike,Strike-UndTree!CL55),0),MAX((2-AmEur)*IF(CallPut=1,UndTree!CL55-Strike,Strike-UndTree!CL55),(UpProb*CM55+DownProb*CM56)*StepDiscount)))</f>
        <v>0</v>
      </c>
      <c r="CM55" s="17">
        <f>IF(CM$3="","",IF(CM$3=Steps,MAX(IF(CallPut=1,UndTree!CM55-Strike,Strike-UndTree!CM55),0),MAX((2-AmEur)*IF(CallPut=1,UndTree!CM55-Strike,Strike-UndTree!CM55),(UpProb*CN55+DownProb*CN56)*StepDiscount)))</f>
        <v>0</v>
      </c>
      <c r="CN55" s="17">
        <f>IF(CN$3="","",IF(CN$3=Steps,MAX(IF(CallPut=1,UndTree!CN55-Strike,Strike-UndTree!CN55),0),MAX((2-AmEur)*IF(CallPut=1,UndTree!CN55-Strike,Strike-UndTree!CN55),(UpProb*CO55+DownProb*CO56)*StepDiscount)))</f>
        <v>0</v>
      </c>
      <c r="CO55" s="17">
        <f>IF(CO$3="","",IF(CO$3=Steps,MAX(IF(CallPut=1,UndTree!CO55-Strike,Strike-UndTree!CO55),0),MAX((2-AmEur)*IF(CallPut=1,UndTree!CO55-Strike,Strike-UndTree!CO55),(UpProb*CP55+DownProb*CP56)*StepDiscount)))</f>
        <v>0</v>
      </c>
      <c r="CP55" s="17">
        <f>IF(CP$3="","",IF(CP$3=Steps,MAX(IF(CallPut=1,UndTree!CP55-Strike,Strike-UndTree!CP55),0),MAX((2-AmEur)*IF(CallPut=1,UndTree!CP55-Strike,Strike-UndTree!CP55),(UpProb*CQ55+DownProb*CQ56)*StepDiscount)))</f>
        <v>0</v>
      </c>
      <c r="CQ55" s="17">
        <f>IF(CQ$3="","",IF(CQ$3=Steps,MAX(IF(CallPut=1,UndTree!CQ55-Strike,Strike-UndTree!CQ55),0),MAX((2-AmEur)*IF(CallPut=1,UndTree!CQ55-Strike,Strike-UndTree!CQ55),(UpProb*CR55+DownProb*CR56)*StepDiscount)))</f>
        <v>0</v>
      </c>
      <c r="CR55" s="17">
        <f>IF(CR$3="","",IF(CR$3=Steps,MAX(IF(CallPut=1,UndTree!CR55-Strike,Strike-UndTree!CR55),0),MAX((2-AmEur)*IF(CallPut=1,UndTree!CR55-Strike,Strike-UndTree!CR55),(UpProb*CS55+DownProb*CS56)*StepDiscount)))</f>
        <v>0</v>
      </c>
      <c r="CS55" s="17">
        <f>IF(CS$3="","",IF(CS$3=Steps,MAX(IF(CallPut=1,UndTree!CS55-Strike,Strike-UndTree!CS55),0),MAX((2-AmEur)*IF(CallPut=1,UndTree!CS55-Strike,Strike-UndTree!CS55),(UpProb*CT55+DownProb*CT56)*StepDiscount)))</f>
        <v>0</v>
      </c>
      <c r="CT55" s="17">
        <f>IF(CT$3="","",IF(CT$3=Steps,MAX(IF(CallPut=1,UndTree!CT55-Strike,Strike-UndTree!CT55),0),MAX((2-AmEur)*IF(CallPut=1,UndTree!CT55-Strike,Strike-UndTree!CT55),(UpProb*CU55+DownProb*CU56)*StepDiscount)))</f>
        <v>0</v>
      </c>
      <c r="CU55" s="17">
        <f>IF(CU$3="","",IF(CU$3=Steps,MAX(IF(CallPut=1,UndTree!CU55-Strike,Strike-UndTree!CU55),0),MAX((2-AmEur)*IF(CallPut=1,UndTree!CU55-Strike,Strike-UndTree!CU55),(UpProb*CV55+DownProb*CV56)*StepDiscount)))</f>
        <v>0</v>
      </c>
      <c r="CV55" s="17">
        <f>IF(CV$3="","",IF(CV$3=Steps,MAX(IF(CallPut=1,UndTree!CV55-Strike,Strike-UndTree!CV55),0),MAX((2-AmEur)*IF(CallPut=1,UndTree!CV55-Strike,Strike-UndTree!CV55),(UpProb*CW55+DownProb*CW56)*StepDiscount)))</f>
        <v>0</v>
      </c>
      <c r="CW55" s="17">
        <f>IF(CW$3="","",IF(CW$3=Steps,MAX(IF(CallPut=1,UndTree!CW55-Strike,Strike-UndTree!CW55),0),MAX((2-AmEur)*IF(CallPut=1,UndTree!CW55-Strike,Strike-UndTree!CW55),(UpProb*CX55+DownProb*CX56)*StepDiscount)))</f>
        <v>0</v>
      </c>
      <c r="CX55" s="17">
        <f>IF(CX$3="","",IF(CX$3=Steps,MAX(IF(CallPut=1,UndTree!CX55-Strike,Strike-UndTree!CX55),0),MAX((2-AmEur)*IF(CallPut=1,UndTree!CX55-Strike,Strike-UndTree!CX55),(UpProb*CY55+DownProb*CY56)*StepDiscount)))</f>
        <v>0</v>
      </c>
      <c r="CY55" s="17">
        <f>IF(CY$3="","",IF(CY$3=Steps,MAX(IF(CallPut=1,UndTree!CY55-Strike,Strike-UndTree!CY55),0),MAX((2-AmEur)*IF(CallPut=1,UndTree!CY55-Strike,Strike-UndTree!CY55),(UpProb*CZ55+DownProb*CZ56)*StepDiscount)))</f>
        <v>0</v>
      </c>
      <c r="CZ55" s="17">
        <f>IF(CZ$3="","",IF(CZ$3=Steps,MAX(IF(CallPut=1,UndTree!CZ55-Strike,Strike-UndTree!CZ55),0),MAX((2-AmEur)*IF(CallPut=1,UndTree!CZ55-Strike,Strike-UndTree!CZ55),(UpProb*DA55+DownProb*DA56)*StepDiscount)))</f>
        <v>0</v>
      </c>
      <c r="DA55" s="17">
        <f>IF(DA$3="","",IF(DA$3=Steps,MAX(IF(CallPut=1,UndTree!DA55-Strike,Strike-UndTree!DA55),0),MAX((2-AmEur)*IF(CallPut=1,UndTree!DA55-Strike,Strike-UndTree!DA55),(UpProb*DB55+DownProb*DB56)*StepDiscount)))</f>
        <v>0</v>
      </c>
      <c r="DB55" s="17">
        <f>IF(DB$3="","",IF(DB$3=Steps,MAX(IF(CallPut=1,UndTree!DB55-Strike,Strike-UndTree!DB55),0),MAX((2-AmEur)*IF(CallPut=1,UndTree!DB55-Strike,Strike-UndTree!DB55),(UpProb*DC55+DownProb*DC56)*StepDiscount)))</f>
        <v>0</v>
      </c>
    </row>
    <row r="56" spans="1:106" x14ac:dyDescent="0.2">
      <c r="A56">
        <f>ExDivTree!A56</f>
        <v>1.9211964176285804E+29</v>
      </c>
      <c r="B56" s="71">
        <f>ExDivTree!B56</f>
        <v>7.577783725589235E-2</v>
      </c>
      <c r="C56" s="71">
        <f>ExDivTree!C56</f>
        <v>7.5151016773630508E-2</v>
      </c>
      <c r="D56" s="177">
        <f>ExDivTree!D56</f>
        <v>52</v>
      </c>
      <c r="BE56" s="17">
        <f>IF(BE$3="","",IF(BE$3=Steps,MAX(IF(CallPut=1,UndTree!BE56-Strike,Strike-UndTree!BE56),0),MAX((2-AmEur)*IF(CallPut=1,UndTree!BE56-Strike,Strike-UndTree!BE56),(UpProb*BF56+DownProb*BF57)*StepDiscount)))</f>
        <v>0</v>
      </c>
      <c r="BF56" s="17">
        <f>IF(BF$3="","",IF(BF$3=Steps,MAX(IF(CallPut=1,UndTree!BF56-Strike,Strike-UndTree!BF56),0),MAX((2-AmEur)*IF(CallPut=1,UndTree!BF56-Strike,Strike-UndTree!BF56),(UpProb*BG56+DownProb*BG57)*StepDiscount)))</f>
        <v>0</v>
      </c>
      <c r="BG56" s="17">
        <f>IF(BG$3="","",IF(BG$3=Steps,MAX(IF(CallPut=1,UndTree!BG56-Strike,Strike-UndTree!BG56),0),MAX((2-AmEur)*IF(CallPut=1,UndTree!BG56-Strike,Strike-UndTree!BG56),(UpProb*BH56+DownProb*BH57)*StepDiscount)))</f>
        <v>0</v>
      </c>
      <c r="BH56" s="17">
        <f>IF(BH$3="","",IF(BH$3=Steps,MAX(IF(CallPut=1,UndTree!BH56-Strike,Strike-UndTree!BH56),0),MAX((2-AmEur)*IF(CallPut=1,UndTree!BH56-Strike,Strike-UndTree!BH56),(UpProb*BI56+DownProb*BI57)*StepDiscount)))</f>
        <v>0</v>
      </c>
      <c r="BI56" s="17">
        <f>IF(BI$3="","",IF(BI$3=Steps,MAX(IF(CallPut=1,UndTree!BI56-Strike,Strike-UndTree!BI56),0),MAX((2-AmEur)*IF(CallPut=1,UndTree!BI56-Strike,Strike-UndTree!BI56),(UpProb*BJ56+DownProb*BJ57)*StepDiscount)))</f>
        <v>0</v>
      </c>
      <c r="BJ56" s="17">
        <f>IF(BJ$3="","",IF(BJ$3=Steps,MAX(IF(CallPut=1,UndTree!BJ56-Strike,Strike-UndTree!BJ56),0),MAX((2-AmEur)*IF(CallPut=1,UndTree!BJ56-Strike,Strike-UndTree!BJ56),(UpProb*BK56+DownProb*BK57)*StepDiscount)))</f>
        <v>0</v>
      </c>
      <c r="BK56" s="17">
        <f>IF(BK$3="","",IF(BK$3=Steps,MAX(IF(CallPut=1,UndTree!BK56-Strike,Strike-UndTree!BK56),0),MAX((2-AmEur)*IF(CallPut=1,UndTree!BK56-Strike,Strike-UndTree!BK56),(UpProb*BL56+DownProb*BL57)*StepDiscount)))</f>
        <v>0</v>
      </c>
      <c r="BL56" s="17">
        <f>IF(BL$3="","",IF(BL$3=Steps,MAX(IF(CallPut=1,UndTree!BL56-Strike,Strike-UndTree!BL56),0),MAX((2-AmEur)*IF(CallPut=1,UndTree!BL56-Strike,Strike-UndTree!BL56),(UpProb*BM56+DownProb*BM57)*StepDiscount)))</f>
        <v>0</v>
      </c>
      <c r="BM56" s="17">
        <f>IF(BM$3="","",IF(BM$3=Steps,MAX(IF(CallPut=1,UndTree!BM56-Strike,Strike-UndTree!BM56),0),MAX((2-AmEur)*IF(CallPut=1,UndTree!BM56-Strike,Strike-UndTree!BM56),(UpProb*BN56+DownProb*BN57)*StepDiscount)))</f>
        <v>0</v>
      </c>
      <c r="BN56" s="17">
        <f>IF(BN$3="","",IF(BN$3=Steps,MAX(IF(CallPut=1,UndTree!BN56-Strike,Strike-UndTree!BN56),0),MAX((2-AmEur)*IF(CallPut=1,UndTree!BN56-Strike,Strike-UndTree!BN56),(UpProb*BO56+DownProb*BO57)*StepDiscount)))</f>
        <v>0</v>
      </c>
      <c r="BO56" s="17">
        <f>IF(BO$3="","",IF(BO$3=Steps,MAX(IF(CallPut=1,UndTree!BO56-Strike,Strike-UndTree!BO56),0),MAX((2-AmEur)*IF(CallPut=1,UndTree!BO56-Strike,Strike-UndTree!BO56),(UpProb*BP56+DownProb*BP57)*StepDiscount)))</f>
        <v>0</v>
      </c>
      <c r="BP56" s="17">
        <f>IF(BP$3="","",IF(BP$3=Steps,MAX(IF(CallPut=1,UndTree!BP56-Strike,Strike-UndTree!BP56),0),MAX((2-AmEur)*IF(CallPut=1,UndTree!BP56-Strike,Strike-UndTree!BP56),(UpProb*BQ56+DownProb*BQ57)*StepDiscount)))</f>
        <v>0</v>
      </c>
      <c r="BQ56" s="17">
        <f>IF(BQ$3="","",IF(BQ$3=Steps,MAX(IF(CallPut=1,UndTree!BQ56-Strike,Strike-UndTree!BQ56),0),MAX((2-AmEur)*IF(CallPut=1,UndTree!BQ56-Strike,Strike-UndTree!BQ56),(UpProb*BR56+DownProb*BR57)*StepDiscount)))</f>
        <v>0</v>
      </c>
      <c r="BR56" s="17">
        <f>IF(BR$3="","",IF(BR$3=Steps,MAX(IF(CallPut=1,UndTree!BR56-Strike,Strike-UndTree!BR56),0),MAX((2-AmEur)*IF(CallPut=1,UndTree!BR56-Strike,Strike-UndTree!BR56),(UpProb*BS56+DownProb*BS57)*StepDiscount)))</f>
        <v>0</v>
      </c>
      <c r="BS56" s="17">
        <f>IF(BS$3="","",IF(BS$3=Steps,MAX(IF(CallPut=1,UndTree!BS56-Strike,Strike-UndTree!BS56),0),MAX((2-AmEur)*IF(CallPut=1,UndTree!BS56-Strike,Strike-UndTree!BS56),(UpProb*BT56+DownProb*BT57)*StepDiscount)))</f>
        <v>0</v>
      </c>
      <c r="BT56" s="17">
        <f>IF(BT$3="","",IF(BT$3=Steps,MAX(IF(CallPut=1,UndTree!BT56-Strike,Strike-UndTree!BT56),0),MAX((2-AmEur)*IF(CallPut=1,UndTree!BT56-Strike,Strike-UndTree!BT56),(UpProb*BU56+DownProb*BU57)*StepDiscount)))</f>
        <v>0</v>
      </c>
      <c r="BU56" s="17">
        <f>IF(BU$3="","",IF(BU$3=Steps,MAX(IF(CallPut=1,UndTree!BU56-Strike,Strike-UndTree!BU56),0),MAX((2-AmEur)*IF(CallPut=1,UndTree!BU56-Strike,Strike-UndTree!BU56),(UpProb*BV56+DownProb*BV57)*StepDiscount)))</f>
        <v>0</v>
      </c>
      <c r="BV56" s="17">
        <f>IF(BV$3="","",IF(BV$3=Steps,MAX(IF(CallPut=1,UndTree!BV56-Strike,Strike-UndTree!BV56),0),MAX((2-AmEur)*IF(CallPut=1,UndTree!BV56-Strike,Strike-UndTree!BV56),(UpProb*BW56+DownProb*BW57)*StepDiscount)))</f>
        <v>0</v>
      </c>
      <c r="BW56" s="17">
        <f>IF(BW$3="","",IF(BW$3=Steps,MAX(IF(CallPut=1,UndTree!BW56-Strike,Strike-UndTree!BW56),0),MAX((2-AmEur)*IF(CallPut=1,UndTree!BW56-Strike,Strike-UndTree!BW56),(UpProb*BX56+DownProb*BX57)*StepDiscount)))</f>
        <v>0</v>
      </c>
      <c r="BX56" s="17">
        <f>IF(BX$3="","",IF(BX$3=Steps,MAX(IF(CallPut=1,UndTree!BX56-Strike,Strike-UndTree!BX56),0),MAX((2-AmEur)*IF(CallPut=1,UndTree!BX56-Strike,Strike-UndTree!BX56),(UpProb*BY56+DownProb*BY57)*StepDiscount)))</f>
        <v>0</v>
      </c>
      <c r="BY56" s="17">
        <f>IF(BY$3="","",IF(BY$3=Steps,MAX(IF(CallPut=1,UndTree!BY56-Strike,Strike-UndTree!BY56),0),MAX((2-AmEur)*IF(CallPut=1,UndTree!BY56-Strike,Strike-UndTree!BY56),(UpProb*BZ56+DownProb*BZ57)*StepDiscount)))</f>
        <v>0</v>
      </c>
      <c r="BZ56" s="17">
        <f>IF(BZ$3="","",IF(BZ$3=Steps,MAX(IF(CallPut=1,UndTree!BZ56-Strike,Strike-UndTree!BZ56),0),MAX((2-AmEur)*IF(CallPut=1,UndTree!BZ56-Strike,Strike-UndTree!BZ56),(UpProb*CA56+DownProb*CA57)*StepDiscount)))</f>
        <v>0</v>
      </c>
      <c r="CA56" s="17">
        <f>IF(CA$3="","",IF(CA$3=Steps,MAX(IF(CallPut=1,UndTree!CA56-Strike,Strike-UndTree!CA56),0),MAX((2-AmEur)*IF(CallPut=1,UndTree!CA56-Strike,Strike-UndTree!CA56),(UpProb*CB56+DownProb*CB57)*StepDiscount)))</f>
        <v>0</v>
      </c>
      <c r="CB56" s="17">
        <f>IF(CB$3="","",IF(CB$3=Steps,MAX(IF(CallPut=1,UndTree!CB56-Strike,Strike-UndTree!CB56),0),MAX((2-AmEur)*IF(CallPut=1,UndTree!CB56-Strike,Strike-UndTree!CB56),(UpProb*CC56+DownProb*CC57)*StepDiscount)))</f>
        <v>0</v>
      </c>
      <c r="CC56" s="17">
        <f>IF(CC$3="","",IF(CC$3=Steps,MAX(IF(CallPut=1,UndTree!CC56-Strike,Strike-UndTree!CC56),0),MAX((2-AmEur)*IF(CallPut=1,UndTree!CC56-Strike,Strike-UndTree!CC56),(UpProb*CD56+DownProb*CD57)*StepDiscount)))</f>
        <v>0</v>
      </c>
      <c r="CD56" s="17">
        <f>IF(CD$3="","",IF(CD$3=Steps,MAX(IF(CallPut=1,UndTree!CD56-Strike,Strike-UndTree!CD56),0),MAX((2-AmEur)*IF(CallPut=1,UndTree!CD56-Strike,Strike-UndTree!CD56),(UpProb*CE56+DownProb*CE57)*StepDiscount)))</f>
        <v>0</v>
      </c>
      <c r="CE56" s="17">
        <f>IF(CE$3="","",IF(CE$3=Steps,MAX(IF(CallPut=1,UndTree!CE56-Strike,Strike-UndTree!CE56),0),MAX((2-AmEur)*IF(CallPut=1,UndTree!CE56-Strike,Strike-UndTree!CE56),(UpProb*CF56+DownProb*CF57)*StepDiscount)))</f>
        <v>0</v>
      </c>
      <c r="CF56" s="17">
        <f>IF(CF$3="","",IF(CF$3=Steps,MAX(IF(CallPut=1,UndTree!CF56-Strike,Strike-UndTree!CF56),0),MAX((2-AmEur)*IF(CallPut=1,UndTree!CF56-Strike,Strike-UndTree!CF56),(UpProb*CG56+DownProb*CG57)*StepDiscount)))</f>
        <v>0</v>
      </c>
      <c r="CG56" s="17">
        <f>IF(CG$3="","",IF(CG$3=Steps,MAX(IF(CallPut=1,UndTree!CG56-Strike,Strike-UndTree!CG56),0),MAX((2-AmEur)*IF(CallPut=1,UndTree!CG56-Strike,Strike-UndTree!CG56),(UpProb*CH56+DownProb*CH57)*StepDiscount)))</f>
        <v>0</v>
      </c>
      <c r="CH56" s="17">
        <f>IF(CH$3="","",IF(CH$3=Steps,MAX(IF(CallPut=1,UndTree!CH56-Strike,Strike-UndTree!CH56),0),MAX((2-AmEur)*IF(CallPut=1,UndTree!CH56-Strike,Strike-UndTree!CH56),(UpProb*CI56+DownProb*CI57)*StepDiscount)))</f>
        <v>0</v>
      </c>
      <c r="CI56" s="17">
        <f>IF(CI$3="","",IF(CI$3=Steps,MAX(IF(CallPut=1,UndTree!CI56-Strike,Strike-UndTree!CI56),0),MAX((2-AmEur)*IF(CallPut=1,UndTree!CI56-Strike,Strike-UndTree!CI56),(UpProb*CJ56+DownProb*CJ57)*StepDiscount)))</f>
        <v>0</v>
      </c>
      <c r="CJ56" s="17">
        <f>IF(CJ$3="","",IF(CJ$3=Steps,MAX(IF(CallPut=1,UndTree!CJ56-Strike,Strike-UndTree!CJ56),0),MAX((2-AmEur)*IF(CallPut=1,UndTree!CJ56-Strike,Strike-UndTree!CJ56),(UpProb*CK56+DownProb*CK57)*StepDiscount)))</f>
        <v>0</v>
      </c>
      <c r="CK56" s="17">
        <f>IF(CK$3="","",IF(CK$3=Steps,MAX(IF(CallPut=1,UndTree!CK56-Strike,Strike-UndTree!CK56),0),MAX((2-AmEur)*IF(CallPut=1,UndTree!CK56-Strike,Strike-UndTree!CK56),(UpProb*CL56+DownProb*CL57)*StepDiscount)))</f>
        <v>0</v>
      </c>
      <c r="CL56" s="17">
        <f>IF(CL$3="","",IF(CL$3=Steps,MAX(IF(CallPut=1,UndTree!CL56-Strike,Strike-UndTree!CL56),0),MAX((2-AmEur)*IF(CallPut=1,UndTree!CL56-Strike,Strike-UndTree!CL56),(UpProb*CM56+DownProb*CM57)*StepDiscount)))</f>
        <v>0</v>
      </c>
      <c r="CM56" s="17">
        <f>IF(CM$3="","",IF(CM$3=Steps,MAX(IF(CallPut=1,UndTree!CM56-Strike,Strike-UndTree!CM56),0),MAX((2-AmEur)*IF(CallPut=1,UndTree!CM56-Strike,Strike-UndTree!CM56),(UpProb*CN56+DownProb*CN57)*StepDiscount)))</f>
        <v>0</v>
      </c>
      <c r="CN56" s="17">
        <f>IF(CN$3="","",IF(CN$3=Steps,MAX(IF(CallPut=1,UndTree!CN56-Strike,Strike-UndTree!CN56),0),MAX((2-AmEur)*IF(CallPut=1,UndTree!CN56-Strike,Strike-UndTree!CN56),(UpProb*CO56+DownProb*CO57)*StepDiscount)))</f>
        <v>0</v>
      </c>
      <c r="CO56" s="17">
        <f>IF(CO$3="","",IF(CO$3=Steps,MAX(IF(CallPut=1,UndTree!CO56-Strike,Strike-UndTree!CO56),0),MAX((2-AmEur)*IF(CallPut=1,UndTree!CO56-Strike,Strike-UndTree!CO56),(UpProb*CP56+DownProb*CP57)*StepDiscount)))</f>
        <v>0</v>
      </c>
      <c r="CP56" s="17">
        <f>IF(CP$3="","",IF(CP$3=Steps,MAX(IF(CallPut=1,UndTree!CP56-Strike,Strike-UndTree!CP56),0),MAX((2-AmEur)*IF(CallPut=1,UndTree!CP56-Strike,Strike-UndTree!CP56),(UpProb*CQ56+DownProb*CQ57)*StepDiscount)))</f>
        <v>0</v>
      </c>
      <c r="CQ56" s="17">
        <f>IF(CQ$3="","",IF(CQ$3=Steps,MAX(IF(CallPut=1,UndTree!CQ56-Strike,Strike-UndTree!CQ56),0),MAX((2-AmEur)*IF(CallPut=1,UndTree!CQ56-Strike,Strike-UndTree!CQ56),(UpProb*CR56+DownProb*CR57)*StepDiscount)))</f>
        <v>0</v>
      </c>
      <c r="CR56" s="17">
        <f>IF(CR$3="","",IF(CR$3=Steps,MAX(IF(CallPut=1,UndTree!CR56-Strike,Strike-UndTree!CR56),0),MAX((2-AmEur)*IF(CallPut=1,UndTree!CR56-Strike,Strike-UndTree!CR56),(UpProb*CS56+DownProb*CS57)*StepDiscount)))</f>
        <v>0</v>
      </c>
      <c r="CS56" s="17">
        <f>IF(CS$3="","",IF(CS$3=Steps,MAX(IF(CallPut=1,UndTree!CS56-Strike,Strike-UndTree!CS56),0),MAX((2-AmEur)*IF(CallPut=1,UndTree!CS56-Strike,Strike-UndTree!CS56),(UpProb*CT56+DownProb*CT57)*StepDiscount)))</f>
        <v>0</v>
      </c>
      <c r="CT56" s="17">
        <f>IF(CT$3="","",IF(CT$3=Steps,MAX(IF(CallPut=1,UndTree!CT56-Strike,Strike-UndTree!CT56),0),MAX((2-AmEur)*IF(CallPut=1,UndTree!CT56-Strike,Strike-UndTree!CT56),(UpProb*CU56+DownProb*CU57)*StepDiscount)))</f>
        <v>0</v>
      </c>
      <c r="CU56" s="17">
        <f>IF(CU$3="","",IF(CU$3=Steps,MAX(IF(CallPut=1,UndTree!CU56-Strike,Strike-UndTree!CU56),0),MAX((2-AmEur)*IF(CallPut=1,UndTree!CU56-Strike,Strike-UndTree!CU56),(UpProb*CV56+DownProb*CV57)*StepDiscount)))</f>
        <v>0</v>
      </c>
      <c r="CV56" s="17">
        <f>IF(CV$3="","",IF(CV$3=Steps,MAX(IF(CallPut=1,UndTree!CV56-Strike,Strike-UndTree!CV56),0),MAX((2-AmEur)*IF(CallPut=1,UndTree!CV56-Strike,Strike-UndTree!CV56),(UpProb*CW56+DownProb*CW57)*StepDiscount)))</f>
        <v>0</v>
      </c>
      <c r="CW56" s="17">
        <f>IF(CW$3="","",IF(CW$3=Steps,MAX(IF(CallPut=1,UndTree!CW56-Strike,Strike-UndTree!CW56),0),MAX((2-AmEur)*IF(CallPut=1,UndTree!CW56-Strike,Strike-UndTree!CW56),(UpProb*CX56+DownProb*CX57)*StepDiscount)))</f>
        <v>0</v>
      </c>
      <c r="CX56" s="17">
        <f>IF(CX$3="","",IF(CX$3=Steps,MAX(IF(CallPut=1,UndTree!CX56-Strike,Strike-UndTree!CX56),0),MAX((2-AmEur)*IF(CallPut=1,UndTree!CX56-Strike,Strike-UndTree!CX56),(UpProb*CY56+DownProb*CY57)*StepDiscount)))</f>
        <v>0</v>
      </c>
      <c r="CY56" s="17">
        <f>IF(CY$3="","",IF(CY$3=Steps,MAX(IF(CallPut=1,UndTree!CY56-Strike,Strike-UndTree!CY56),0),MAX((2-AmEur)*IF(CallPut=1,UndTree!CY56-Strike,Strike-UndTree!CY56),(UpProb*CZ56+DownProb*CZ57)*StepDiscount)))</f>
        <v>0</v>
      </c>
      <c r="CZ56" s="17">
        <f>IF(CZ$3="","",IF(CZ$3=Steps,MAX(IF(CallPut=1,UndTree!CZ56-Strike,Strike-UndTree!CZ56),0),MAX((2-AmEur)*IF(CallPut=1,UndTree!CZ56-Strike,Strike-UndTree!CZ56),(UpProb*DA56+DownProb*DA57)*StepDiscount)))</f>
        <v>0</v>
      </c>
      <c r="DA56" s="17">
        <f>IF(DA$3="","",IF(DA$3=Steps,MAX(IF(CallPut=1,UndTree!DA56-Strike,Strike-UndTree!DA56),0),MAX((2-AmEur)*IF(CallPut=1,UndTree!DA56-Strike,Strike-UndTree!DA56),(UpProb*DB56+DownProb*DB57)*StepDiscount)))</f>
        <v>0</v>
      </c>
      <c r="DB56" s="17">
        <f>IF(DB$3="","",IF(DB$3=Steps,MAX(IF(CallPut=1,UndTree!DB56-Strike,Strike-UndTree!DB56),0),MAX((2-AmEur)*IF(CallPut=1,UndTree!DB56-Strike,Strike-UndTree!DB56),(UpProb*DC56+DownProb*DC57)*StepDiscount)))</f>
        <v>0</v>
      </c>
    </row>
    <row r="57" spans="1:106" x14ac:dyDescent="0.2">
      <c r="A57">
        <f>ExDivTree!A57</f>
        <v>1.7762004615811383E+29</v>
      </c>
      <c r="B57" s="71">
        <f>ExDivTree!B57</f>
        <v>7.0058755198843789E-2</v>
      </c>
      <c r="C57" s="71">
        <f>ExDivTree!C57</f>
        <v>6.911190907030583E-2</v>
      </c>
      <c r="D57" s="177">
        <f>ExDivTree!D57</f>
        <v>53</v>
      </c>
      <c r="BF57" s="17">
        <f>IF(BF$3="","",IF(BF$3=Steps,MAX(IF(CallPut=1,UndTree!BF57-Strike,Strike-UndTree!BF57),0),MAX((2-AmEur)*IF(CallPut=1,UndTree!BF57-Strike,Strike-UndTree!BF57),(UpProb*BG57+DownProb*BG58)*StepDiscount)))</f>
        <v>0</v>
      </c>
      <c r="BG57" s="17">
        <f>IF(BG$3="","",IF(BG$3=Steps,MAX(IF(CallPut=1,UndTree!BG57-Strike,Strike-UndTree!BG57),0),MAX((2-AmEur)*IF(CallPut=1,UndTree!BG57-Strike,Strike-UndTree!BG57),(UpProb*BH57+DownProb*BH58)*StepDiscount)))</f>
        <v>0</v>
      </c>
      <c r="BH57" s="17">
        <f>IF(BH$3="","",IF(BH$3=Steps,MAX(IF(CallPut=1,UndTree!BH57-Strike,Strike-UndTree!BH57),0),MAX((2-AmEur)*IF(CallPut=1,UndTree!BH57-Strike,Strike-UndTree!BH57),(UpProb*BI57+DownProb*BI58)*StepDiscount)))</f>
        <v>0</v>
      </c>
      <c r="BI57" s="17">
        <f>IF(BI$3="","",IF(BI$3=Steps,MAX(IF(CallPut=1,UndTree!BI57-Strike,Strike-UndTree!BI57),0),MAX((2-AmEur)*IF(CallPut=1,UndTree!BI57-Strike,Strike-UndTree!BI57),(UpProb*BJ57+DownProb*BJ58)*StepDiscount)))</f>
        <v>0</v>
      </c>
      <c r="BJ57" s="17">
        <f>IF(BJ$3="","",IF(BJ$3=Steps,MAX(IF(CallPut=1,UndTree!BJ57-Strike,Strike-UndTree!BJ57),0),MAX((2-AmEur)*IF(CallPut=1,UndTree!BJ57-Strike,Strike-UndTree!BJ57),(UpProb*BK57+DownProb*BK58)*StepDiscount)))</f>
        <v>0</v>
      </c>
      <c r="BK57" s="17">
        <f>IF(BK$3="","",IF(BK$3=Steps,MAX(IF(CallPut=1,UndTree!BK57-Strike,Strike-UndTree!BK57),0),MAX((2-AmEur)*IF(CallPut=1,UndTree!BK57-Strike,Strike-UndTree!BK57),(UpProb*BL57+DownProb*BL58)*StepDiscount)))</f>
        <v>0</v>
      </c>
      <c r="BL57" s="17">
        <f>IF(BL$3="","",IF(BL$3=Steps,MAX(IF(CallPut=1,UndTree!BL57-Strike,Strike-UndTree!BL57),0),MAX((2-AmEur)*IF(CallPut=1,UndTree!BL57-Strike,Strike-UndTree!BL57),(UpProb*BM57+DownProb*BM58)*StepDiscount)))</f>
        <v>0</v>
      </c>
      <c r="BM57" s="17">
        <f>IF(BM$3="","",IF(BM$3=Steps,MAX(IF(CallPut=1,UndTree!BM57-Strike,Strike-UndTree!BM57),0),MAX((2-AmEur)*IF(CallPut=1,UndTree!BM57-Strike,Strike-UndTree!BM57),(UpProb*BN57+DownProb*BN58)*StepDiscount)))</f>
        <v>0</v>
      </c>
      <c r="BN57" s="17">
        <f>IF(BN$3="","",IF(BN$3=Steps,MAX(IF(CallPut=1,UndTree!BN57-Strike,Strike-UndTree!BN57),0),MAX((2-AmEur)*IF(CallPut=1,UndTree!BN57-Strike,Strike-UndTree!BN57),(UpProb*BO57+DownProb*BO58)*StepDiscount)))</f>
        <v>0</v>
      </c>
      <c r="BO57" s="17">
        <f>IF(BO$3="","",IF(BO$3=Steps,MAX(IF(CallPut=1,UndTree!BO57-Strike,Strike-UndTree!BO57),0),MAX((2-AmEur)*IF(CallPut=1,UndTree!BO57-Strike,Strike-UndTree!BO57),(UpProb*BP57+DownProb*BP58)*StepDiscount)))</f>
        <v>0</v>
      </c>
      <c r="BP57" s="17">
        <f>IF(BP$3="","",IF(BP$3=Steps,MAX(IF(CallPut=1,UndTree!BP57-Strike,Strike-UndTree!BP57),0),MAX((2-AmEur)*IF(CallPut=1,UndTree!BP57-Strike,Strike-UndTree!BP57),(UpProb*BQ57+DownProb*BQ58)*StepDiscount)))</f>
        <v>0</v>
      </c>
      <c r="BQ57" s="17">
        <f>IF(BQ$3="","",IF(BQ$3=Steps,MAX(IF(CallPut=1,UndTree!BQ57-Strike,Strike-UndTree!BQ57),0),MAX((2-AmEur)*IF(CallPut=1,UndTree!BQ57-Strike,Strike-UndTree!BQ57),(UpProb*BR57+DownProb*BR58)*StepDiscount)))</f>
        <v>0</v>
      </c>
      <c r="BR57" s="17">
        <f>IF(BR$3="","",IF(BR$3=Steps,MAX(IF(CallPut=1,UndTree!BR57-Strike,Strike-UndTree!BR57),0),MAX((2-AmEur)*IF(CallPut=1,UndTree!BR57-Strike,Strike-UndTree!BR57),(UpProb*BS57+DownProb*BS58)*StepDiscount)))</f>
        <v>0</v>
      </c>
      <c r="BS57" s="17">
        <f>IF(BS$3="","",IF(BS$3=Steps,MAX(IF(CallPut=1,UndTree!BS57-Strike,Strike-UndTree!BS57),0),MAX((2-AmEur)*IF(CallPut=1,UndTree!BS57-Strike,Strike-UndTree!BS57),(UpProb*BT57+DownProb*BT58)*StepDiscount)))</f>
        <v>0</v>
      </c>
      <c r="BT57" s="17">
        <f>IF(BT$3="","",IF(BT$3=Steps,MAX(IF(CallPut=1,UndTree!BT57-Strike,Strike-UndTree!BT57),0),MAX((2-AmEur)*IF(CallPut=1,UndTree!BT57-Strike,Strike-UndTree!BT57),(UpProb*BU57+DownProb*BU58)*StepDiscount)))</f>
        <v>0</v>
      </c>
      <c r="BU57" s="17">
        <f>IF(BU$3="","",IF(BU$3=Steps,MAX(IF(CallPut=1,UndTree!BU57-Strike,Strike-UndTree!BU57),0),MAX((2-AmEur)*IF(CallPut=1,UndTree!BU57-Strike,Strike-UndTree!BU57),(UpProb*BV57+DownProb*BV58)*StepDiscount)))</f>
        <v>0</v>
      </c>
      <c r="BV57" s="17">
        <f>IF(BV$3="","",IF(BV$3=Steps,MAX(IF(CallPut=1,UndTree!BV57-Strike,Strike-UndTree!BV57),0),MAX((2-AmEur)*IF(CallPut=1,UndTree!BV57-Strike,Strike-UndTree!BV57),(UpProb*BW57+DownProb*BW58)*StepDiscount)))</f>
        <v>0</v>
      </c>
      <c r="BW57" s="17">
        <f>IF(BW$3="","",IF(BW$3=Steps,MAX(IF(CallPut=1,UndTree!BW57-Strike,Strike-UndTree!BW57),0),MAX((2-AmEur)*IF(CallPut=1,UndTree!BW57-Strike,Strike-UndTree!BW57),(UpProb*BX57+DownProb*BX58)*StepDiscount)))</f>
        <v>0</v>
      </c>
      <c r="BX57" s="17">
        <f>IF(BX$3="","",IF(BX$3=Steps,MAX(IF(CallPut=1,UndTree!BX57-Strike,Strike-UndTree!BX57),0),MAX((2-AmEur)*IF(CallPut=1,UndTree!BX57-Strike,Strike-UndTree!BX57),(UpProb*BY57+DownProb*BY58)*StepDiscount)))</f>
        <v>0</v>
      </c>
      <c r="BY57" s="17">
        <f>IF(BY$3="","",IF(BY$3=Steps,MAX(IF(CallPut=1,UndTree!BY57-Strike,Strike-UndTree!BY57),0),MAX((2-AmEur)*IF(CallPut=1,UndTree!BY57-Strike,Strike-UndTree!BY57),(UpProb*BZ57+DownProb*BZ58)*StepDiscount)))</f>
        <v>0</v>
      </c>
      <c r="BZ57" s="17">
        <f>IF(BZ$3="","",IF(BZ$3=Steps,MAX(IF(CallPut=1,UndTree!BZ57-Strike,Strike-UndTree!BZ57),0),MAX((2-AmEur)*IF(CallPut=1,UndTree!BZ57-Strike,Strike-UndTree!BZ57),(UpProb*CA57+DownProb*CA58)*StepDiscount)))</f>
        <v>0</v>
      </c>
      <c r="CA57" s="17">
        <f>IF(CA$3="","",IF(CA$3=Steps,MAX(IF(CallPut=1,UndTree!CA57-Strike,Strike-UndTree!CA57),0),MAX((2-AmEur)*IF(CallPut=1,UndTree!CA57-Strike,Strike-UndTree!CA57),(UpProb*CB57+DownProb*CB58)*StepDiscount)))</f>
        <v>0</v>
      </c>
      <c r="CB57" s="17">
        <f>IF(CB$3="","",IF(CB$3=Steps,MAX(IF(CallPut=1,UndTree!CB57-Strike,Strike-UndTree!CB57),0),MAX((2-AmEur)*IF(CallPut=1,UndTree!CB57-Strike,Strike-UndTree!CB57),(UpProb*CC57+DownProb*CC58)*StepDiscount)))</f>
        <v>0</v>
      </c>
      <c r="CC57" s="17">
        <f>IF(CC$3="","",IF(CC$3=Steps,MAX(IF(CallPut=1,UndTree!CC57-Strike,Strike-UndTree!CC57),0),MAX((2-AmEur)*IF(CallPut=1,UndTree!CC57-Strike,Strike-UndTree!CC57),(UpProb*CD57+DownProb*CD58)*StepDiscount)))</f>
        <v>0</v>
      </c>
      <c r="CD57" s="17">
        <f>IF(CD$3="","",IF(CD$3=Steps,MAX(IF(CallPut=1,UndTree!CD57-Strike,Strike-UndTree!CD57),0),MAX((2-AmEur)*IF(CallPut=1,UndTree!CD57-Strike,Strike-UndTree!CD57),(UpProb*CE57+DownProb*CE58)*StepDiscount)))</f>
        <v>0</v>
      </c>
      <c r="CE57" s="17">
        <f>IF(CE$3="","",IF(CE$3=Steps,MAX(IF(CallPut=1,UndTree!CE57-Strike,Strike-UndTree!CE57),0),MAX((2-AmEur)*IF(CallPut=1,UndTree!CE57-Strike,Strike-UndTree!CE57),(UpProb*CF57+DownProb*CF58)*StepDiscount)))</f>
        <v>0</v>
      </c>
      <c r="CF57" s="17">
        <f>IF(CF$3="","",IF(CF$3=Steps,MAX(IF(CallPut=1,UndTree!CF57-Strike,Strike-UndTree!CF57),0),MAX((2-AmEur)*IF(CallPut=1,UndTree!CF57-Strike,Strike-UndTree!CF57),(UpProb*CG57+DownProb*CG58)*StepDiscount)))</f>
        <v>0</v>
      </c>
      <c r="CG57" s="17">
        <f>IF(CG$3="","",IF(CG$3=Steps,MAX(IF(CallPut=1,UndTree!CG57-Strike,Strike-UndTree!CG57),0),MAX((2-AmEur)*IF(CallPut=1,UndTree!CG57-Strike,Strike-UndTree!CG57),(UpProb*CH57+DownProb*CH58)*StepDiscount)))</f>
        <v>0</v>
      </c>
      <c r="CH57" s="17">
        <f>IF(CH$3="","",IF(CH$3=Steps,MAX(IF(CallPut=1,UndTree!CH57-Strike,Strike-UndTree!CH57),0),MAX((2-AmEur)*IF(CallPut=1,UndTree!CH57-Strike,Strike-UndTree!CH57),(UpProb*CI57+DownProb*CI58)*StepDiscount)))</f>
        <v>0</v>
      </c>
      <c r="CI57" s="17">
        <f>IF(CI$3="","",IF(CI$3=Steps,MAX(IF(CallPut=1,UndTree!CI57-Strike,Strike-UndTree!CI57),0),MAX((2-AmEur)*IF(CallPut=1,UndTree!CI57-Strike,Strike-UndTree!CI57),(UpProb*CJ57+DownProb*CJ58)*StepDiscount)))</f>
        <v>0</v>
      </c>
      <c r="CJ57" s="17">
        <f>IF(CJ$3="","",IF(CJ$3=Steps,MAX(IF(CallPut=1,UndTree!CJ57-Strike,Strike-UndTree!CJ57),0),MAX((2-AmEur)*IF(CallPut=1,UndTree!CJ57-Strike,Strike-UndTree!CJ57),(UpProb*CK57+DownProb*CK58)*StepDiscount)))</f>
        <v>0</v>
      </c>
      <c r="CK57" s="17">
        <f>IF(CK$3="","",IF(CK$3=Steps,MAX(IF(CallPut=1,UndTree!CK57-Strike,Strike-UndTree!CK57),0),MAX((2-AmEur)*IF(CallPut=1,UndTree!CK57-Strike,Strike-UndTree!CK57),(UpProb*CL57+DownProb*CL58)*StepDiscount)))</f>
        <v>0</v>
      </c>
      <c r="CL57" s="17">
        <f>IF(CL$3="","",IF(CL$3=Steps,MAX(IF(CallPut=1,UndTree!CL57-Strike,Strike-UndTree!CL57),0),MAX((2-AmEur)*IF(CallPut=1,UndTree!CL57-Strike,Strike-UndTree!CL57),(UpProb*CM57+DownProb*CM58)*StepDiscount)))</f>
        <v>0</v>
      </c>
      <c r="CM57" s="17">
        <f>IF(CM$3="","",IF(CM$3=Steps,MAX(IF(CallPut=1,UndTree!CM57-Strike,Strike-UndTree!CM57),0),MAX((2-AmEur)*IF(CallPut=1,UndTree!CM57-Strike,Strike-UndTree!CM57),(UpProb*CN57+DownProb*CN58)*StepDiscount)))</f>
        <v>0</v>
      </c>
      <c r="CN57" s="17">
        <f>IF(CN$3="","",IF(CN$3=Steps,MAX(IF(CallPut=1,UndTree!CN57-Strike,Strike-UndTree!CN57),0),MAX((2-AmEur)*IF(CallPut=1,UndTree!CN57-Strike,Strike-UndTree!CN57),(UpProb*CO57+DownProb*CO58)*StepDiscount)))</f>
        <v>0</v>
      </c>
      <c r="CO57" s="17">
        <f>IF(CO$3="","",IF(CO$3=Steps,MAX(IF(CallPut=1,UndTree!CO57-Strike,Strike-UndTree!CO57),0),MAX((2-AmEur)*IF(CallPut=1,UndTree!CO57-Strike,Strike-UndTree!CO57),(UpProb*CP57+DownProb*CP58)*StepDiscount)))</f>
        <v>0</v>
      </c>
      <c r="CP57" s="17">
        <f>IF(CP$3="","",IF(CP$3=Steps,MAX(IF(CallPut=1,UndTree!CP57-Strike,Strike-UndTree!CP57),0),MAX((2-AmEur)*IF(CallPut=1,UndTree!CP57-Strike,Strike-UndTree!CP57),(UpProb*CQ57+DownProb*CQ58)*StepDiscount)))</f>
        <v>0</v>
      </c>
      <c r="CQ57" s="17">
        <f>IF(CQ$3="","",IF(CQ$3=Steps,MAX(IF(CallPut=1,UndTree!CQ57-Strike,Strike-UndTree!CQ57),0),MAX((2-AmEur)*IF(CallPut=1,UndTree!CQ57-Strike,Strike-UndTree!CQ57),(UpProb*CR57+DownProb*CR58)*StepDiscount)))</f>
        <v>0</v>
      </c>
      <c r="CR57" s="17">
        <f>IF(CR$3="","",IF(CR$3=Steps,MAX(IF(CallPut=1,UndTree!CR57-Strike,Strike-UndTree!CR57),0),MAX((2-AmEur)*IF(CallPut=1,UndTree!CR57-Strike,Strike-UndTree!CR57),(UpProb*CS57+DownProb*CS58)*StepDiscount)))</f>
        <v>0</v>
      </c>
      <c r="CS57" s="17">
        <f>IF(CS$3="","",IF(CS$3=Steps,MAX(IF(CallPut=1,UndTree!CS57-Strike,Strike-UndTree!CS57),0),MAX((2-AmEur)*IF(CallPut=1,UndTree!CS57-Strike,Strike-UndTree!CS57),(UpProb*CT57+DownProb*CT58)*StepDiscount)))</f>
        <v>0</v>
      </c>
      <c r="CT57" s="17">
        <f>IF(CT$3="","",IF(CT$3=Steps,MAX(IF(CallPut=1,UndTree!CT57-Strike,Strike-UndTree!CT57),0),MAX((2-AmEur)*IF(CallPut=1,UndTree!CT57-Strike,Strike-UndTree!CT57),(UpProb*CU57+DownProb*CU58)*StepDiscount)))</f>
        <v>0</v>
      </c>
      <c r="CU57" s="17">
        <f>IF(CU$3="","",IF(CU$3=Steps,MAX(IF(CallPut=1,UndTree!CU57-Strike,Strike-UndTree!CU57),0),MAX((2-AmEur)*IF(CallPut=1,UndTree!CU57-Strike,Strike-UndTree!CU57),(UpProb*CV57+DownProb*CV58)*StepDiscount)))</f>
        <v>0</v>
      </c>
      <c r="CV57" s="17">
        <f>IF(CV$3="","",IF(CV$3=Steps,MAX(IF(CallPut=1,UndTree!CV57-Strike,Strike-UndTree!CV57),0),MAX((2-AmEur)*IF(CallPut=1,UndTree!CV57-Strike,Strike-UndTree!CV57),(UpProb*CW57+DownProb*CW58)*StepDiscount)))</f>
        <v>0</v>
      </c>
      <c r="CW57" s="17">
        <f>IF(CW$3="","",IF(CW$3=Steps,MAX(IF(CallPut=1,UndTree!CW57-Strike,Strike-UndTree!CW57),0),MAX((2-AmEur)*IF(CallPut=1,UndTree!CW57-Strike,Strike-UndTree!CW57),(UpProb*CX57+DownProb*CX58)*StepDiscount)))</f>
        <v>0</v>
      </c>
      <c r="CX57" s="17">
        <f>IF(CX$3="","",IF(CX$3=Steps,MAX(IF(CallPut=1,UndTree!CX57-Strike,Strike-UndTree!CX57),0),MAX((2-AmEur)*IF(CallPut=1,UndTree!CX57-Strike,Strike-UndTree!CX57),(UpProb*CY57+DownProb*CY58)*StepDiscount)))</f>
        <v>0</v>
      </c>
      <c r="CY57" s="17">
        <f>IF(CY$3="","",IF(CY$3=Steps,MAX(IF(CallPut=1,UndTree!CY57-Strike,Strike-UndTree!CY57),0),MAX((2-AmEur)*IF(CallPut=1,UndTree!CY57-Strike,Strike-UndTree!CY57),(UpProb*CZ57+DownProb*CZ58)*StepDiscount)))</f>
        <v>0</v>
      </c>
      <c r="CZ57" s="17">
        <f>IF(CZ$3="","",IF(CZ$3=Steps,MAX(IF(CallPut=1,UndTree!CZ57-Strike,Strike-UndTree!CZ57),0),MAX((2-AmEur)*IF(CallPut=1,UndTree!CZ57-Strike,Strike-UndTree!CZ57),(UpProb*DA57+DownProb*DA58)*StepDiscount)))</f>
        <v>0</v>
      </c>
      <c r="DA57" s="17">
        <f>IF(DA$3="","",IF(DA$3=Steps,MAX(IF(CallPut=1,UndTree!DA57-Strike,Strike-UndTree!DA57),0),MAX((2-AmEur)*IF(CallPut=1,UndTree!DA57-Strike,Strike-UndTree!DA57),(UpProb*DB57+DownProb*DB58)*StepDiscount)))</f>
        <v>0</v>
      </c>
      <c r="DB57" s="17">
        <f>IF(DB$3="","",IF(DB$3=Steps,MAX(IF(CallPut=1,UndTree!DB57-Strike,Strike-UndTree!DB57),0),MAX((2-AmEur)*IF(CallPut=1,UndTree!DB57-Strike,Strike-UndTree!DB57),(UpProb*DC57+DownProb*DC58)*StepDiscount)))</f>
        <v>0</v>
      </c>
    </row>
    <row r="58" spans="1:106" x14ac:dyDescent="0.2">
      <c r="A58">
        <f>ExDivTree!A58</f>
        <v>1.5788448547387906E+29</v>
      </c>
      <c r="B58" s="71">
        <f>ExDivTree!B58</f>
        <v>6.2274449065638962E-2</v>
      </c>
      <c r="C58" s="71">
        <f>ExDivTree!C58</f>
        <v>6.1108016254218342E-2</v>
      </c>
      <c r="D58" s="177">
        <f>ExDivTree!D58</f>
        <v>54</v>
      </c>
      <c r="BG58" s="17">
        <f>IF(BG$3="","",IF(BG$3=Steps,MAX(IF(CallPut=1,UndTree!BG58-Strike,Strike-UndTree!BG58),0),MAX((2-AmEur)*IF(CallPut=1,UndTree!BG58-Strike,Strike-UndTree!BG58),(UpProb*BH58+DownProb*BH59)*StepDiscount)))</f>
        <v>0</v>
      </c>
      <c r="BH58" s="17">
        <f>IF(BH$3="","",IF(BH$3=Steps,MAX(IF(CallPut=1,UndTree!BH58-Strike,Strike-UndTree!BH58),0),MAX((2-AmEur)*IF(CallPut=1,UndTree!BH58-Strike,Strike-UndTree!BH58),(UpProb*BI58+DownProb*BI59)*StepDiscount)))</f>
        <v>0</v>
      </c>
      <c r="BI58" s="17">
        <f>IF(BI$3="","",IF(BI$3=Steps,MAX(IF(CallPut=1,UndTree!BI58-Strike,Strike-UndTree!BI58),0),MAX((2-AmEur)*IF(CallPut=1,UndTree!BI58-Strike,Strike-UndTree!BI58),(UpProb*BJ58+DownProb*BJ59)*StepDiscount)))</f>
        <v>0</v>
      </c>
      <c r="BJ58" s="17">
        <f>IF(BJ$3="","",IF(BJ$3=Steps,MAX(IF(CallPut=1,UndTree!BJ58-Strike,Strike-UndTree!BJ58),0),MAX((2-AmEur)*IF(CallPut=1,UndTree!BJ58-Strike,Strike-UndTree!BJ58),(UpProb*BK58+DownProb*BK59)*StepDiscount)))</f>
        <v>0</v>
      </c>
      <c r="BK58" s="17">
        <f>IF(BK$3="","",IF(BK$3=Steps,MAX(IF(CallPut=1,UndTree!BK58-Strike,Strike-UndTree!BK58),0),MAX((2-AmEur)*IF(CallPut=1,UndTree!BK58-Strike,Strike-UndTree!BK58),(UpProb*BL58+DownProb*BL59)*StepDiscount)))</f>
        <v>0</v>
      </c>
      <c r="BL58" s="17">
        <f>IF(BL$3="","",IF(BL$3=Steps,MAX(IF(CallPut=1,UndTree!BL58-Strike,Strike-UndTree!BL58),0),MAX((2-AmEur)*IF(CallPut=1,UndTree!BL58-Strike,Strike-UndTree!BL58),(UpProb*BM58+DownProb*BM59)*StepDiscount)))</f>
        <v>0</v>
      </c>
      <c r="BM58" s="17">
        <f>IF(BM$3="","",IF(BM$3=Steps,MAX(IF(CallPut=1,UndTree!BM58-Strike,Strike-UndTree!BM58),0),MAX((2-AmEur)*IF(CallPut=1,UndTree!BM58-Strike,Strike-UndTree!BM58),(UpProb*BN58+DownProb*BN59)*StepDiscount)))</f>
        <v>0</v>
      </c>
      <c r="BN58" s="17">
        <f>IF(BN$3="","",IF(BN$3=Steps,MAX(IF(CallPut=1,UndTree!BN58-Strike,Strike-UndTree!BN58),0),MAX((2-AmEur)*IF(CallPut=1,UndTree!BN58-Strike,Strike-UndTree!BN58),(UpProb*BO58+DownProb*BO59)*StepDiscount)))</f>
        <v>0</v>
      </c>
      <c r="BO58" s="17">
        <f>IF(BO$3="","",IF(BO$3=Steps,MAX(IF(CallPut=1,UndTree!BO58-Strike,Strike-UndTree!BO58),0),MAX((2-AmEur)*IF(CallPut=1,UndTree!BO58-Strike,Strike-UndTree!BO58),(UpProb*BP58+DownProb*BP59)*StepDiscount)))</f>
        <v>0</v>
      </c>
      <c r="BP58" s="17">
        <f>IF(BP$3="","",IF(BP$3=Steps,MAX(IF(CallPut=1,UndTree!BP58-Strike,Strike-UndTree!BP58),0),MAX((2-AmEur)*IF(CallPut=1,UndTree!BP58-Strike,Strike-UndTree!BP58),(UpProb*BQ58+DownProb*BQ59)*StepDiscount)))</f>
        <v>0</v>
      </c>
      <c r="BQ58" s="17">
        <f>IF(BQ$3="","",IF(BQ$3=Steps,MAX(IF(CallPut=1,UndTree!BQ58-Strike,Strike-UndTree!BQ58),0),MAX((2-AmEur)*IF(CallPut=1,UndTree!BQ58-Strike,Strike-UndTree!BQ58),(UpProb*BR58+DownProb*BR59)*StepDiscount)))</f>
        <v>0</v>
      </c>
      <c r="BR58" s="17">
        <f>IF(BR$3="","",IF(BR$3=Steps,MAX(IF(CallPut=1,UndTree!BR58-Strike,Strike-UndTree!BR58),0),MAX((2-AmEur)*IF(CallPut=1,UndTree!BR58-Strike,Strike-UndTree!BR58),(UpProb*BS58+DownProb*BS59)*StepDiscount)))</f>
        <v>0</v>
      </c>
      <c r="BS58" s="17">
        <f>IF(BS$3="","",IF(BS$3=Steps,MAX(IF(CallPut=1,UndTree!BS58-Strike,Strike-UndTree!BS58),0),MAX((2-AmEur)*IF(CallPut=1,UndTree!BS58-Strike,Strike-UndTree!BS58),(UpProb*BT58+DownProb*BT59)*StepDiscount)))</f>
        <v>0</v>
      </c>
      <c r="BT58" s="17">
        <f>IF(BT$3="","",IF(BT$3=Steps,MAX(IF(CallPut=1,UndTree!BT58-Strike,Strike-UndTree!BT58),0),MAX((2-AmEur)*IF(CallPut=1,UndTree!BT58-Strike,Strike-UndTree!BT58),(UpProb*BU58+DownProb*BU59)*StepDiscount)))</f>
        <v>0</v>
      </c>
      <c r="BU58" s="17">
        <f>IF(BU$3="","",IF(BU$3=Steps,MAX(IF(CallPut=1,UndTree!BU58-Strike,Strike-UndTree!BU58),0),MAX((2-AmEur)*IF(CallPut=1,UndTree!BU58-Strike,Strike-UndTree!BU58),(UpProb*BV58+DownProb*BV59)*StepDiscount)))</f>
        <v>0</v>
      </c>
      <c r="BV58" s="17">
        <f>IF(BV$3="","",IF(BV$3=Steps,MAX(IF(CallPut=1,UndTree!BV58-Strike,Strike-UndTree!BV58),0),MAX((2-AmEur)*IF(CallPut=1,UndTree!BV58-Strike,Strike-UndTree!BV58),(UpProb*BW58+DownProb*BW59)*StepDiscount)))</f>
        <v>0</v>
      </c>
      <c r="BW58" s="17">
        <f>IF(BW$3="","",IF(BW$3=Steps,MAX(IF(CallPut=1,UndTree!BW58-Strike,Strike-UndTree!BW58),0),MAX((2-AmEur)*IF(CallPut=1,UndTree!BW58-Strike,Strike-UndTree!BW58),(UpProb*BX58+DownProb*BX59)*StepDiscount)))</f>
        <v>0</v>
      </c>
      <c r="BX58" s="17">
        <f>IF(BX$3="","",IF(BX$3=Steps,MAX(IF(CallPut=1,UndTree!BX58-Strike,Strike-UndTree!BX58),0),MAX((2-AmEur)*IF(CallPut=1,UndTree!BX58-Strike,Strike-UndTree!BX58),(UpProb*BY58+DownProb*BY59)*StepDiscount)))</f>
        <v>0</v>
      </c>
      <c r="BY58" s="17">
        <f>IF(BY$3="","",IF(BY$3=Steps,MAX(IF(CallPut=1,UndTree!BY58-Strike,Strike-UndTree!BY58),0),MAX((2-AmEur)*IF(CallPut=1,UndTree!BY58-Strike,Strike-UndTree!BY58),(UpProb*BZ58+DownProb*BZ59)*StepDiscount)))</f>
        <v>0</v>
      </c>
      <c r="BZ58" s="17">
        <f>IF(BZ$3="","",IF(BZ$3=Steps,MAX(IF(CallPut=1,UndTree!BZ58-Strike,Strike-UndTree!BZ58),0),MAX((2-AmEur)*IF(CallPut=1,UndTree!BZ58-Strike,Strike-UndTree!BZ58),(UpProb*CA58+DownProb*CA59)*StepDiscount)))</f>
        <v>0</v>
      </c>
      <c r="CA58" s="17">
        <f>IF(CA$3="","",IF(CA$3=Steps,MAX(IF(CallPut=1,UndTree!CA58-Strike,Strike-UndTree!CA58),0),MAX((2-AmEur)*IF(CallPut=1,UndTree!CA58-Strike,Strike-UndTree!CA58),(UpProb*CB58+DownProb*CB59)*StepDiscount)))</f>
        <v>0</v>
      </c>
      <c r="CB58" s="17">
        <f>IF(CB$3="","",IF(CB$3=Steps,MAX(IF(CallPut=1,UndTree!CB58-Strike,Strike-UndTree!CB58),0),MAX((2-AmEur)*IF(CallPut=1,UndTree!CB58-Strike,Strike-UndTree!CB58),(UpProb*CC58+DownProb*CC59)*StepDiscount)))</f>
        <v>0</v>
      </c>
      <c r="CC58" s="17">
        <f>IF(CC$3="","",IF(CC$3=Steps,MAX(IF(CallPut=1,UndTree!CC58-Strike,Strike-UndTree!CC58),0),MAX((2-AmEur)*IF(CallPut=1,UndTree!CC58-Strike,Strike-UndTree!CC58),(UpProb*CD58+DownProb*CD59)*StepDiscount)))</f>
        <v>0</v>
      </c>
      <c r="CD58" s="17">
        <f>IF(CD$3="","",IF(CD$3=Steps,MAX(IF(CallPut=1,UndTree!CD58-Strike,Strike-UndTree!CD58),0),MAX((2-AmEur)*IF(CallPut=1,UndTree!CD58-Strike,Strike-UndTree!CD58),(UpProb*CE58+DownProb*CE59)*StepDiscount)))</f>
        <v>0</v>
      </c>
      <c r="CE58" s="17">
        <f>IF(CE$3="","",IF(CE$3=Steps,MAX(IF(CallPut=1,UndTree!CE58-Strike,Strike-UndTree!CE58),0),MAX((2-AmEur)*IF(CallPut=1,UndTree!CE58-Strike,Strike-UndTree!CE58),(UpProb*CF58+DownProb*CF59)*StepDiscount)))</f>
        <v>0</v>
      </c>
      <c r="CF58" s="17">
        <f>IF(CF$3="","",IF(CF$3=Steps,MAX(IF(CallPut=1,UndTree!CF58-Strike,Strike-UndTree!CF58),0),MAX((2-AmEur)*IF(CallPut=1,UndTree!CF58-Strike,Strike-UndTree!CF58),(UpProb*CG58+DownProb*CG59)*StepDiscount)))</f>
        <v>0</v>
      </c>
      <c r="CG58" s="17">
        <f>IF(CG$3="","",IF(CG$3=Steps,MAX(IF(CallPut=1,UndTree!CG58-Strike,Strike-UndTree!CG58),0),MAX((2-AmEur)*IF(CallPut=1,UndTree!CG58-Strike,Strike-UndTree!CG58),(UpProb*CH58+DownProb*CH59)*StepDiscount)))</f>
        <v>0</v>
      </c>
      <c r="CH58" s="17">
        <f>IF(CH$3="","",IF(CH$3=Steps,MAX(IF(CallPut=1,UndTree!CH58-Strike,Strike-UndTree!CH58),0),MAX((2-AmEur)*IF(CallPut=1,UndTree!CH58-Strike,Strike-UndTree!CH58),(UpProb*CI58+DownProb*CI59)*StepDiscount)))</f>
        <v>0</v>
      </c>
      <c r="CI58" s="17">
        <f>IF(CI$3="","",IF(CI$3=Steps,MAX(IF(CallPut=1,UndTree!CI58-Strike,Strike-UndTree!CI58),0),MAX((2-AmEur)*IF(CallPut=1,UndTree!CI58-Strike,Strike-UndTree!CI58),(UpProb*CJ58+DownProb*CJ59)*StepDiscount)))</f>
        <v>0</v>
      </c>
      <c r="CJ58" s="17">
        <f>IF(CJ$3="","",IF(CJ$3=Steps,MAX(IF(CallPut=1,UndTree!CJ58-Strike,Strike-UndTree!CJ58),0),MAX((2-AmEur)*IF(CallPut=1,UndTree!CJ58-Strike,Strike-UndTree!CJ58),(UpProb*CK58+DownProb*CK59)*StepDiscount)))</f>
        <v>0</v>
      </c>
      <c r="CK58" s="17">
        <f>IF(CK$3="","",IF(CK$3=Steps,MAX(IF(CallPut=1,UndTree!CK58-Strike,Strike-UndTree!CK58),0),MAX((2-AmEur)*IF(CallPut=1,UndTree!CK58-Strike,Strike-UndTree!CK58),(UpProb*CL58+DownProb*CL59)*StepDiscount)))</f>
        <v>0</v>
      </c>
      <c r="CL58" s="17">
        <f>IF(CL$3="","",IF(CL$3=Steps,MAX(IF(CallPut=1,UndTree!CL58-Strike,Strike-UndTree!CL58),0),MAX((2-AmEur)*IF(CallPut=1,UndTree!CL58-Strike,Strike-UndTree!CL58),(UpProb*CM58+DownProb*CM59)*StepDiscount)))</f>
        <v>0</v>
      </c>
      <c r="CM58" s="17">
        <f>IF(CM$3="","",IF(CM$3=Steps,MAX(IF(CallPut=1,UndTree!CM58-Strike,Strike-UndTree!CM58),0),MAX((2-AmEur)*IF(CallPut=1,UndTree!CM58-Strike,Strike-UndTree!CM58),(UpProb*CN58+DownProb*CN59)*StepDiscount)))</f>
        <v>0</v>
      </c>
      <c r="CN58" s="17">
        <f>IF(CN$3="","",IF(CN$3=Steps,MAX(IF(CallPut=1,UndTree!CN58-Strike,Strike-UndTree!CN58),0),MAX((2-AmEur)*IF(CallPut=1,UndTree!CN58-Strike,Strike-UndTree!CN58),(UpProb*CO58+DownProb*CO59)*StepDiscount)))</f>
        <v>0</v>
      </c>
      <c r="CO58" s="17">
        <f>IF(CO$3="","",IF(CO$3=Steps,MAX(IF(CallPut=1,UndTree!CO58-Strike,Strike-UndTree!CO58),0),MAX((2-AmEur)*IF(CallPut=1,UndTree!CO58-Strike,Strike-UndTree!CO58),(UpProb*CP58+DownProb*CP59)*StepDiscount)))</f>
        <v>0</v>
      </c>
      <c r="CP58" s="17">
        <f>IF(CP$3="","",IF(CP$3=Steps,MAX(IF(CallPut=1,UndTree!CP58-Strike,Strike-UndTree!CP58),0),MAX((2-AmEur)*IF(CallPut=1,UndTree!CP58-Strike,Strike-UndTree!CP58),(UpProb*CQ58+DownProb*CQ59)*StepDiscount)))</f>
        <v>0</v>
      </c>
      <c r="CQ58" s="17">
        <f>IF(CQ$3="","",IF(CQ$3=Steps,MAX(IF(CallPut=1,UndTree!CQ58-Strike,Strike-UndTree!CQ58),0),MAX((2-AmEur)*IF(CallPut=1,UndTree!CQ58-Strike,Strike-UndTree!CQ58),(UpProb*CR58+DownProb*CR59)*StepDiscount)))</f>
        <v>0</v>
      </c>
      <c r="CR58" s="17">
        <f>IF(CR$3="","",IF(CR$3=Steps,MAX(IF(CallPut=1,UndTree!CR58-Strike,Strike-UndTree!CR58),0),MAX((2-AmEur)*IF(CallPut=1,UndTree!CR58-Strike,Strike-UndTree!CR58),(UpProb*CS58+DownProb*CS59)*StepDiscount)))</f>
        <v>0</v>
      </c>
      <c r="CS58" s="17">
        <f>IF(CS$3="","",IF(CS$3=Steps,MAX(IF(CallPut=1,UndTree!CS58-Strike,Strike-UndTree!CS58),0),MAX((2-AmEur)*IF(CallPut=1,UndTree!CS58-Strike,Strike-UndTree!CS58),(UpProb*CT58+DownProb*CT59)*StepDiscount)))</f>
        <v>0</v>
      </c>
      <c r="CT58" s="17">
        <f>IF(CT$3="","",IF(CT$3=Steps,MAX(IF(CallPut=1,UndTree!CT58-Strike,Strike-UndTree!CT58),0),MAX((2-AmEur)*IF(CallPut=1,UndTree!CT58-Strike,Strike-UndTree!CT58),(UpProb*CU58+DownProb*CU59)*StepDiscount)))</f>
        <v>0</v>
      </c>
      <c r="CU58" s="17">
        <f>IF(CU$3="","",IF(CU$3=Steps,MAX(IF(CallPut=1,UndTree!CU58-Strike,Strike-UndTree!CU58),0),MAX((2-AmEur)*IF(CallPut=1,UndTree!CU58-Strike,Strike-UndTree!CU58),(UpProb*CV58+DownProb*CV59)*StepDiscount)))</f>
        <v>0</v>
      </c>
      <c r="CV58" s="17">
        <f>IF(CV$3="","",IF(CV$3=Steps,MAX(IF(CallPut=1,UndTree!CV58-Strike,Strike-UndTree!CV58),0),MAX((2-AmEur)*IF(CallPut=1,UndTree!CV58-Strike,Strike-UndTree!CV58),(UpProb*CW58+DownProb*CW59)*StepDiscount)))</f>
        <v>0</v>
      </c>
      <c r="CW58" s="17">
        <f>IF(CW$3="","",IF(CW$3=Steps,MAX(IF(CallPut=1,UndTree!CW58-Strike,Strike-UndTree!CW58),0),MAX((2-AmEur)*IF(CallPut=1,UndTree!CW58-Strike,Strike-UndTree!CW58),(UpProb*CX58+DownProb*CX59)*StepDiscount)))</f>
        <v>0</v>
      </c>
      <c r="CX58" s="17">
        <f>IF(CX$3="","",IF(CX$3=Steps,MAX(IF(CallPut=1,UndTree!CX58-Strike,Strike-UndTree!CX58),0),MAX((2-AmEur)*IF(CallPut=1,UndTree!CX58-Strike,Strike-UndTree!CX58),(UpProb*CY58+DownProb*CY59)*StepDiscount)))</f>
        <v>0</v>
      </c>
      <c r="CY58" s="17">
        <f>IF(CY$3="","",IF(CY$3=Steps,MAX(IF(CallPut=1,UndTree!CY58-Strike,Strike-UndTree!CY58),0),MAX((2-AmEur)*IF(CallPut=1,UndTree!CY58-Strike,Strike-UndTree!CY58),(UpProb*CZ58+DownProb*CZ59)*StepDiscount)))</f>
        <v>0</v>
      </c>
      <c r="CZ58" s="17">
        <f>IF(CZ$3="","",IF(CZ$3=Steps,MAX(IF(CallPut=1,UndTree!CZ58-Strike,Strike-UndTree!CZ58),0),MAX((2-AmEur)*IF(CallPut=1,UndTree!CZ58-Strike,Strike-UndTree!CZ58),(UpProb*DA58+DownProb*DA59)*StepDiscount)))</f>
        <v>0</v>
      </c>
      <c r="DA58" s="17">
        <f>IF(DA$3="","",IF(DA$3=Steps,MAX(IF(CallPut=1,UndTree!DA58-Strike,Strike-UndTree!DA58),0),MAX((2-AmEur)*IF(CallPut=1,UndTree!DA58-Strike,Strike-UndTree!DA58),(UpProb*DB58+DownProb*DB59)*StepDiscount)))</f>
        <v>0</v>
      </c>
      <c r="DB58" s="17">
        <f>IF(DB$3="","",IF(DB$3=Steps,MAX(IF(CallPut=1,UndTree!DB58-Strike,Strike-UndTree!DB58),0),MAX((2-AmEur)*IF(CallPut=1,UndTree!DB58-Strike,Strike-UndTree!DB58),(UpProb*DC58+DownProb*DC59)*StepDiscount)))</f>
        <v>0</v>
      </c>
    </row>
    <row r="59" spans="1:106" x14ac:dyDescent="0.2">
      <c r="A59">
        <f>ExDivTree!A59</f>
        <v>1.3491946940495127E+29</v>
      </c>
      <c r="B59" s="71">
        <f>ExDivTree!B59</f>
        <v>5.3216347383364233E-2</v>
      </c>
      <c r="C59" s="71">
        <f>ExDivTree!C59</f>
        <v>5.1943495550803291E-2</v>
      </c>
      <c r="D59" s="177">
        <f>ExDivTree!D59</f>
        <v>55</v>
      </c>
      <c r="BH59" s="17">
        <f>IF(BH$3="","",IF(BH$3=Steps,MAX(IF(CallPut=1,UndTree!BH59-Strike,Strike-UndTree!BH59),0),MAX((2-AmEur)*IF(CallPut=1,UndTree!BH59-Strike,Strike-UndTree!BH59),(UpProb*BI59+DownProb*BI60)*StepDiscount)))</f>
        <v>0</v>
      </c>
      <c r="BI59" s="17">
        <f>IF(BI$3="","",IF(BI$3=Steps,MAX(IF(CallPut=1,UndTree!BI59-Strike,Strike-UndTree!BI59),0),MAX((2-AmEur)*IF(CallPut=1,UndTree!BI59-Strike,Strike-UndTree!BI59),(UpProb*BJ59+DownProb*BJ60)*StepDiscount)))</f>
        <v>0</v>
      </c>
      <c r="BJ59" s="17">
        <f>IF(BJ$3="","",IF(BJ$3=Steps,MAX(IF(CallPut=1,UndTree!BJ59-Strike,Strike-UndTree!BJ59),0),MAX((2-AmEur)*IF(CallPut=1,UndTree!BJ59-Strike,Strike-UndTree!BJ59),(UpProb*BK59+DownProb*BK60)*StepDiscount)))</f>
        <v>0</v>
      </c>
      <c r="BK59" s="17">
        <f>IF(BK$3="","",IF(BK$3=Steps,MAX(IF(CallPut=1,UndTree!BK59-Strike,Strike-UndTree!BK59),0),MAX((2-AmEur)*IF(CallPut=1,UndTree!BK59-Strike,Strike-UndTree!BK59),(UpProb*BL59+DownProb*BL60)*StepDiscount)))</f>
        <v>0</v>
      </c>
      <c r="BL59" s="17">
        <f>IF(BL$3="","",IF(BL$3=Steps,MAX(IF(CallPut=1,UndTree!BL59-Strike,Strike-UndTree!BL59),0),MAX((2-AmEur)*IF(CallPut=1,UndTree!BL59-Strike,Strike-UndTree!BL59),(UpProb*BM59+DownProb*BM60)*StepDiscount)))</f>
        <v>0</v>
      </c>
      <c r="BM59" s="17">
        <f>IF(BM$3="","",IF(BM$3=Steps,MAX(IF(CallPut=1,UndTree!BM59-Strike,Strike-UndTree!BM59),0),MAX((2-AmEur)*IF(CallPut=1,UndTree!BM59-Strike,Strike-UndTree!BM59),(UpProb*BN59+DownProb*BN60)*StepDiscount)))</f>
        <v>0</v>
      </c>
      <c r="BN59" s="17">
        <f>IF(BN$3="","",IF(BN$3=Steps,MAX(IF(CallPut=1,UndTree!BN59-Strike,Strike-UndTree!BN59),0),MAX((2-AmEur)*IF(CallPut=1,UndTree!BN59-Strike,Strike-UndTree!BN59),(UpProb*BO59+DownProb*BO60)*StepDiscount)))</f>
        <v>0</v>
      </c>
      <c r="BO59" s="17">
        <f>IF(BO$3="","",IF(BO$3=Steps,MAX(IF(CallPut=1,UndTree!BO59-Strike,Strike-UndTree!BO59),0),MAX((2-AmEur)*IF(CallPut=1,UndTree!BO59-Strike,Strike-UndTree!BO59),(UpProb*BP59+DownProb*BP60)*StepDiscount)))</f>
        <v>0</v>
      </c>
      <c r="BP59" s="17">
        <f>IF(BP$3="","",IF(BP$3=Steps,MAX(IF(CallPut=1,UndTree!BP59-Strike,Strike-UndTree!BP59),0),MAX((2-AmEur)*IF(CallPut=1,UndTree!BP59-Strike,Strike-UndTree!BP59),(UpProb*BQ59+DownProb*BQ60)*StepDiscount)))</f>
        <v>0</v>
      </c>
      <c r="BQ59" s="17">
        <f>IF(BQ$3="","",IF(BQ$3=Steps,MAX(IF(CallPut=1,UndTree!BQ59-Strike,Strike-UndTree!BQ59),0),MAX((2-AmEur)*IF(CallPut=1,UndTree!BQ59-Strike,Strike-UndTree!BQ59),(UpProb*BR59+DownProb*BR60)*StepDiscount)))</f>
        <v>0</v>
      </c>
      <c r="BR59" s="17">
        <f>IF(BR$3="","",IF(BR$3=Steps,MAX(IF(CallPut=1,UndTree!BR59-Strike,Strike-UndTree!BR59),0),MAX((2-AmEur)*IF(CallPut=1,UndTree!BR59-Strike,Strike-UndTree!BR59),(UpProb*BS59+DownProb*BS60)*StepDiscount)))</f>
        <v>0</v>
      </c>
      <c r="BS59" s="17">
        <f>IF(BS$3="","",IF(BS$3=Steps,MAX(IF(CallPut=1,UndTree!BS59-Strike,Strike-UndTree!BS59),0),MAX((2-AmEur)*IF(CallPut=1,UndTree!BS59-Strike,Strike-UndTree!BS59),(UpProb*BT59+DownProb*BT60)*StepDiscount)))</f>
        <v>0</v>
      </c>
      <c r="BT59" s="17">
        <f>IF(BT$3="","",IF(BT$3=Steps,MAX(IF(CallPut=1,UndTree!BT59-Strike,Strike-UndTree!BT59),0),MAX((2-AmEur)*IF(CallPut=1,UndTree!BT59-Strike,Strike-UndTree!BT59),(UpProb*BU59+DownProb*BU60)*StepDiscount)))</f>
        <v>0</v>
      </c>
      <c r="BU59" s="17">
        <f>IF(BU$3="","",IF(BU$3=Steps,MAX(IF(CallPut=1,UndTree!BU59-Strike,Strike-UndTree!BU59),0),MAX((2-AmEur)*IF(CallPut=1,UndTree!BU59-Strike,Strike-UndTree!BU59),(UpProb*BV59+DownProb*BV60)*StepDiscount)))</f>
        <v>0</v>
      </c>
      <c r="BV59" s="17">
        <f>IF(BV$3="","",IF(BV$3=Steps,MAX(IF(CallPut=1,UndTree!BV59-Strike,Strike-UndTree!BV59),0),MAX((2-AmEur)*IF(CallPut=1,UndTree!BV59-Strike,Strike-UndTree!BV59),(UpProb*BW59+DownProb*BW60)*StepDiscount)))</f>
        <v>0</v>
      </c>
      <c r="BW59" s="17">
        <f>IF(BW$3="","",IF(BW$3=Steps,MAX(IF(CallPut=1,UndTree!BW59-Strike,Strike-UndTree!BW59),0),MAX((2-AmEur)*IF(CallPut=1,UndTree!BW59-Strike,Strike-UndTree!BW59),(UpProb*BX59+DownProb*BX60)*StepDiscount)))</f>
        <v>0</v>
      </c>
      <c r="BX59" s="17">
        <f>IF(BX$3="","",IF(BX$3=Steps,MAX(IF(CallPut=1,UndTree!BX59-Strike,Strike-UndTree!BX59),0),MAX((2-AmEur)*IF(CallPut=1,UndTree!BX59-Strike,Strike-UndTree!BX59),(UpProb*BY59+DownProb*BY60)*StepDiscount)))</f>
        <v>0</v>
      </c>
      <c r="BY59" s="17">
        <f>IF(BY$3="","",IF(BY$3=Steps,MAX(IF(CallPut=1,UndTree!BY59-Strike,Strike-UndTree!BY59),0),MAX((2-AmEur)*IF(CallPut=1,UndTree!BY59-Strike,Strike-UndTree!BY59),(UpProb*BZ59+DownProb*BZ60)*StepDiscount)))</f>
        <v>0</v>
      </c>
      <c r="BZ59" s="17">
        <f>IF(BZ$3="","",IF(BZ$3=Steps,MAX(IF(CallPut=1,UndTree!BZ59-Strike,Strike-UndTree!BZ59),0),MAX((2-AmEur)*IF(CallPut=1,UndTree!BZ59-Strike,Strike-UndTree!BZ59),(UpProb*CA59+DownProb*CA60)*StepDiscount)))</f>
        <v>0</v>
      </c>
      <c r="CA59" s="17">
        <f>IF(CA$3="","",IF(CA$3=Steps,MAX(IF(CallPut=1,UndTree!CA59-Strike,Strike-UndTree!CA59),0),MAX((2-AmEur)*IF(CallPut=1,UndTree!CA59-Strike,Strike-UndTree!CA59),(UpProb*CB59+DownProb*CB60)*StepDiscount)))</f>
        <v>0</v>
      </c>
      <c r="CB59" s="17">
        <f>IF(CB$3="","",IF(CB$3=Steps,MAX(IF(CallPut=1,UndTree!CB59-Strike,Strike-UndTree!CB59),0),MAX((2-AmEur)*IF(CallPut=1,UndTree!CB59-Strike,Strike-UndTree!CB59),(UpProb*CC59+DownProb*CC60)*StepDiscount)))</f>
        <v>0</v>
      </c>
      <c r="CC59" s="17">
        <f>IF(CC$3="","",IF(CC$3=Steps,MAX(IF(CallPut=1,UndTree!CC59-Strike,Strike-UndTree!CC59),0),MAX((2-AmEur)*IF(CallPut=1,UndTree!CC59-Strike,Strike-UndTree!CC59),(UpProb*CD59+DownProb*CD60)*StepDiscount)))</f>
        <v>0</v>
      </c>
      <c r="CD59" s="17">
        <f>IF(CD$3="","",IF(CD$3=Steps,MAX(IF(CallPut=1,UndTree!CD59-Strike,Strike-UndTree!CD59),0),MAX((2-AmEur)*IF(CallPut=1,UndTree!CD59-Strike,Strike-UndTree!CD59),(UpProb*CE59+DownProb*CE60)*StepDiscount)))</f>
        <v>0</v>
      </c>
      <c r="CE59" s="17">
        <f>IF(CE$3="","",IF(CE$3=Steps,MAX(IF(CallPut=1,UndTree!CE59-Strike,Strike-UndTree!CE59),0),MAX((2-AmEur)*IF(CallPut=1,UndTree!CE59-Strike,Strike-UndTree!CE59),(UpProb*CF59+DownProb*CF60)*StepDiscount)))</f>
        <v>0</v>
      </c>
      <c r="CF59" s="17">
        <f>IF(CF$3="","",IF(CF$3=Steps,MAX(IF(CallPut=1,UndTree!CF59-Strike,Strike-UndTree!CF59),0),MAX((2-AmEur)*IF(CallPut=1,UndTree!CF59-Strike,Strike-UndTree!CF59),(UpProb*CG59+DownProb*CG60)*StepDiscount)))</f>
        <v>0</v>
      </c>
      <c r="CG59" s="17">
        <f>IF(CG$3="","",IF(CG$3=Steps,MAX(IF(CallPut=1,UndTree!CG59-Strike,Strike-UndTree!CG59),0),MAX((2-AmEur)*IF(CallPut=1,UndTree!CG59-Strike,Strike-UndTree!CG59),(UpProb*CH59+DownProb*CH60)*StepDiscount)))</f>
        <v>0</v>
      </c>
      <c r="CH59" s="17">
        <f>IF(CH$3="","",IF(CH$3=Steps,MAX(IF(CallPut=1,UndTree!CH59-Strike,Strike-UndTree!CH59),0),MAX((2-AmEur)*IF(CallPut=1,UndTree!CH59-Strike,Strike-UndTree!CH59),(UpProb*CI59+DownProb*CI60)*StepDiscount)))</f>
        <v>0</v>
      </c>
      <c r="CI59" s="17">
        <f>IF(CI$3="","",IF(CI$3=Steps,MAX(IF(CallPut=1,UndTree!CI59-Strike,Strike-UndTree!CI59),0),MAX((2-AmEur)*IF(CallPut=1,UndTree!CI59-Strike,Strike-UndTree!CI59),(UpProb*CJ59+DownProb*CJ60)*StepDiscount)))</f>
        <v>0</v>
      </c>
      <c r="CJ59" s="17">
        <f>IF(CJ$3="","",IF(CJ$3=Steps,MAX(IF(CallPut=1,UndTree!CJ59-Strike,Strike-UndTree!CJ59),0),MAX((2-AmEur)*IF(CallPut=1,UndTree!CJ59-Strike,Strike-UndTree!CJ59),(UpProb*CK59+DownProb*CK60)*StepDiscount)))</f>
        <v>0</v>
      </c>
      <c r="CK59" s="17">
        <f>IF(CK$3="","",IF(CK$3=Steps,MAX(IF(CallPut=1,UndTree!CK59-Strike,Strike-UndTree!CK59),0),MAX((2-AmEur)*IF(CallPut=1,UndTree!CK59-Strike,Strike-UndTree!CK59),(UpProb*CL59+DownProb*CL60)*StepDiscount)))</f>
        <v>0</v>
      </c>
      <c r="CL59" s="17">
        <f>IF(CL$3="","",IF(CL$3=Steps,MAX(IF(CallPut=1,UndTree!CL59-Strike,Strike-UndTree!CL59),0),MAX((2-AmEur)*IF(CallPut=1,UndTree!CL59-Strike,Strike-UndTree!CL59),(UpProb*CM59+DownProb*CM60)*StepDiscount)))</f>
        <v>0</v>
      </c>
      <c r="CM59" s="17">
        <f>IF(CM$3="","",IF(CM$3=Steps,MAX(IF(CallPut=1,UndTree!CM59-Strike,Strike-UndTree!CM59),0),MAX((2-AmEur)*IF(CallPut=1,UndTree!CM59-Strike,Strike-UndTree!CM59),(UpProb*CN59+DownProb*CN60)*StepDiscount)))</f>
        <v>0</v>
      </c>
      <c r="CN59" s="17">
        <f>IF(CN$3="","",IF(CN$3=Steps,MAX(IF(CallPut=1,UndTree!CN59-Strike,Strike-UndTree!CN59),0),MAX((2-AmEur)*IF(CallPut=1,UndTree!CN59-Strike,Strike-UndTree!CN59),(UpProb*CO59+DownProb*CO60)*StepDiscount)))</f>
        <v>0</v>
      </c>
      <c r="CO59" s="17">
        <f>IF(CO$3="","",IF(CO$3=Steps,MAX(IF(CallPut=1,UndTree!CO59-Strike,Strike-UndTree!CO59),0),MAX((2-AmEur)*IF(CallPut=1,UndTree!CO59-Strike,Strike-UndTree!CO59),(UpProb*CP59+DownProb*CP60)*StepDiscount)))</f>
        <v>0</v>
      </c>
      <c r="CP59" s="17">
        <f>IF(CP$3="","",IF(CP$3=Steps,MAX(IF(CallPut=1,UndTree!CP59-Strike,Strike-UndTree!CP59),0),MAX((2-AmEur)*IF(CallPut=1,UndTree!CP59-Strike,Strike-UndTree!CP59),(UpProb*CQ59+DownProb*CQ60)*StepDiscount)))</f>
        <v>0</v>
      </c>
      <c r="CQ59" s="17">
        <f>IF(CQ$3="","",IF(CQ$3=Steps,MAX(IF(CallPut=1,UndTree!CQ59-Strike,Strike-UndTree!CQ59),0),MAX((2-AmEur)*IF(CallPut=1,UndTree!CQ59-Strike,Strike-UndTree!CQ59),(UpProb*CR59+DownProb*CR60)*StepDiscount)))</f>
        <v>0</v>
      </c>
      <c r="CR59" s="17">
        <f>IF(CR$3="","",IF(CR$3=Steps,MAX(IF(CallPut=1,UndTree!CR59-Strike,Strike-UndTree!CR59),0),MAX((2-AmEur)*IF(CallPut=1,UndTree!CR59-Strike,Strike-UndTree!CR59),(UpProb*CS59+DownProb*CS60)*StepDiscount)))</f>
        <v>0</v>
      </c>
      <c r="CS59" s="17">
        <f>IF(CS$3="","",IF(CS$3=Steps,MAX(IF(CallPut=1,UndTree!CS59-Strike,Strike-UndTree!CS59),0),MAX((2-AmEur)*IF(CallPut=1,UndTree!CS59-Strike,Strike-UndTree!CS59),(UpProb*CT59+DownProb*CT60)*StepDiscount)))</f>
        <v>0</v>
      </c>
      <c r="CT59" s="17">
        <f>IF(CT$3="","",IF(CT$3=Steps,MAX(IF(CallPut=1,UndTree!CT59-Strike,Strike-UndTree!CT59),0),MAX((2-AmEur)*IF(CallPut=1,UndTree!CT59-Strike,Strike-UndTree!CT59),(UpProb*CU59+DownProb*CU60)*StepDiscount)))</f>
        <v>0</v>
      </c>
      <c r="CU59" s="17">
        <f>IF(CU$3="","",IF(CU$3=Steps,MAX(IF(CallPut=1,UndTree!CU59-Strike,Strike-UndTree!CU59),0),MAX((2-AmEur)*IF(CallPut=1,UndTree!CU59-Strike,Strike-UndTree!CU59),(UpProb*CV59+DownProb*CV60)*StepDiscount)))</f>
        <v>0</v>
      </c>
      <c r="CV59" s="17">
        <f>IF(CV$3="","",IF(CV$3=Steps,MAX(IF(CallPut=1,UndTree!CV59-Strike,Strike-UndTree!CV59),0),MAX((2-AmEur)*IF(CallPut=1,UndTree!CV59-Strike,Strike-UndTree!CV59),(UpProb*CW59+DownProb*CW60)*StepDiscount)))</f>
        <v>0</v>
      </c>
      <c r="CW59" s="17">
        <f>IF(CW$3="","",IF(CW$3=Steps,MAX(IF(CallPut=1,UndTree!CW59-Strike,Strike-UndTree!CW59),0),MAX((2-AmEur)*IF(CallPut=1,UndTree!CW59-Strike,Strike-UndTree!CW59),(UpProb*CX59+DownProb*CX60)*StepDiscount)))</f>
        <v>0</v>
      </c>
      <c r="CX59" s="17">
        <f>IF(CX$3="","",IF(CX$3=Steps,MAX(IF(CallPut=1,UndTree!CX59-Strike,Strike-UndTree!CX59),0),MAX((2-AmEur)*IF(CallPut=1,UndTree!CX59-Strike,Strike-UndTree!CX59),(UpProb*CY59+DownProb*CY60)*StepDiscount)))</f>
        <v>0</v>
      </c>
      <c r="CY59" s="17">
        <f>IF(CY$3="","",IF(CY$3=Steps,MAX(IF(CallPut=1,UndTree!CY59-Strike,Strike-UndTree!CY59),0),MAX((2-AmEur)*IF(CallPut=1,UndTree!CY59-Strike,Strike-UndTree!CY59),(UpProb*CZ59+DownProb*CZ60)*StepDiscount)))</f>
        <v>0</v>
      </c>
      <c r="CZ59" s="17">
        <f>IF(CZ$3="","",IF(CZ$3=Steps,MAX(IF(CallPut=1,UndTree!CZ59-Strike,Strike-UndTree!CZ59),0),MAX((2-AmEur)*IF(CallPut=1,UndTree!CZ59-Strike,Strike-UndTree!CZ59),(UpProb*DA59+DownProb*DA60)*StepDiscount)))</f>
        <v>0</v>
      </c>
      <c r="DA59" s="17">
        <f>IF(DA$3="","",IF(DA$3=Steps,MAX(IF(CallPut=1,UndTree!DA59-Strike,Strike-UndTree!DA59),0),MAX((2-AmEur)*IF(CallPut=1,UndTree!DA59-Strike,Strike-UndTree!DA59),(UpProb*DB59+DownProb*DB60)*StepDiscount)))</f>
        <v>0</v>
      </c>
      <c r="DB59" s="17">
        <f>IF(DB$3="","",IF(DB$3=Steps,MAX(IF(CallPut=1,UndTree!DB59-Strike,Strike-UndTree!DB59),0),MAX((2-AmEur)*IF(CallPut=1,UndTree!DB59-Strike,Strike-UndTree!DB59),(UpProb*DC59+DownProb*DC60)*StepDiscount)))</f>
        <v>0</v>
      </c>
    </row>
    <row r="60" spans="1:106" x14ac:dyDescent="0.2">
      <c r="A60">
        <f>ExDivTree!A60</f>
        <v>1.1082670701120991E+29</v>
      </c>
      <c r="B60" s="71">
        <f>ExDivTree!B60</f>
        <v>4.3713428207763451E-2</v>
      </c>
      <c r="C60" s="71">
        <f>ExDivTree!C60</f>
        <v>4.2442288704258167E-2</v>
      </c>
      <c r="D60" s="177">
        <f>ExDivTree!D60</f>
        <v>56</v>
      </c>
      <c r="BI60" s="17">
        <f>IF(BI$3="","",IF(BI$3=Steps,MAX(IF(CallPut=1,UndTree!BI60-Strike,Strike-UndTree!BI60),0),MAX((2-AmEur)*IF(CallPut=1,UndTree!BI60-Strike,Strike-UndTree!BI60),(UpProb*BJ60+DownProb*BJ61)*StepDiscount)))</f>
        <v>0</v>
      </c>
      <c r="BJ60" s="17">
        <f>IF(BJ$3="","",IF(BJ$3=Steps,MAX(IF(CallPut=1,UndTree!BJ60-Strike,Strike-UndTree!BJ60),0),MAX((2-AmEur)*IF(CallPut=1,UndTree!BJ60-Strike,Strike-UndTree!BJ60),(UpProb*BK60+DownProb*BK61)*StepDiscount)))</f>
        <v>0</v>
      </c>
      <c r="BK60" s="17">
        <f>IF(BK$3="","",IF(BK$3=Steps,MAX(IF(CallPut=1,UndTree!BK60-Strike,Strike-UndTree!BK60),0),MAX((2-AmEur)*IF(CallPut=1,UndTree!BK60-Strike,Strike-UndTree!BK60),(UpProb*BL60+DownProb*BL61)*StepDiscount)))</f>
        <v>0</v>
      </c>
      <c r="BL60" s="17">
        <f>IF(BL$3="","",IF(BL$3=Steps,MAX(IF(CallPut=1,UndTree!BL60-Strike,Strike-UndTree!BL60),0),MAX((2-AmEur)*IF(CallPut=1,UndTree!BL60-Strike,Strike-UndTree!BL60),(UpProb*BM60+DownProb*BM61)*StepDiscount)))</f>
        <v>0</v>
      </c>
      <c r="BM60" s="17">
        <f>IF(BM$3="","",IF(BM$3=Steps,MAX(IF(CallPut=1,UndTree!BM60-Strike,Strike-UndTree!BM60),0),MAX((2-AmEur)*IF(CallPut=1,UndTree!BM60-Strike,Strike-UndTree!BM60),(UpProb*BN60+DownProb*BN61)*StepDiscount)))</f>
        <v>0</v>
      </c>
      <c r="BN60" s="17">
        <f>IF(BN$3="","",IF(BN$3=Steps,MAX(IF(CallPut=1,UndTree!BN60-Strike,Strike-UndTree!BN60),0),MAX((2-AmEur)*IF(CallPut=1,UndTree!BN60-Strike,Strike-UndTree!BN60),(UpProb*BO60+DownProb*BO61)*StepDiscount)))</f>
        <v>0</v>
      </c>
      <c r="BO60" s="17">
        <f>IF(BO$3="","",IF(BO$3=Steps,MAX(IF(CallPut=1,UndTree!BO60-Strike,Strike-UndTree!BO60),0),MAX((2-AmEur)*IF(CallPut=1,UndTree!BO60-Strike,Strike-UndTree!BO60),(UpProb*BP60+DownProb*BP61)*StepDiscount)))</f>
        <v>0</v>
      </c>
      <c r="BP60" s="17">
        <f>IF(BP$3="","",IF(BP$3=Steps,MAX(IF(CallPut=1,UndTree!BP60-Strike,Strike-UndTree!BP60),0),MAX((2-AmEur)*IF(CallPut=1,UndTree!BP60-Strike,Strike-UndTree!BP60),(UpProb*BQ60+DownProb*BQ61)*StepDiscount)))</f>
        <v>0</v>
      </c>
      <c r="BQ60" s="17">
        <f>IF(BQ$3="","",IF(BQ$3=Steps,MAX(IF(CallPut=1,UndTree!BQ60-Strike,Strike-UndTree!BQ60),0),MAX((2-AmEur)*IF(CallPut=1,UndTree!BQ60-Strike,Strike-UndTree!BQ60),(UpProb*BR60+DownProb*BR61)*StepDiscount)))</f>
        <v>0</v>
      </c>
      <c r="BR60" s="17">
        <f>IF(BR$3="","",IF(BR$3=Steps,MAX(IF(CallPut=1,UndTree!BR60-Strike,Strike-UndTree!BR60),0),MAX((2-AmEur)*IF(CallPut=1,UndTree!BR60-Strike,Strike-UndTree!BR60),(UpProb*BS60+DownProb*BS61)*StepDiscount)))</f>
        <v>0</v>
      </c>
      <c r="BS60" s="17">
        <f>IF(BS$3="","",IF(BS$3=Steps,MAX(IF(CallPut=1,UndTree!BS60-Strike,Strike-UndTree!BS60),0),MAX((2-AmEur)*IF(CallPut=1,UndTree!BS60-Strike,Strike-UndTree!BS60),(UpProb*BT60+DownProb*BT61)*StepDiscount)))</f>
        <v>0</v>
      </c>
      <c r="BT60" s="17">
        <f>IF(BT$3="","",IF(BT$3=Steps,MAX(IF(CallPut=1,UndTree!BT60-Strike,Strike-UndTree!BT60),0),MAX((2-AmEur)*IF(CallPut=1,UndTree!BT60-Strike,Strike-UndTree!BT60),(UpProb*BU60+DownProb*BU61)*StepDiscount)))</f>
        <v>0</v>
      </c>
      <c r="BU60" s="17">
        <f>IF(BU$3="","",IF(BU$3=Steps,MAX(IF(CallPut=1,UndTree!BU60-Strike,Strike-UndTree!BU60),0),MAX((2-AmEur)*IF(CallPut=1,UndTree!BU60-Strike,Strike-UndTree!BU60),(UpProb*BV60+DownProb*BV61)*StepDiscount)))</f>
        <v>0</v>
      </c>
      <c r="BV60" s="17">
        <f>IF(BV$3="","",IF(BV$3=Steps,MAX(IF(CallPut=1,UndTree!BV60-Strike,Strike-UndTree!BV60),0),MAX((2-AmEur)*IF(CallPut=1,UndTree!BV60-Strike,Strike-UndTree!BV60),(UpProb*BW60+DownProb*BW61)*StepDiscount)))</f>
        <v>0</v>
      </c>
      <c r="BW60" s="17">
        <f>IF(BW$3="","",IF(BW$3=Steps,MAX(IF(CallPut=1,UndTree!BW60-Strike,Strike-UndTree!BW60),0),MAX((2-AmEur)*IF(CallPut=1,UndTree!BW60-Strike,Strike-UndTree!BW60),(UpProb*BX60+DownProb*BX61)*StepDiscount)))</f>
        <v>0</v>
      </c>
      <c r="BX60" s="17">
        <f>IF(BX$3="","",IF(BX$3=Steps,MAX(IF(CallPut=1,UndTree!BX60-Strike,Strike-UndTree!BX60),0),MAX((2-AmEur)*IF(CallPut=1,UndTree!BX60-Strike,Strike-UndTree!BX60),(UpProb*BY60+DownProb*BY61)*StepDiscount)))</f>
        <v>0</v>
      </c>
      <c r="BY60" s="17">
        <f>IF(BY$3="","",IF(BY$3=Steps,MAX(IF(CallPut=1,UndTree!BY60-Strike,Strike-UndTree!BY60),0),MAX((2-AmEur)*IF(CallPut=1,UndTree!BY60-Strike,Strike-UndTree!BY60),(UpProb*BZ60+DownProb*BZ61)*StepDiscount)))</f>
        <v>0</v>
      </c>
      <c r="BZ60" s="17">
        <f>IF(BZ$3="","",IF(BZ$3=Steps,MAX(IF(CallPut=1,UndTree!BZ60-Strike,Strike-UndTree!BZ60),0),MAX((2-AmEur)*IF(CallPut=1,UndTree!BZ60-Strike,Strike-UndTree!BZ60),(UpProb*CA60+DownProb*CA61)*StepDiscount)))</f>
        <v>0</v>
      </c>
      <c r="CA60" s="17">
        <f>IF(CA$3="","",IF(CA$3=Steps,MAX(IF(CallPut=1,UndTree!CA60-Strike,Strike-UndTree!CA60),0),MAX((2-AmEur)*IF(CallPut=1,UndTree!CA60-Strike,Strike-UndTree!CA60),(UpProb*CB60+DownProb*CB61)*StepDiscount)))</f>
        <v>0</v>
      </c>
      <c r="CB60" s="17">
        <f>IF(CB$3="","",IF(CB$3=Steps,MAX(IF(CallPut=1,UndTree!CB60-Strike,Strike-UndTree!CB60),0),MAX((2-AmEur)*IF(CallPut=1,UndTree!CB60-Strike,Strike-UndTree!CB60),(UpProb*CC60+DownProb*CC61)*StepDiscount)))</f>
        <v>0</v>
      </c>
      <c r="CC60" s="17">
        <f>IF(CC$3="","",IF(CC$3=Steps,MAX(IF(CallPut=1,UndTree!CC60-Strike,Strike-UndTree!CC60),0),MAX((2-AmEur)*IF(CallPut=1,UndTree!CC60-Strike,Strike-UndTree!CC60),(UpProb*CD60+DownProb*CD61)*StepDiscount)))</f>
        <v>0</v>
      </c>
      <c r="CD60" s="17">
        <f>IF(CD$3="","",IF(CD$3=Steps,MAX(IF(CallPut=1,UndTree!CD60-Strike,Strike-UndTree!CD60),0),MAX((2-AmEur)*IF(CallPut=1,UndTree!CD60-Strike,Strike-UndTree!CD60),(UpProb*CE60+DownProb*CE61)*StepDiscount)))</f>
        <v>0</v>
      </c>
      <c r="CE60" s="17">
        <f>IF(CE$3="","",IF(CE$3=Steps,MAX(IF(CallPut=1,UndTree!CE60-Strike,Strike-UndTree!CE60),0),MAX((2-AmEur)*IF(CallPut=1,UndTree!CE60-Strike,Strike-UndTree!CE60),(UpProb*CF60+DownProb*CF61)*StepDiscount)))</f>
        <v>0</v>
      </c>
      <c r="CF60" s="17">
        <f>IF(CF$3="","",IF(CF$3=Steps,MAX(IF(CallPut=1,UndTree!CF60-Strike,Strike-UndTree!CF60),0),MAX((2-AmEur)*IF(CallPut=1,UndTree!CF60-Strike,Strike-UndTree!CF60),(UpProb*CG60+DownProb*CG61)*StepDiscount)))</f>
        <v>0</v>
      </c>
      <c r="CG60" s="17">
        <f>IF(CG$3="","",IF(CG$3=Steps,MAX(IF(CallPut=1,UndTree!CG60-Strike,Strike-UndTree!CG60),0),MAX((2-AmEur)*IF(CallPut=1,UndTree!CG60-Strike,Strike-UndTree!CG60),(UpProb*CH60+DownProb*CH61)*StepDiscount)))</f>
        <v>0</v>
      </c>
      <c r="CH60" s="17">
        <f>IF(CH$3="","",IF(CH$3=Steps,MAX(IF(CallPut=1,UndTree!CH60-Strike,Strike-UndTree!CH60),0),MAX((2-AmEur)*IF(CallPut=1,UndTree!CH60-Strike,Strike-UndTree!CH60),(UpProb*CI60+DownProb*CI61)*StepDiscount)))</f>
        <v>0</v>
      </c>
      <c r="CI60" s="17">
        <f>IF(CI$3="","",IF(CI$3=Steps,MAX(IF(CallPut=1,UndTree!CI60-Strike,Strike-UndTree!CI60),0),MAX((2-AmEur)*IF(CallPut=1,UndTree!CI60-Strike,Strike-UndTree!CI60),(UpProb*CJ60+DownProb*CJ61)*StepDiscount)))</f>
        <v>0</v>
      </c>
      <c r="CJ60" s="17">
        <f>IF(CJ$3="","",IF(CJ$3=Steps,MAX(IF(CallPut=1,UndTree!CJ60-Strike,Strike-UndTree!CJ60),0),MAX((2-AmEur)*IF(CallPut=1,UndTree!CJ60-Strike,Strike-UndTree!CJ60),(UpProb*CK60+DownProb*CK61)*StepDiscount)))</f>
        <v>0</v>
      </c>
      <c r="CK60" s="17">
        <f>IF(CK$3="","",IF(CK$3=Steps,MAX(IF(CallPut=1,UndTree!CK60-Strike,Strike-UndTree!CK60),0),MAX((2-AmEur)*IF(CallPut=1,UndTree!CK60-Strike,Strike-UndTree!CK60),(UpProb*CL60+DownProb*CL61)*StepDiscount)))</f>
        <v>0</v>
      </c>
      <c r="CL60" s="17">
        <f>IF(CL$3="","",IF(CL$3=Steps,MAX(IF(CallPut=1,UndTree!CL60-Strike,Strike-UndTree!CL60),0),MAX((2-AmEur)*IF(CallPut=1,UndTree!CL60-Strike,Strike-UndTree!CL60),(UpProb*CM60+DownProb*CM61)*StepDiscount)))</f>
        <v>0</v>
      </c>
      <c r="CM60" s="17">
        <f>IF(CM$3="","",IF(CM$3=Steps,MAX(IF(CallPut=1,UndTree!CM60-Strike,Strike-UndTree!CM60),0),MAX((2-AmEur)*IF(CallPut=1,UndTree!CM60-Strike,Strike-UndTree!CM60),(UpProb*CN60+DownProb*CN61)*StepDiscount)))</f>
        <v>0</v>
      </c>
      <c r="CN60" s="17">
        <f>IF(CN$3="","",IF(CN$3=Steps,MAX(IF(CallPut=1,UndTree!CN60-Strike,Strike-UndTree!CN60),0),MAX((2-AmEur)*IF(CallPut=1,UndTree!CN60-Strike,Strike-UndTree!CN60),(UpProb*CO60+DownProb*CO61)*StepDiscount)))</f>
        <v>0</v>
      </c>
      <c r="CO60" s="17">
        <f>IF(CO$3="","",IF(CO$3=Steps,MAX(IF(CallPut=1,UndTree!CO60-Strike,Strike-UndTree!CO60),0),MAX((2-AmEur)*IF(CallPut=1,UndTree!CO60-Strike,Strike-UndTree!CO60),(UpProb*CP60+DownProb*CP61)*StepDiscount)))</f>
        <v>0</v>
      </c>
      <c r="CP60" s="17">
        <f>IF(CP$3="","",IF(CP$3=Steps,MAX(IF(CallPut=1,UndTree!CP60-Strike,Strike-UndTree!CP60),0),MAX((2-AmEur)*IF(CallPut=1,UndTree!CP60-Strike,Strike-UndTree!CP60),(UpProb*CQ60+DownProb*CQ61)*StepDiscount)))</f>
        <v>0</v>
      </c>
      <c r="CQ60" s="17">
        <f>IF(CQ$3="","",IF(CQ$3=Steps,MAX(IF(CallPut=1,UndTree!CQ60-Strike,Strike-UndTree!CQ60),0),MAX((2-AmEur)*IF(CallPut=1,UndTree!CQ60-Strike,Strike-UndTree!CQ60),(UpProb*CR60+DownProb*CR61)*StepDiscount)))</f>
        <v>0</v>
      </c>
      <c r="CR60" s="17">
        <f>IF(CR$3="","",IF(CR$3=Steps,MAX(IF(CallPut=1,UndTree!CR60-Strike,Strike-UndTree!CR60),0),MAX((2-AmEur)*IF(CallPut=1,UndTree!CR60-Strike,Strike-UndTree!CR60),(UpProb*CS60+DownProb*CS61)*StepDiscount)))</f>
        <v>0</v>
      </c>
      <c r="CS60" s="17">
        <f>IF(CS$3="","",IF(CS$3=Steps,MAX(IF(CallPut=1,UndTree!CS60-Strike,Strike-UndTree!CS60),0),MAX((2-AmEur)*IF(CallPut=1,UndTree!CS60-Strike,Strike-UndTree!CS60),(UpProb*CT60+DownProb*CT61)*StepDiscount)))</f>
        <v>0</v>
      </c>
      <c r="CT60" s="17">
        <f>IF(CT$3="","",IF(CT$3=Steps,MAX(IF(CallPut=1,UndTree!CT60-Strike,Strike-UndTree!CT60),0),MAX((2-AmEur)*IF(CallPut=1,UndTree!CT60-Strike,Strike-UndTree!CT60),(UpProb*CU60+DownProb*CU61)*StepDiscount)))</f>
        <v>0</v>
      </c>
      <c r="CU60" s="17">
        <f>IF(CU$3="","",IF(CU$3=Steps,MAX(IF(CallPut=1,UndTree!CU60-Strike,Strike-UndTree!CU60),0),MAX((2-AmEur)*IF(CallPut=1,UndTree!CU60-Strike,Strike-UndTree!CU60),(UpProb*CV60+DownProb*CV61)*StepDiscount)))</f>
        <v>0</v>
      </c>
      <c r="CV60" s="17">
        <f>IF(CV$3="","",IF(CV$3=Steps,MAX(IF(CallPut=1,UndTree!CV60-Strike,Strike-UndTree!CV60),0),MAX((2-AmEur)*IF(CallPut=1,UndTree!CV60-Strike,Strike-UndTree!CV60),(UpProb*CW60+DownProb*CW61)*StepDiscount)))</f>
        <v>0</v>
      </c>
      <c r="CW60" s="17">
        <f>IF(CW$3="","",IF(CW$3=Steps,MAX(IF(CallPut=1,UndTree!CW60-Strike,Strike-UndTree!CW60),0),MAX((2-AmEur)*IF(CallPut=1,UndTree!CW60-Strike,Strike-UndTree!CW60),(UpProb*CX60+DownProb*CX61)*StepDiscount)))</f>
        <v>0</v>
      </c>
      <c r="CX60" s="17">
        <f>IF(CX$3="","",IF(CX$3=Steps,MAX(IF(CallPut=1,UndTree!CX60-Strike,Strike-UndTree!CX60),0),MAX((2-AmEur)*IF(CallPut=1,UndTree!CX60-Strike,Strike-UndTree!CX60),(UpProb*CY60+DownProb*CY61)*StepDiscount)))</f>
        <v>0</v>
      </c>
      <c r="CY60" s="17">
        <f>IF(CY$3="","",IF(CY$3=Steps,MAX(IF(CallPut=1,UndTree!CY60-Strike,Strike-UndTree!CY60),0),MAX((2-AmEur)*IF(CallPut=1,UndTree!CY60-Strike,Strike-UndTree!CY60),(UpProb*CZ60+DownProb*CZ61)*StepDiscount)))</f>
        <v>0</v>
      </c>
      <c r="CZ60" s="17">
        <f>IF(CZ$3="","",IF(CZ$3=Steps,MAX(IF(CallPut=1,UndTree!CZ60-Strike,Strike-UndTree!CZ60),0),MAX((2-AmEur)*IF(CallPut=1,UndTree!CZ60-Strike,Strike-UndTree!CZ60),(UpProb*DA60+DownProb*DA61)*StepDiscount)))</f>
        <v>0</v>
      </c>
      <c r="DA60" s="17">
        <f>IF(DA$3="","",IF(DA$3=Steps,MAX(IF(CallPut=1,UndTree!DA60-Strike,Strike-UndTree!DA60),0),MAX((2-AmEur)*IF(CallPut=1,UndTree!DA60-Strike,Strike-UndTree!DA60),(UpProb*DB60+DownProb*DB61)*StepDiscount)))</f>
        <v>0</v>
      </c>
      <c r="DB60" s="17">
        <f>IF(DB$3="","",IF(DB$3=Steps,MAX(IF(CallPut=1,UndTree!DB60-Strike,Strike-UndTree!DB60),0),MAX((2-AmEur)*IF(CallPut=1,UndTree!DB60-Strike,Strike-UndTree!DB60),(UpProb*DC60+DownProb*DC61)*StepDiscount)))</f>
        <v>0</v>
      </c>
    </row>
    <row r="61" spans="1:106" x14ac:dyDescent="0.2">
      <c r="A61">
        <f>ExDivTree!A61</f>
        <v>8.7494768693060485E+28</v>
      </c>
      <c r="B61" s="71">
        <f>ExDivTree!B61</f>
        <v>3.4510601216655369E-2</v>
      </c>
      <c r="C61" s="71">
        <f>ExDivTree!C61</f>
        <v>3.3329920031033619E-2</v>
      </c>
      <c r="D61" s="177">
        <f>ExDivTree!D61</f>
        <v>57</v>
      </c>
      <c r="BJ61" s="17">
        <f>IF(BJ$3="","",IF(BJ$3=Steps,MAX(IF(CallPut=1,UndTree!BJ61-Strike,Strike-UndTree!BJ61),0),MAX((2-AmEur)*IF(CallPut=1,UndTree!BJ61-Strike,Strike-UndTree!BJ61),(UpProb*BK61+DownProb*BK62)*StepDiscount)))</f>
        <v>0</v>
      </c>
      <c r="BK61" s="17">
        <f>IF(BK$3="","",IF(BK$3=Steps,MAX(IF(CallPut=1,UndTree!BK61-Strike,Strike-UndTree!BK61),0),MAX((2-AmEur)*IF(CallPut=1,UndTree!BK61-Strike,Strike-UndTree!BK61),(UpProb*BL61+DownProb*BL62)*StepDiscount)))</f>
        <v>0</v>
      </c>
      <c r="BL61" s="17">
        <f>IF(BL$3="","",IF(BL$3=Steps,MAX(IF(CallPut=1,UndTree!BL61-Strike,Strike-UndTree!BL61),0),MAX((2-AmEur)*IF(CallPut=1,UndTree!BL61-Strike,Strike-UndTree!BL61),(UpProb*BM61+DownProb*BM62)*StepDiscount)))</f>
        <v>0</v>
      </c>
      <c r="BM61" s="17">
        <f>IF(BM$3="","",IF(BM$3=Steps,MAX(IF(CallPut=1,UndTree!BM61-Strike,Strike-UndTree!BM61),0),MAX((2-AmEur)*IF(CallPut=1,UndTree!BM61-Strike,Strike-UndTree!BM61),(UpProb*BN61+DownProb*BN62)*StepDiscount)))</f>
        <v>0</v>
      </c>
      <c r="BN61" s="17">
        <f>IF(BN$3="","",IF(BN$3=Steps,MAX(IF(CallPut=1,UndTree!BN61-Strike,Strike-UndTree!BN61),0),MAX((2-AmEur)*IF(CallPut=1,UndTree!BN61-Strike,Strike-UndTree!BN61),(UpProb*BO61+DownProb*BO62)*StepDiscount)))</f>
        <v>0</v>
      </c>
      <c r="BO61" s="17">
        <f>IF(BO$3="","",IF(BO$3=Steps,MAX(IF(CallPut=1,UndTree!BO61-Strike,Strike-UndTree!BO61),0),MAX((2-AmEur)*IF(CallPut=1,UndTree!BO61-Strike,Strike-UndTree!BO61),(UpProb*BP61+DownProb*BP62)*StepDiscount)))</f>
        <v>0</v>
      </c>
      <c r="BP61" s="17">
        <f>IF(BP$3="","",IF(BP$3=Steps,MAX(IF(CallPut=1,UndTree!BP61-Strike,Strike-UndTree!BP61),0),MAX((2-AmEur)*IF(CallPut=1,UndTree!BP61-Strike,Strike-UndTree!BP61),(UpProb*BQ61+DownProb*BQ62)*StepDiscount)))</f>
        <v>0</v>
      </c>
      <c r="BQ61" s="17">
        <f>IF(BQ$3="","",IF(BQ$3=Steps,MAX(IF(CallPut=1,UndTree!BQ61-Strike,Strike-UndTree!BQ61),0),MAX((2-AmEur)*IF(CallPut=1,UndTree!BQ61-Strike,Strike-UndTree!BQ61),(UpProb*BR61+DownProb*BR62)*StepDiscount)))</f>
        <v>0</v>
      </c>
      <c r="BR61" s="17">
        <f>IF(BR$3="","",IF(BR$3=Steps,MAX(IF(CallPut=1,UndTree!BR61-Strike,Strike-UndTree!BR61),0),MAX((2-AmEur)*IF(CallPut=1,UndTree!BR61-Strike,Strike-UndTree!BR61),(UpProb*BS61+DownProb*BS62)*StepDiscount)))</f>
        <v>0</v>
      </c>
      <c r="BS61" s="17">
        <f>IF(BS$3="","",IF(BS$3=Steps,MAX(IF(CallPut=1,UndTree!BS61-Strike,Strike-UndTree!BS61),0),MAX((2-AmEur)*IF(CallPut=1,UndTree!BS61-Strike,Strike-UndTree!BS61),(UpProb*BT61+DownProb*BT62)*StepDiscount)))</f>
        <v>0</v>
      </c>
      <c r="BT61" s="17">
        <f>IF(BT$3="","",IF(BT$3=Steps,MAX(IF(CallPut=1,UndTree!BT61-Strike,Strike-UndTree!BT61),0),MAX((2-AmEur)*IF(CallPut=1,UndTree!BT61-Strike,Strike-UndTree!BT61),(UpProb*BU61+DownProb*BU62)*StepDiscount)))</f>
        <v>0</v>
      </c>
      <c r="BU61" s="17">
        <f>IF(BU$3="","",IF(BU$3=Steps,MAX(IF(CallPut=1,UndTree!BU61-Strike,Strike-UndTree!BU61),0),MAX((2-AmEur)*IF(CallPut=1,UndTree!BU61-Strike,Strike-UndTree!BU61),(UpProb*BV61+DownProb*BV62)*StepDiscount)))</f>
        <v>0</v>
      </c>
      <c r="BV61" s="17">
        <f>IF(BV$3="","",IF(BV$3=Steps,MAX(IF(CallPut=1,UndTree!BV61-Strike,Strike-UndTree!BV61),0),MAX((2-AmEur)*IF(CallPut=1,UndTree!BV61-Strike,Strike-UndTree!BV61),(UpProb*BW61+DownProb*BW62)*StepDiscount)))</f>
        <v>0</v>
      </c>
      <c r="BW61" s="17">
        <f>IF(BW$3="","",IF(BW$3=Steps,MAX(IF(CallPut=1,UndTree!BW61-Strike,Strike-UndTree!BW61),0),MAX((2-AmEur)*IF(CallPut=1,UndTree!BW61-Strike,Strike-UndTree!BW61),(UpProb*BX61+DownProb*BX62)*StepDiscount)))</f>
        <v>0</v>
      </c>
      <c r="BX61" s="17">
        <f>IF(BX$3="","",IF(BX$3=Steps,MAX(IF(CallPut=1,UndTree!BX61-Strike,Strike-UndTree!BX61),0),MAX((2-AmEur)*IF(CallPut=1,UndTree!BX61-Strike,Strike-UndTree!BX61),(UpProb*BY61+DownProb*BY62)*StepDiscount)))</f>
        <v>0</v>
      </c>
      <c r="BY61" s="17">
        <f>IF(BY$3="","",IF(BY$3=Steps,MAX(IF(CallPut=1,UndTree!BY61-Strike,Strike-UndTree!BY61),0),MAX((2-AmEur)*IF(CallPut=1,UndTree!BY61-Strike,Strike-UndTree!BY61),(UpProb*BZ61+DownProb*BZ62)*StepDiscount)))</f>
        <v>0</v>
      </c>
      <c r="BZ61" s="17">
        <f>IF(BZ$3="","",IF(BZ$3=Steps,MAX(IF(CallPut=1,UndTree!BZ61-Strike,Strike-UndTree!BZ61),0),MAX((2-AmEur)*IF(CallPut=1,UndTree!BZ61-Strike,Strike-UndTree!BZ61),(UpProb*CA61+DownProb*CA62)*StepDiscount)))</f>
        <v>0</v>
      </c>
      <c r="CA61" s="17">
        <f>IF(CA$3="","",IF(CA$3=Steps,MAX(IF(CallPut=1,UndTree!CA61-Strike,Strike-UndTree!CA61),0),MAX((2-AmEur)*IF(CallPut=1,UndTree!CA61-Strike,Strike-UndTree!CA61),(UpProb*CB61+DownProb*CB62)*StepDiscount)))</f>
        <v>0</v>
      </c>
      <c r="CB61" s="17">
        <f>IF(CB$3="","",IF(CB$3=Steps,MAX(IF(CallPut=1,UndTree!CB61-Strike,Strike-UndTree!CB61),0),MAX((2-AmEur)*IF(CallPut=1,UndTree!CB61-Strike,Strike-UndTree!CB61),(UpProb*CC61+DownProb*CC62)*StepDiscount)))</f>
        <v>0</v>
      </c>
      <c r="CC61" s="17">
        <f>IF(CC$3="","",IF(CC$3=Steps,MAX(IF(CallPut=1,UndTree!CC61-Strike,Strike-UndTree!CC61),0),MAX((2-AmEur)*IF(CallPut=1,UndTree!CC61-Strike,Strike-UndTree!CC61),(UpProb*CD61+DownProb*CD62)*StepDiscount)))</f>
        <v>0</v>
      </c>
      <c r="CD61" s="17">
        <f>IF(CD$3="","",IF(CD$3=Steps,MAX(IF(CallPut=1,UndTree!CD61-Strike,Strike-UndTree!CD61),0),MAX((2-AmEur)*IF(CallPut=1,UndTree!CD61-Strike,Strike-UndTree!CD61),(UpProb*CE61+DownProb*CE62)*StepDiscount)))</f>
        <v>0</v>
      </c>
      <c r="CE61" s="17">
        <f>IF(CE$3="","",IF(CE$3=Steps,MAX(IF(CallPut=1,UndTree!CE61-Strike,Strike-UndTree!CE61),0),MAX((2-AmEur)*IF(CallPut=1,UndTree!CE61-Strike,Strike-UndTree!CE61),(UpProb*CF61+DownProb*CF62)*StepDiscount)))</f>
        <v>0</v>
      </c>
      <c r="CF61" s="17">
        <f>IF(CF$3="","",IF(CF$3=Steps,MAX(IF(CallPut=1,UndTree!CF61-Strike,Strike-UndTree!CF61),0),MAX((2-AmEur)*IF(CallPut=1,UndTree!CF61-Strike,Strike-UndTree!CF61),(UpProb*CG61+DownProb*CG62)*StepDiscount)))</f>
        <v>0</v>
      </c>
      <c r="CG61" s="17">
        <f>IF(CG$3="","",IF(CG$3=Steps,MAX(IF(CallPut=1,UndTree!CG61-Strike,Strike-UndTree!CG61),0),MAX((2-AmEur)*IF(CallPut=1,UndTree!CG61-Strike,Strike-UndTree!CG61),(UpProb*CH61+DownProb*CH62)*StepDiscount)))</f>
        <v>0</v>
      </c>
      <c r="CH61" s="17">
        <f>IF(CH$3="","",IF(CH$3=Steps,MAX(IF(CallPut=1,UndTree!CH61-Strike,Strike-UndTree!CH61),0),MAX((2-AmEur)*IF(CallPut=1,UndTree!CH61-Strike,Strike-UndTree!CH61),(UpProb*CI61+DownProb*CI62)*StepDiscount)))</f>
        <v>0</v>
      </c>
      <c r="CI61" s="17">
        <f>IF(CI$3="","",IF(CI$3=Steps,MAX(IF(CallPut=1,UndTree!CI61-Strike,Strike-UndTree!CI61),0),MAX((2-AmEur)*IF(CallPut=1,UndTree!CI61-Strike,Strike-UndTree!CI61),(UpProb*CJ61+DownProb*CJ62)*StepDiscount)))</f>
        <v>0</v>
      </c>
      <c r="CJ61" s="17">
        <f>IF(CJ$3="","",IF(CJ$3=Steps,MAX(IF(CallPut=1,UndTree!CJ61-Strike,Strike-UndTree!CJ61),0),MAX((2-AmEur)*IF(CallPut=1,UndTree!CJ61-Strike,Strike-UndTree!CJ61),(UpProb*CK61+DownProb*CK62)*StepDiscount)))</f>
        <v>0</v>
      </c>
      <c r="CK61" s="17">
        <f>IF(CK$3="","",IF(CK$3=Steps,MAX(IF(CallPut=1,UndTree!CK61-Strike,Strike-UndTree!CK61),0),MAX((2-AmEur)*IF(CallPut=1,UndTree!CK61-Strike,Strike-UndTree!CK61),(UpProb*CL61+DownProb*CL62)*StepDiscount)))</f>
        <v>0</v>
      </c>
      <c r="CL61" s="17">
        <f>IF(CL$3="","",IF(CL$3=Steps,MAX(IF(CallPut=1,UndTree!CL61-Strike,Strike-UndTree!CL61),0),MAX((2-AmEur)*IF(CallPut=1,UndTree!CL61-Strike,Strike-UndTree!CL61),(UpProb*CM61+DownProb*CM62)*StepDiscount)))</f>
        <v>0</v>
      </c>
      <c r="CM61" s="17">
        <f>IF(CM$3="","",IF(CM$3=Steps,MAX(IF(CallPut=1,UndTree!CM61-Strike,Strike-UndTree!CM61),0),MAX((2-AmEur)*IF(CallPut=1,UndTree!CM61-Strike,Strike-UndTree!CM61),(UpProb*CN61+DownProb*CN62)*StepDiscount)))</f>
        <v>0</v>
      </c>
      <c r="CN61" s="17">
        <f>IF(CN$3="","",IF(CN$3=Steps,MAX(IF(CallPut=1,UndTree!CN61-Strike,Strike-UndTree!CN61),0),MAX((2-AmEur)*IF(CallPut=1,UndTree!CN61-Strike,Strike-UndTree!CN61),(UpProb*CO61+DownProb*CO62)*StepDiscount)))</f>
        <v>0</v>
      </c>
      <c r="CO61" s="17">
        <f>IF(CO$3="","",IF(CO$3=Steps,MAX(IF(CallPut=1,UndTree!CO61-Strike,Strike-UndTree!CO61),0),MAX((2-AmEur)*IF(CallPut=1,UndTree!CO61-Strike,Strike-UndTree!CO61),(UpProb*CP61+DownProb*CP62)*StepDiscount)))</f>
        <v>0</v>
      </c>
      <c r="CP61" s="17">
        <f>IF(CP$3="","",IF(CP$3=Steps,MAX(IF(CallPut=1,UndTree!CP61-Strike,Strike-UndTree!CP61),0),MAX((2-AmEur)*IF(CallPut=1,UndTree!CP61-Strike,Strike-UndTree!CP61),(UpProb*CQ61+DownProb*CQ62)*StepDiscount)))</f>
        <v>0</v>
      </c>
      <c r="CQ61" s="17">
        <f>IF(CQ$3="","",IF(CQ$3=Steps,MAX(IF(CallPut=1,UndTree!CQ61-Strike,Strike-UndTree!CQ61),0),MAX((2-AmEur)*IF(CallPut=1,UndTree!CQ61-Strike,Strike-UndTree!CQ61),(UpProb*CR61+DownProb*CR62)*StepDiscount)))</f>
        <v>0</v>
      </c>
      <c r="CR61" s="17">
        <f>IF(CR$3="","",IF(CR$3=Steps,MAX(IF(CallPut=1,UndTree!CR61-Strike,Strike-UndTree!CR61),0),MAX((2-AmEur)*IF(CallPut=1,UndTree!CR61-Strike,Strike-UndTree!CR61),(UpProb*CS61+DownProb*CS62)*StepDiscount)))</f>
        <v>0</v>
      </c>
      <c r="CS61" s="17">
        <f>IF(CS$3="","",IF(CS$3=Steps,MAX(IF(CallPut=1,UndTree!CS61-Strike,Strike-UndTree!CS61),0),MAX((2-AmEur)*IF(CallPut=1,UndTree!CS61-Strike,Strike-UndTree!CS61),(UpProb*CT61+DownProb*CT62)*StepDiscount)))</f>
        <v>0</v>
      </c>
      <c r="CT61" s="17">
        <f>IF(CT$3="","",IF(CT$3=Steps,MAX(IF(CallPut=1,UndTree!CT61-Strike,Strike-UndTree!CT61),0),MAX((2-AmEur)*IF(CallPut=1,UndTree!CT61-Strike,Strike-UndTree!CT61),(UpProb*CU61+DownProb*CU62)*StepDiscount)))</f>
        <v>0</v>
      </c>
      <c r="CU61" s="17">
        <f>IF(CU$3="","",IF(CU$3=Steps,MAX(IF(CallPut=1,UndTree!CU61-Strike,Strike-UndTree!CU61),0),MAX((2-AmEur)*IF(CallPut=1,UndTree!CU61-Strike,Strike-UndTree!CU61),(UpProb*CV61+DownProb*CV62)*StepDiscount)))</f>
        <v>0</v>
      </c>
      <c r="CV61" s="17">
        <f>IF(CV$3="","",IF(CV$3=Steps,MAX(IF(CallPut=1,UndTree!CV61-Strike,Strike-UndTree!CV61),0),MAX((2-AmEur)*IF(CallPut=1,UndTree!CV61-Strike,Strike-UndTree!CV61),(UpProb*CW61+DownProb*CW62)*StepDiscount)))</f>
        <v>0</v>
      </c>
      <c r="CW61" s="17">
        <f>IF(CW$3="","",IF(CW$3=Steps,MAX(IF(CallPut=1,UndTree!CW61-Strike,Strike-UndTree!CW61),0),MAX((2-AmEur)*IF(CallPut=1,UndTree!CW61-Strike,Strike-UndTree!CW61),(UpProb*CX61+DownProb*CX62)*StepDiscount)))</f>
        <v>0</v>
      </c>
      <c r="CX61" s="17">
        <f>IF(CX$3="","",IF(CX$3=Steps,MAX(IF(CallPut=1,UndTree!CX61-Strike,Strike-UndTree!CX61),0),MAX((2-AmEur)*IF(CallPut=1,UndTree!CX61-Strike,Strike-UndTree!CX61),(UpProb*CY61+DownProb*CY62)*StepDiscount)))</f>
        <v>0</v>
      </c>
      <c r="CY61" s="17">
        <f>IF(CY$3="","",IF(CY$3=Steps,MAX(IF(CallPut=1,UndTree!CY61-Strike,Strike-UndTree!CY61),0),MAX((2-AmEur)*IF(CallPut=1,UndTree!CY61-Strike,Strike-UndTree!CY61),(UpProb*CZ61+DownProb*CZ62)*StepDiscount)))</f>
        <v>0</v>
      </c>
      <c r="CZ61" s="17">
        <f>IF(CZ$3="","",IF(CZ$3=Steps,MAX(IF(CallPut=1,UndTree!CZ61-Strike,Strike-UndTree!CZ61),0),MAX((2-AmEur)*IF(CallPut=1,UndTree!CZ61-Strike,Strike-UndTree!CZ61),(UpProb*DA61+DownProb*DA62)*StepDiscount)))</f>
        <v>0</v>
      </c>
      <c r="DA61" s="17">
        <f>IF(DA$3="","",IF(DA$3=Steps,MAX(IF(CallPut=1,UndTree!DA61-Strike,Strike-UndTree!DA61),0),MAX((2-AmEur)*IF(CallPut=1,UndTree!DA61-Strike,Strike-UndTree!DA61),(UpProb*DB61+DownProb*DB62)*StepDiscount)))</f>
        <v>0</v>
      </c>
      <c r="DB61" s="17">
        <f>IF(DB$3="","",IF(DB$3=Steps,MAX(IF(CallPut=1,UndTree!DB61-Strike,Strike-UndTree!DB61),0),MAX((2-AmEur)*IF(CallPut=1,UndTree!DB61-Strike,Strike-UndTree!DB61),(UpProb*DC61+DownProb*DC62)*StepDiscount)))</f>
        <v>0</v>
      </c>
    </row>
    <row r="62" spans="1:106" x14ac:dyDescent="0.2">
      <c r="A62">
        <f>ExDivTree!A62</f>
        <v>6.63753417671493E+28</v>
      </c>
      <c r="B62" s="71">
        <f>ExDivTree!B62</f>
        <v>2.6180456095393715E-2</v>
      </c>
      <c r="C62" s="71">
        <f>ExDivTree!C62</f>
        <v>2.5151087776509578E-2</v>
      </c>
      <c r="D62" s="177">
        <f>ExDivTree!D62</f>
        <v>58</v>
      </c>
      <c r="BK62" s="17">
        <f>IF(BK$3="","",IF(BK$3=Steps,MAX(IF(CallPut=1,UndTree!BK62-Strike,Strike-UndTree!BK62),0),MAX((2-AmEur)*IF(CallPut=1,UndTree!BK62-Strike,Strike-UndTree!BK62),(UpProb*BL62+DownProb*BL63)*StepDiscount)))</f>
        <v>0</v>
      </c>
      <c r="BL62" s="17">
        <f>IF(BL$3="","",IF(BL$3=Steps,MAX(IF(CallPut=1,UndTree!BL62-Strike,Strike-UndTree!BL62),0),MAX((2-AmEur)*IF(CallPut=1,UndTree!BL62-Strike,Strike-UndTree!BL62),(UpProb*BM62+DownProb*BM63)*StepDiscount)))</f>
        <v>0</v>
      </c>
      <c r="BM62" s="17">
        <f>IF(BM$3="","",IF(BM$3=Steps,MAX(IF(CallPut=1,UndTree!BM62-Strike,Strike-UndTree!BM62),0),MAX((2-AmEur)*IF(CallPut=1,UndTree!BM62-Strike,Strike-UndTree!BM62),(UpProb*BN62+DownProb*BN63)*StepDiscount)))</f>
        <v>0</v>
      </c>
      <c r="BN62" s="17">
        <f>IF(BN$3="","",IF(BN$3=Steps,MAX(IF(CallPut=1,UndTree!BN62-Strike,Strike-UndTree!BN62),0),MAX((2-AmEur)*IF(CallPut=1,UndTree!BN62-Strike,Strike-UndTree!BN62),(UpProb*BO62+DownProb*BO63)*StepDiscount)))</f>
        <v>0</v>
      </c>
      <c r="BO62" s="17">
        <f>IF(BO$3="","",IF(BO$3=Steps,MAX(IF(CallPut=1,UndTree!BO62-Strike,Strike-UndTree!BO62),0),MAX((2-AmEur)*IF(CallPut=1,UndTree!BO62-Strike,Strike-UndTree!BO62),(UpProb*BP62+DownProb*BP63)*StepDiscount)))</f>
        <v>0</v>
      </c>
      <c r="BP62" s="17">
        <f>IF(BP$3="","",IF(BP$3=Steps,MAX(IF(CallPut=1,UndTree!BP62-Strike,Strike-UndTree!BP62),0),MAX((2-AmEur)*IF(CallPut=1,UndTree!BP62-Strike,Strike-UndTree!BP62),(UpProb*BQ62+DownProb*BQ63)*StepDiscount)))</f>
        <v>0</v>
      </c>
      <c r="BQ62" s="17">
        <f>IF(BQ$3="","",IF(BQ$3=Steps,MAX(IF(CallPut=1,UndTree!BQ62-Strike,Strike-UndTree!BQ62),0),MAX((2-AmEur)*IF(CallPut=1,UndTree!BQ62-Strike,Strike-UndTree!BQ62),(UpProb*BR62+DownProb*BR63)*StepDiscount)))</f>
        <v>0</v>
      </c>
      <c r="BR62" s="17">
        <f>IF(BR$3="","",IF(BR$3=Steps,MAX(IF(CallPut=1,UndTree!BR62-Strike,Strike-UndTree!BR62),0),MAX((2-AmEur)*IF(CallPut=1,UndTree!BR62-Strike,Strike-UndTree!BR62),(UpProb*BS62+DownProb*BS63)*StepDiscount)))</f>
        <v>0</v>
      </c>
      <c r="BS62" s="17">
        <f>IF(BS$3="","",IF(BS$3=Steps,MAX(IF(CallPut=1,UndTree!BS62-Strike,Strike-UndTree!BS62),0),MAX((2-AmEur)*IF(CallPut=1,UndTree!BS62-Strike,Strike-UndTree!BS62),(UpProb*BT62+DownProb*BT63)*StepDiscount)))</f>
        <v>0</v>
      </c>
      <c r="BT62" s="17">
        <f>IF(BT$3="","",IF(BT$3=Steps,MAX(IF(CallPut=1,UndTree!BT62-Strike,Strike-UndTree!BT62),0),MAX((2-AmEur)*IF(CallPut=1,UndTree!BT62-Strike,Strike-UndTree!BT62),(UpProb*BU62+DownProb*BU63)*StepDiscount)))</f>
        <v>0</v>
      </c>
      <c r="BU62" s="17">
        <f>IF(BU$3="","",IF(BU$3=Steps,MAX(IF(CallPut=1,UndTree!BU62-Strike,Strike-UndTree!BU62),0),MAX((2-AmEur)*IF(CallPut=1,UndTree!BU62-Strike,Strike-UndTree!BU62),(UpProb*BV62+DownProb*BV63)*StepDiscount)))</f>
        <v>0</v>
      </c>
      <c r="BV62" s="17">
        <f>IF(BV$3="","",IF(BV$3=Steps,MAX(IF(CallPut=1,UndTree!BV62-Strike,Strike-UndTree!BV62),0),MAX((2-AmEur)*IF(CallPut=1,UndTree!BV62-Strike,Strike-UndTree!BV62),(UpProb*BW62+DownProb*BW63)*StepDiscount)))</f>
        <v>0</v>
      </c>
      <c r="BW62" s="17">
        <f>IF(BW$3="","",IF(BW$3=Steps,MAX(IF(CallPut=1,UndTree!BW62-Strike,Strike-UndTree!BW62),0),MAX((2-AmEur)*IF(CallPut=1,UndTree!BW62-Strike,Strike-UndTree!BW62),(UpProb*BX62+DownProb*BX63)*StepDiscount)))</f>
        <v>0</v>
      </c>
      <c r="BX62" s="17">
        <f>IF(BX$3="","",IF(BX$3=Steps,MAX(IF(CallPut=1,UndTree!BX62-Strike,Strike-UndTree!BX62),0),MAX((2-AmEur)*IF(CallPut=1,UndTree!BX62-Strike,Strike-UndTree!BX62),(UpProb*BY62+DownProb*BY63)*StepDiscount)))</f>
        <v>0</v>
      </c>
      <c r="BY62" s="17">
        <f>IF(BY$3="","",IF(BY$3=Steps,MAX(IF(CallPut=1,UndTree!BY62-Strike,Strike-UndTree!BY62),0),MAX((2-AmEur)*IF(CallPut=1,UndTree!BY62-Strike,Strike-UndTree!BY62),(UpProb*BZ62+DownProb*BZ63)*StepDiscount)))</f>
        <v>0</v>
      </c>
      <c r="BZ62" s="17">
        <f>IF(BZ$3="","",IF(BZ$3=Steps,MAX(IF(CallPut=1,UndTree!BZ62-Strike,Strike-UndTree!BZ62),0),MAX((2-AmEur)*IF(CallPut=1,UndTree!BZ62-Strike,Strike-UndTree!BZ62),(UpProb*CA62+DownProb*CA63)*StepDiscount)))</f>
        <v>0</v>
      </c>
      <c r="CA62" s="17">
        <f>IF(CA$3="","",IF(CA$3=Steps,MAX(IF(CallPut=1,UndTree!CA62-Strike,Strike-UndTree!CA62),0),MAX((2-AmEur)*IF(CallPut=1,UndTree!CA62-Strike,Strike-UndTree!CA62),(UpProb*CB62+DownProb*CB63)*StepDiscount)))</f>
        <v>0</v>
      </c>
      <c r="CB62" s="17">
        <f>IF(CB$3="","",IF(CB$3=Steps,MAX(IF(CallPut=1,UndTree!CB62-Strike,Strike-UndTree!CB62),0),MAX((2-AmEur)*IF(CallPut=1,UndTree!CB62-Strike,Strike-UndTree!CB62),(UpProb*CC62+DownProb*CC63)*StepDiscount)))</f>
        <v>0</v>
      </c>
      <c r="CC62" s="17">
        <f>IF(CC$3="","",IF(CC$3=Steps,MAX(IF(CallPut=1,UndTree!CC62-Strike,Strike-UndTree!CC62),0),MAX((2-AmEur)*IF(CallPut=1,UndTree!CC62-Strike,Strike-UndTree!CC62),(UpProb*CD62+DownProb*CD63)*StepDiscount)))</f>
        <v>0</v>
      </c>
      <c r="CD62" s="17">
        <f>IF(CD$3="","",IF(CD$3=Steps,MAX(IF(CallPut=1,UndTree!CD62-Strike,Strike-UndTree!CD62),0),MAX((2-AmEur)*IF(CallPut=1,UndTree!CD62-Strike,Strike-UndTree!CD62),(UpProb*CE62+DownProb*CE63)*StepDiscount)))</f>
        <v>0</v>
      </c>
      <c r="CE62" s="17">
        <f>IF(CE$3="","",IF(CE$3=Steps,MAX(IF(CallPut=1,UndTree!CE62-Strike,Strike-UndTree!CE62),0),MAX((2-AmEur)*IF(CallPut=1,UndTree!CE62-Strike,Strike-UndTree!CE62),(UpProb*CF62+DownProb*CF63)*StepDiscount)))</f>
        <v>0</v>
      </c>
      <c r="CF62" s="17">
        <f>IF(CF$3="","",IF(CF$3=Steps,MAX(IF(CallPut=1,UndTree!CF62-Strike,Strike-UndTree!CF62),0),MAX((2-AmEur)*IF(CallPut=1,UndTree!CF62-Strike,Strike-UndTree!CF62),(UpProb*CG62+DownProb*CG63)*StepDiscount)))</f>
        <v>0</v>
      </c>
      <c r="CG62" s="17">
        <f>IF(CG$3="","",IF(CG$3=Steps,MAX(IF(CallPut=1,UndTree!CG62-Strike,Strike-UndTree!CG62),0),MAX((2-AmEur)*IF(CallPut=1,UndTree!CG62-Strike,Strike-UndTree!CG62),(UpProb*CH62+DownProb*CH63)*StepDiscount)))</f>
        <v>0</v>
      </c>
      <c r="CH62" s="17">
        <f>IF(CH$3="","",IF(CH$3=Steps,MAX(IF(CallPut=1,UndTree!CH62-Strike,Strike-UndTree!CH62),0),MAX((2-AmEur)*IF(CallPut=1,UndTree!CH62-Strike,Strike-UndTree!CH62),(UpProb*CI62+DownProb*CI63)*StepDiscount)))</f>
        <v>0</v>
      </c>
      <c r="CI62" s="17">
        <f>IF(CI$3="","",IF(CI$3=Steps,MAX(IF(CallPut=1,UndTree!CI62-Strike,Strike-UndTree!CI62),0),MAX((2-AmEur)*IF(CallPut=1,UndTree!CI62-Strike,Strike-UndTree!CI62),(UpProb*CJ62+DownProb*CJ63)*StepDiscount)))</f>
        <v>0</v>
      </c>
      <c r="CJ62" s="17">
        <f>IF(CJ$3="","",IF(CJ$3=Steps,MAX(IF(CallPut=1,UndTree!CJ62-Strike,Strike-UndTree!CJ62),0),MAX((2-AmEur)*IF(CallPut=1,UndTree!CJ62-Strike,Strike-UndTree!CJ62),(UpProb*CK62+DownProb*CK63)*StepDiscount)))</f>
        <v>0</v>
      </c>
      <c r="CK62" s="17">
        <f>IF(CK$3="","",IF(CK$3=Steps,MAX(IF(CallPut=1,UndTree!CK62-Strike,Strike-UndTree!CK62),0),MAX((2-AmEur)*IF(CallPut=1,UndTree!CK62-Strike,Strike-UndTree!CK62),(UpProb*CL62+DownProb*CL63)*StepDiscount)))</f>
        <v>0</v>
      </c>
      <c r="CL62" s="17">
        <f>IF(CL$3="","",IF(CL$3=Steps,MAX(IF(CallPut=1,UndTree!CL62-Strike,Strike-UndTree!CL62),0),MAX((2-AmEur)*IF(CallPut=1,UndTree!CL62-Strike,Strike-UndTree!CL62),(UpProb*CM62+DownProb*CM63)*StepDiscount)))</f>
        <v>0</v>
      </c>
      <c r="CM62" s="17">
        <f>IF(CM$3="","",IF(CM$3=Steps,MAX(IF(CallPut=1,UndTree!CM62-Strike,Strike-UndTree!CM62),0),MAX((2-AmEur)*IF(CallPut=1,UndTree!CM62-Strike,Strike-UndTree!CM62),(UpProb*CN62+DownProb*CN63)*StepDiscount)))</f>
        <v>0</v>
      </c>
      <c r="CN62" s="17">
        <f>IF(CN$3="","",IF(CN$3=Steps,MAX(IF(CallPut=1,UndTree!CN62-Strike,Strike-UndTree!CN62),0),MAX((2-AmEur)*IF(CallPut=1,UndTree!CN62-Strike,Strike-UndTree!CN62),(UpProb*CO62+DownProb*CO63)*StepDiscount)))</f>
        <v>0</v>
      </c>
      <c r="CO62" s="17">
        <f>IF(CO$3="","",IF(CO$3=Steps,MAX(IF(CallPut=1,UndTree!CO62-Strike,Strike-UndTree!CO62),0),MAX((2-AmEur)*IF(CallPut=1,UndTree!CO62-Strike,Strike-UndTree!CO62),(UpProb*CP62+DownProb*CP63)*StepDiscount)))</f>
        <v>0</v>
      </c>
      <c r="CP62" s="17">
        <f>IF(CP$3="","",IF(CP$3=Steps,MAX(IF(CallPut=1,UndTree!CP62-Strike,Strike-UndTree!CP62),0),MAX((2-AmEur)*IF(CallPut=1,UndTree!CP62-Strike,Strike-UndTree!CP62),(UpProb*CQ62+DownProb*CQ63)*StepDiscount)))</f>
        <v>0</v>
      </c>
      <c r="CQ62" s="17">
        <f>IF(CQ$3="","",IF(CQ$3=Steps,MAX(IF(CallPut=1,UndTree!CQ62-Strike,Strike-UndTree!CQ62),0),MAX((2-AmEur)*IF(CallPut=1,UndTree!CQ62-Strike,Strike-UndTree!CQ62),(UpProb*CR62+DownProb*CR63)*StepDiscount)))</f>
        <v>0</v>
      </c>
      <c r="CR62" s="17">
        <f>IF(CR$3="","",IF(CR$3=Steps,MAX(IF(CallPut=1,UndTree!CR62-Strike,Strike-UndTree!CR62),0),MAX((2-AmEur)*IF(CallPut=1,UndTree!CR62-Strike,Strike-UndTree!CR62),(UpProb*CS62+DownProb*CS63)*StepDiscount)))</f>
        <v>0</v>
      </c>
      <c r="CS62" s="17">
        <f>IF(CS$3="","",IF(CS$3=Steps,MAX(IF(CallPut=1,UndTree!CS62-Strike,Strike-UndTree!CS62),0),MAX((2-AmEur)*IF(CallPut=1,UndTree!CS62-Strike,Strike-UndTree!CS62),(UpProb*CT62+DownProb*CT63)*StepDiscount)))</f>
        <v>0</v>
      </c>
      <c r="CT62" s="17">
        <f>IF(CT$3="","",IF(CT$3=Steps,MAX(IF(CallPut=1,UndTree!CT62-Strike,Strike-UndTree!CT62),0),MAX((2-AmEur)*IF(CallPut=1,UndTree!CT62-Strike,Strike-UndTree!CT62),(UpProb*CU62+DownProb*CU63)*StepDiscount)))</f>
        <v>0</v>
      </c>
      <c r="CU62" s="17">
        <f>IF(CU$3="","",IF(CU$3=Steps,MAX(IF(CallPut=1,UndTree!CU62-Strike,Strike-UndTree!CU62),0),MAX((2-AmEur)*IF(CallPut=1,UndTree!CU62-Strike,Strike-UndTree!CU62),(UpProb*CV62+DownProb*CV63)*StepDiscount)))</f>
        <v>0</v>
      </c>
      <c r="CV62" s="17">
        <f>IF(CV$3="","",IF(CV$3=Steps,MAX(IF(CallPut=1,UndTree!CV62-Strike,Strike-UndTree!CV62),0),MAX((2-AmEur)*IF(CallPut=1,UndTree!CV62-Strike,Strike-UndTree!CV62),(UpProb*CW62+DownProb*CW63)*StepDiscount)))</f>
        <v>0</v>
      </c>
      <c r="CW62" s="17">
        <f>IF(CW$3="","",IF(CW$3=Steps,MAX(IF(CallPut=1,UndTree!CW62-Strike,Strike-UndTree!CW62),0),MAX((2-AmEur)*IF(CallPut=1,UndTree!CW62-Strike,Strike-UndTree!CW62),(UpProb*CX62+DownProb*CX63)*StepDiscount)))</f>
        <v>0</v>
      </c>
      <c r="CX62" s="17">
        <f>IF(CX$3="","",IF(CX$3=Steps,MAX(IF(CallPut=1,UndTree!CX62-Strike,Strike-UndTree!CX62),0),MAX((2-AmEur)*IF(CallPut=1,UndTree!CX62-Strike,Strike-UndTree!CX62),(UpProb*CY62+DownProb*CY63)*StepDiscount)))</f>
        <v>0</v>
      </c>
      <c r="CY62" s="17">
        <f>IF(CY$3="","",IF(CY$3=Steps,MAX(IF(CallPut=1,UndTree!CY62-Strike,Strike-UndTree!CY62),0),MAX((2-AmEur)*IF(CallPut=1,UndTree!CY62-Strike,Strike-UndTree!CY62),(UpProb*CZ62+DownProb*CZ63)*StepDiscount)))</f>
        <v>0</v>
      </c>
      <c r="CZ62" s="17">
        <f>IF(CZ$3="","",IF(CZ$3=Steps,MAX(IF(CallPut=1,UndTree!CZ62-Strike,Strike-UndTree!CZ62),0),MAX((2-AmEur)*IF(CallPut=1,UndTree!CZ62-Strike,Strike-UndTree!CZ62),(UpProb*DA62+DownProb*DA63)*StepDiscount)))</f>
        <v>0</v>
      </c>
      <c r="DA62" s="17">
        <f>IF(DA$3="","",IF(DA$3=Steps,MAX(IF(CallPut=1,UndTree!DA62-Strike,Strike-UndTree!DA62),0),MAX((2-AmEur)*IF(CallPut=1,UndTree!DA62-Strike,Strike-UndTree!DA62),(UpProb*DB62+DownProb*DB63)*StepDiscount)))</f>
        <v>0</v>
      </c>
      <c r="DB62" s="17">
        <f>IF(DB$3="","",IF(DB$3=Steps,MAX(IF(CallPut=1,UndTree!DB62-Strike,Strike-UndTree!DB62),0),MAX((2-AmEur)*IF(CallPut=1,UndTree!DB62-Strike,Strike-UndTree!DB62),(UpProb*DC62+DownProb*DC63)*StepDiscount)))</f>
        <v>0</v>
      </c>
    </row>
    <row r="63" spans="1:106" x14ac:dyDescent="0.2">
      <c r="A63">
        <f>ExDivTree!A63</f>
        <v>4.8375249084532529E+28</v>
      </c>
      <c r="B63" s="71">
        <f>ExDivTree!B63</f>
        <v>1.9080671391558127E-2</v>
      </c>
      <c r="C63" s="71">
        <f>ExDivTree!C63</f>
        <v>1.8233541722768174E-2</v>
      </c>
      <c r="D63" s="177">
        <f>ExDivTree!D63</f>
        <v>59</v>
      </c>
      <c r="BL63" s="17">
        <f>IF(BL$3="","",IF(BL$3=Steps,MAX(IF(CallPut=1,UndTree!BL63-Strike,Strike-UndTree!BL63),0),MAX((2-AmEur)*IF(CallPut=1,UndTree!BL63-Strike,Strike-UndTree!BL63),(UpProb*BM63+DownProb*BM64)*StepDiscount)))</f>
        <v>0</v>
      </c>
      <c r="BM63" s="17">
        <f>IF(BM$3="","",IF(BM$3=Steps,MAX(IF(CallPut=1,UndTree!BM63-Strike,Strike-UndTree!BM63),0),MAX((2-AmEur)*IF(CallPut=1,UndTree!BM63-Strike,Strike-UndTree!BM63),(UpProb*BN63+DownProb*BN64)*StepDiscount)))</f>
        <v>0</v>
      </c>
      <c r="BN63" s="17">
        <f>IF(BN$3="","",IF(BN$3=Steps,MAX(IF(CallPut=1,UndTree!BN63-Strike,Strike-UndTree!BN63),0),MAX((2-AmEur)*IF(CallPut=1,UndTree!BN63-Strike,Strike-UndTree!BN63),(UpProb*BO63+DownProb*BO64)*StepDiscount)))</f>
        <v>0</v>
      </c>
      <c r="BO63" s="17">
        <f>IF(BO$3="","",IF(BO$3=Steps,MAX(IF(CallPut=1,UndTree!BO63-Strike,Strike-UndTree!BO63),0),MAX((2-AmEur)*IF(CallPut=1,UndTree!BO63-Strike,Strike-UndTree!BO63),(UpProb*BP63+DownProb*BP64)*StepDiscount)))</f>
        <v>0</v>
      </c>
      <c r="BP63" s="17">
        <f>IF(BP$3="","",IF(BP$3=Steps,MAX(IF(CallPut=1,UndTree!BP63-Strike,Strike-UndTree!BP63),0),MAX((2-AmEur)*IF(CallPut=1,UndTree!BP63-Strike,Strike-UndTree!BP63),(UpProb*BQ63+DownProb*BQ64)*StepDiscount)))</f>
        <v>0</v>
      </c>
      <c r="BQ63" s="17">
        <f>IF(BQ$3="","",IF(BQ$3=Steps,MAX(IF(CallPut=1,UndTree!BQ63-Strike,Strike-UndTree!BQ63),0),MAX((2-AmEur)*IF(CallPut=1,UndTree!BQ63-Strike,Strike-UndTree!BQ63),(UpProb*BR63+DownProb*BR64)*StepDiscount)))</f>
        <v>0</v>
      </c>
      <c r="BR63" s="17">
        <f>IF(BR$3="","",IF(BR$3=Steps,MAX(IF(CallPut=1,UndTree!BR63-Strike,Strike-UndTree!BR63),0),MAX((2-AmEur)*IF(CallPut=1,UndTree!BR63-Strike,Strike-UndTree!BR63),(UpProb*BS63+DownProb*BS64)*StepDiscount)))</f>
        <v>0</v>
      </c>
      <c r="BS63" s="17">
        <f>IF(BS$3="","",IF(BS$3=Steps,MAX(IF(CallPut=1,UndTree!BS63-Strike,Strike-UndTree!BS63),0),MAX((2-AmEur)*IF(CallPut=1,UndTree!BS63-Strike,Strike-UndTree!BS63),(UpProb*BT63+DownProb*BT64)*StepDiscount)))</f>
        <v>0</v>
      </c>
      <c r="BT63" s="17">
        <f>IF(BT$3="","",IF(BT$3=Steps,MAX(IF(CallPut=1,UndTree!BT63-Strike,Strike-UndTree!BT63),0),MAX((2-AmEur)*IF(CallPut=1,UndTree!BT63-Strike,Strike-UndTree!BT63),(UpProb*BU63+DownProb*BU64)*StepDiscount)))</f>
        <v>0</v>
      </c>
      <c r="BU63" s="17">
        <f>IF(BU$3="","",IF(BU$3=Steps,MAX(IF(CallPut=1,UndTree!BU63-Strike,Strike-UndTree!BU63),0),MAX((2-AmEur)*IF(CallPut=1,UndTree!BU63-Strike,Strike-UndTree!BU63),(UpProb*BV63+DownProb*BV64)*StepDiscount)))</f>
        <v>0</v>
      </c>
      <c r="BV63" s="17">
        <f>IF(BV$3="","",IF(BV$3=Steps,MAX(IF(CallPut=1,UndTree!BV63-Strike,Strike-UndTree!BV63),0),MAX((2-AmEur)*IF(CallPut=1,UndTree!BV63-Strike,Strike-UndTree!BV63),(UpProb*BW63+DownProb*BW64)*StepDiscount)))</f>
        <v>0</v>
      </c>
      <c r="BW63" s="17">
        <f>IF(BW$3="","",IF(BW$3=Steps,MAX(IF(CallPut=1,UndTree!BW63-Strike,Strike-UndTree!BW63),0),MAX((2-AmEur)*IF(CallPut=1,UndTree!BW63-Strike,Strike-UndTree!BW63),(UpProb*BX63+DownProb*BX64)*StepDiscount)))</f>
        <v>0</v>
      </c>
      <c r="BX63" s="17">
        <f>IF(BX$3="","",IF(BX$3=Steps,MAX(IF(CallPut=1,UndTree!BX63-Strike,Strike-UndTree!BX63),0),MAX((2-AmEur)*IF(CallPut=1,UndTree!BX63-Strike,Strike-UndTree!BX63),(UpProb*BY63+DownProb*BY64)*StepDiscount)))</f>
        <v>0</v>
      </c>
      <c r="BY63" s="17">
        <f>IF(BY$3="","",IF(BY$3=Steps,MAX(IF(CallPut=1,UndTree!BY63-Strike,Strike-UndTree!BY63),0),MAX((2-AmEur)*IF(CallPut=1,UndTree!BY63-Strike,Strike-UndTree!BY63),(UpProb*BZ63+DownProb*BZ64)*StepDiscount)))</f>
        <v>0</v>
      </c>
      <c r="BZ63" s="17">
        <f>IF(BZ$3="","",IF(BZ$3=Steps,MAX(IF(CallPut=1,UndTree!BZ63-Strike,Strike-UndTree!BZ63),0),MAX((2-AmEur)*IF(CallPut=1,UndTree!BZ63-Strike,Strike-UndTree!BZ63),(UpProb*CA63+DownProb*CA64)*StepDiscount)))</f>
        <v>0</v>
      </c>
      <c r="CA63" s="17">
        <f>IF(CA$3="","",IF(CA$3=Steps,MAX(IF(CallPut=1,UndTree!CA63-Strike,Strike-UndTree!CA63),0),MAX((2-AmEur)*IF(CallPut=1,UndTree!CA63-Strike,Strike-UndTree!CA63),(UpProb*CB63+DownProb*CB64)*StepDiscount)))</f>
        <v>0</v>
      </c>
      <c r="CB63" s="17">
        <f>IF(CB$3="","",IF(CB$3=Steps,MAX(IF(CallPut=1,UndTree!CB63-Strike,Strike-UndTree!CB63),0),MAX((2-AmEur)*IF(CallPut=1,UndTree!CB63-Strike,Strike-UndTree!CB63),(UpProb*CC63+DownProb*CC64)*StepDiscount)))</f>
        <v>0</v>
      </c>
      <c r="CC63" s="17">
        <f>IF(CC$3="","",IF(CC$3=Steps,MAX(IF(CallPut=1,UndTree!CC63-Strike,Strike-UndTree!CC63),0),MAX((2-AmEur)*IF(CallPut=1,UndTree!CC63-Strike,Strike-UndTree!CC63),(UpProb*CD63+DownProb*CD64)*StepDiscount)))</f>
        <v>0</v>
      </c>
      <c r="CD63" s="17">
        <f>IF(CD$3="","",IF(CD$3=Steps,MAX(IF(CallPut=1,UndTree!CD63-Strike,Strike-UndTree!CD63),0),MAX((2-AmEur)*IF(CallPut=1,UndTree!CD63-Strike,Strike-UndTree!CD63),(UpProb*CE63+DownProb*CE64)*StepDiscount)))</f>
        <v>0</v>
      </c>
      <c r="CE63" s="17">
        <f>IF(CE$3="","",IF(CE$3=Steps,MAX(IF(CallPut=1,UndTree!CE63-Strike,Strike-UndTree!CE63),0),MAX((2-AmEur)*IF(CallPut=1,UndTree!CE63-Strike,Strike-UndTree!CE63),(UpProb*CF63+DownProb*CF64)*StepDiscount)))</f>
        <v>0</v>
      </c>
      <c r="CF63" s="17">
        <f>IF(CF$3="","",IF(CF$3=Steps,MAX(IF(CallPut=1,UndTree!CF63-Strike,Strike-UndTree!CF63),0),MAX((2-AmEur)*IF(CallPut=1,UndTree!CF63-Strike,Strike-UndTree!CF63),(UpProb*CG63+DownProb*CG64)*StepDiscount)))</f>
        <v>0</v>
      </c>
      <c r="CG63" s="17">
        <f>IF(CG$3="","",IF(CG$3=Steps,MAX(IF(CallPut=1,UndTree!CG63-Strike,Strike-UndTree!CG63),0),MAX((2-AmEur)*IF(CallPut=1,UndTree!CG63-Strike,Strike-UndTree!CG63),(UpProb*CH63+DownProb*CH64)*StepDiscount)))</f>
        <v>0</v>
      </c>
      <c r="CH63" s="17">
        <f>IF(CH$3="","",IF(CH$3=Steps,MAX(IF(CallPut=1,UndTree!CH63-Strike,Strike-UndTree!CH63),0),MAX((2-AmEur)*IF(CallPut=1,UndTree!CH63-Strike,Strike-UndTree!CH63),(UpProb*CI63+DownProb*CI64)*StepDiscount)))</f>
        <v>0</v>
      </c>
      <c r="CI63" s="17">
        <f>IF(CI$3="","",IF(CI$3=Steps,MAX(IF(CallPut=1,UndTree!CI63-Strike,Strike-UndTree!CI63),0),MAX((2-AmEur)*IF(CallPut=1,UndTree!CI63-Strike,Strike-UndTree!CI63),(UpProb*CJ63+DownProb*CJ64)*StepDiscount)))</f>
        <v>0</v>
      </c>
      <c r="CJ63" s="17">
        <f>IF(CJ$3="","",IF(CJ$3=Steps,MAX(IF(CallPut=1,UndTree!CJ63-Strike,Strike-UndTree!CJ63),0),MAX((2-AmEur)*IF(CallPut=1,UndTree!CJ63-Strike,Strike-UndTree!CJ63),(UpProb*CK63+DownProb*CK64)*StepDiscount)))</f>
        <v>0</v>
      </c>
      <c r="CK63" s="17">
        <f>IF(CK$3="","",IF(CK$3=Steps,MAX(IF(CallPut=1,UndTree!CK63-Strike,Strike-UndTree!CK63),0),MAX((2-AmEur)*IF(CallPut=1,UndTree!CK63-Strike,Strike-UndTree!CK63),(UpProb*CL63+DownProb*CL64)*StepDiscount)))</f>
        <v>0</v>
      </c>
      <c r="CL63" s="17">
        <f>IF(CL$3="","",IF(CL$3=Steps,MAX(IF(CallPut=1,UndTree!CL63-Strike,Strike-UndTree!CL63),0),MAX((2-AmEur)*IF(CallPut=1,UndTree!CL63-Strike,Strike-UndTree!CL63),(UpProb*CM63+DownProb*CM64)*StepDiscount)))</f>
        <v>0</v>
      </c>
      <c r="CM63" s="17">
        <f>IF(CM$3="","",IF(CM$3=Steps,MAX(IF(CallPut=1,UndTree!CM63-Strike,Strike-UndTree!CM63),0),MAX((2-AmEur)*IF(CallPut=1,UndTree!CM63-Strike,Strike-UndTree!CM63),(UpProb*CN63+DownProb*CN64)*StepDiscount)))</f>
        <v>0</v>
      </c>
      <c r="CN63" s="17">
        <f>IF(CN$3="","",IF(CN$3=Steps,MAX(IF(CallPut=1,UndTree!CN63-Strike,Strike-UndTree!CN63),0),MAX((2-AmEur)*IF(CallPut=1,UndTree!CN63-Strike,Strike-UndTree!CN63),(UpProb*CO63+DownProb*CO64)*StepDiscount)))</f>
        <v>0</v>
      </c>
      <c r="CO63" s="17">
        <f>IF(CO$3="","",IF(CO$3=Steps,MAX(IF(CallPut=1,UndTree!CO63-Strike,Strike-UndTree!CO63),0),MAX((2-AmEur)*IF(CallPut=1,UndTree!CO63-Strike,Strike-UndTree!CO63),(UpProb*CP63+DownProb*CP64)*StepDiscount)))</f>
        <v>0</v>
      </c>
      <c r="CP63" s="17">
        <f>IF(CP$3="","",IF(CP$3=Steps,MAX(IF(CallPut=1,UndTree!CP63-Strike,Strike-UndTree!CP63),0),MAX((2-AmEur)*IF(CallPut=1,UndTree!CP63-Strike,Strike-UndTree!CP63),(UpProb*CQ63+DownProb*CQ64)*StepDiscount)))</f>
        <v>0</v>
      </c>
      <c r="CQ63" s="17">
        <f>IF(CQ$3="","",IF(CQ$3=Steps,MAX(IF(CallPut=1,UndTree!CQ63-Strike,Strike-UndTree!CQ63),0),MAX((2-AmEur)*IF(CallPut=1,UndTree!CQ63-Strike,Strike-UndTree!CQ63),(UpProb*CR63+DownProb*CR64)*StepDiscount)))</f>
        <v>0</v>
      </c>
      <c r="CR63" s="17">
        <f>IF(CR$3="","",IF(CR$3=Steps,MAX(IF(CallPut=1,UndTree!CR63-Strike,Strike-UndTree!CR63),0),MAX((2-AmEur)*IF(CallPut=1,UndTree!CR63-Strike,Strike-UndTree!CR63),(UpProb*CS63+DownProb*CS64)*StepDiscount)))</f>
        <v>0</v>
      </c>
      <c r="CS63" s="17">
        <f>IF(CS$3="","",IF(CS$3=Steps,MAX(IF(CallPut=1,UndTree!CS63-Strike,Strike-UndTree!CS63),0),MAX((2-AmEur)*IF(CallPut=1,UndTree!CS63-Strike,Strike-UndTree!CS63),(UpProb*CT63+DownProb*CT64)*StepDiscount)))</f>
        <v>0</v>
      </c>
      <c r="CT63" s="17">
        <f>IF(CT$3="","",IF(CT$3=Steps,MAX(IF(CallPut=1,UndTree!CT63-Strike,Strike-UndTree!CT63),0),MAX((2-AmEur)*IF(CallPut=1,UndTree!CT63-Strike,Strike-UndTree!CT63),(UpProb*CU63+DownProb*CU64)*StepDiscount)))</f>
        <v>0</v>
      </c>
      <c r="CU63" s="17">
        <f>IF(CU$3="","",IF(CU$3=Steps,MAX(IF(CallPut=1,UndTree!CU63-Strike,Strike-UndTree!CU63),0),MAX((2-AmEur)*IF(CallPut=1,UndTree!CU63-Strike,Strike-UndTree!CU63),(UpProb*CV63+DownProb*CV64)*StepDiscount)))</f>
        <v>0</v>
      </c>
      <c r="CV63" s="17">
        <f>IF(CV$3="","",IF(CV$3=Steps,MAX(IF(CallPut=1,UndTree!CV63-Strike,Strike-UndTree!CV63),0),MAX((2-AmEur)*IF(CallPut=1,UndTree!CV63-Strike,Strike-UndTree!CV63),(UpProb*CW63+DownProb*CW64)*StepDiscount)))</f>
        <v>0</v>
      </c>
      <c r="CW63" s="17">
        <f>IF(CW$3="","",IF(CW$3=Steps,MAX(IF(CallPut=1,UndTree!CW63-Strike,Strike-UndTree!CW63),0),MAX((2-AmEur)*IF(CallPut=1,UndTree!CW63-Strike,Strike-UndTree!CW63),(UpProb*CX63+DownProb*CX64)*StepDiscount)))</f>
        <v>0</v>
      </c>
      <c r="CX63" s="17">
        <f>IF(CX$3="","",IF(CX$3=Steps,MAX(IF(CallPut=1,UndTree!CX63-Strike,Strike-UndTree!CX63),0),MAX((2-AmEur)*IF(CallPut=1,UndTree!CX63-Strike,Strike-UndTree!CX63),(UpProb*CY63+DownProb*CY64)*StepDiscount)))</f>
        <v>0</v>
      </c>
      <c r="CY63" s="17">
        <f>IF(CY$3="","",IF(CY$3=Steps,MAX(IF(CallPut=1,UndTree!CY63-Strike,Strike-UndTree!CY63),0),MAX((2-AmEur)*IF(CallPut=1,UndTree!CY63-Strike,Strike-UndTree!CY63),(UpProb*CZ63+DownProb*CZ64)*StepDiscount)))</f>
        <v>0</v>
      </c>
      <c r="CZ63" s="17">
        <f>IF(CZ$3="","",IF(CZ$3=Steps,MAX(IF(CallPut=1,UndTree!CZ63-Strike,Strike-UndTree!CZ63),0),MAX((2-AmEur)*IF(CallPut=1,UndTree!CZ63-Strike,Strike-UndTree!CZ63),(UpProb*DA63+DownProb*DA64)*StepDiscount)))</f>
        <v>0</v>
      </c>
      <c r="DA63" s="17">
        <f>IF(DA$3="","",IF(DA$3=Steps,MAX(IF(CallPut=1,UndTree!DA63-Strike,Strike-UndTree!DA63),0),MAX((2-AmEur)*IF(CallPut=1,UndTree!DA63-Strike,Strike-UndTree!DA63),(UpProb*DB63+DownProb*DB64)*StepDiscount)))</f>
        <v>0</v>
      </c>
      <c r="DB63" s="17">
        <f>IF(DB$3="","",IF(DB$3=Steps,MAX(IF(CallPut=1,UndTree!DB63-Strike,Strike-UndTree!DB63),0),MAX((2-AmEur)*IF(CallPut=1,UndTree!DB63-Strike,Strike-UndTree!DB63),(UpProb*DC63+DownProb*DC64)*StepDiscount)))</f>
        <v>0</v>
      </c>
    </row>
    <row r="64" spans="1:106" x14ac:dyDescent="0.2">
      <c r="A64">
        <f>ExDivTree!A64</f>
        <v>3.3862674359172785E+28</v>
      </c>
      <c r="B64" s="71">
        <f>ExDivTree!B64</f>
        <v>1.3356469974090695E-2</v>
      </c>
      <c r="C64" s="71">
        <f>ExDivTree!C64</f>
        <v>1.2695999407733331E-2</v>
      </c>
      <c r="D64" s="177">
        <f>ExDivTree!D64</f>
        <v>60</v>
      </c>
      <c r="BM64" s="17">
        <f>IF(BM$3="","",IF(BM$3=Steps,MAX(IF(CallPut=1,UndTree!BM64-Strike,Strike-UndTree!BM64),0),MAX((2-AmEur)*IF(CallPut=1,UndTree!BM64-Strike,Strike-UndTree!BM64),(UpProb*BN64+DownProb*BN65)*StepDiscount)))</f>
        <v>0</v>
      </c>
      <c r="BN64" s="17">
        <f>IF(BN$3="","",IF(BN$3=Steps,MAX(IF(CallPut=1,UndTree!BN64-Strike,Strike-UndTree!BN64),0),MAX((2-AmEur)*IF(CallPut=1,UndTree!BN64-Strike,Strike-UndTree!BN64),(UpProb*BO64+DownProb*BO65)*StepDiscount)))</f>
        <v>0</v>
      </c>
      <c r="BO64" s="17">
        <f>IF(BO$3="","",IF(BO$3=Steps,MAX(IF(CallPut=1,UndTree!BO64-Strike,Strike-UndTree!BO64),0),MAX((2-AmEur)*IF(CallPut=1,UndTree!BO64-Strike,Strike-UndTree!BO64),(UpProb*BP64+DownProb*BP65)*StepDiscount)))</f>
        <v>0</v>
      </c>
      <c r="BP64" s="17">
        <f>IF(BP$3="","",IF(BP$3=Steps,MAX(IF(CallPut=1,UndTree!BP64-Strike,Strike-UndTree!BP64),0),MAX((2-AmEur)*IF(CallPut=1,UndTree!BP64-Strike,Strike-UndTree!BP64),(UpProb*BQ64+DownProb*BQ65)*StepDiscount)))</f>
        <v>0</v>
      </c>
      <c r="BQ64" s="17">
        <f>IF(BQ$3="","",IF(BQ$3=Steps,MAX(IF(CallPut=1,UndTree!BQ64-Strike,Strike-UndTree!BQ64),0),MAX((2-AmEur)*IF(CallPut=1,UndTree!BQ64-Strike,Strike-UndTree!BQ64),(UpProb*BR64+DownProb*BR65)*StepDiscount)))</f>
        <v>0</v>
      </c>
      <c r="BR64" s="17">
        <f>IF(BR$3="","",IF(BR$3=Steps,MAX(IF(CallPut=1,UndTree!BR64-Strike,Strike-UndTree!BR64),0),MAX((2-AmEur)*IF(CallPut=1,UndTree!BR64-Strike,Strike-UndTree!BR64),(UpProb*BS64+DownProb*BS65)*StepDiscount)))</f>
        <v>0</v>
      </c>
      <c r="BS64" s="17">
        <f>IF(BS$3="","",IF(BS$3=Steps,MAX(IF(CallPut=1,UndTree!BS64-Strike,Strike-UndTree!BS64),0),MAX((2-AmEur)*IF(CallPut=1,UndTree!BS64-Strike,Strike-UndTree!BS64),(UpProb*BT64+DownProb*BT65)*StepDiscount)))</f>
        <v>0</v>
      </c>
      <c r="BT64" s="17">
        <f>IF(BT$3="","",IF(BT$3=Steps,MAX(IF(CallPut=1,UndTree!BT64-Strike,Strike-UndTree!BT64),0),MAX((2-AmEur)*IF(CallPut=1,UndTree!BT64-Strike,Strike-UndTree!BT64),(UpProb*BU64+DownProb*BU65)*StepDiscount)))</f>
        <v>0</v>
      </c>
      <c r="BU64" s="17">
        <f>IF(BU$3="","",IF(BU$3=Steps,MAX(IF(CallPut=1,UndTree!BU64-Strike,Strike-UndTree!BU64),0),MAX((2-AmEur)*IF(CallPut=1,UndTree!BU64-Strike,Strike-UndTree!BU64),(UpProb*BV64+DownProb*BV65)*StepDiscount)))</f>
        <v>0</v>
      </c>
      <c r="BV64" s="17">
        <f>IF(BV$3="","",IF(BV$3=Steps,MAX(IF(CallPut=1,UndTree!BV64-Strike,Strike-UndTree!BV64),0),MAX((2-AmEur)*IF(CallPut=1,UndTree!BV64-Strike,Strike-UndTree!BV64),(UpProb*BW64+DownProb*BW65)*StepDiscount)))</f>
        <v>0</v>
      </c>
      <c r="BW64" s="17">
        <f>IF(BW$3="","",IF(BW$3=Steps,MAX(IF(CallPut=1,UndTree!BW64-Strike,Strike-UndTree!BW64),0),MAX((2-AmEur)*IF(CallPut=1,UndTree!BW64-Strike,Strike-UndTree!BW64),(UpProb*BX64+DownProb*BX65)*StepDiscount)))</f>
        <v>0</v>
      </c>
      <c r="BX64" s="17">
        <f>IF(BX$3="","",IF(BX$3=Steps,MAX(IF(CallPut=1,UndTree!BX64-Strike,Strike-UndTree!BX64),0),MAX((2-AmEur)*IF(CallPut=1,UndTree!BX64-Strike,Strike-UndTree!BX64),(UpProb*BY64+DownProb*BY65)*StepDiscount)))</f>
        <v>0</v>
      </c>
      <c r="BY64" s="17">
        <f>IF(BY$3="","",IF(BY$3=Steps,MAX(IF(CallPut=1,UndTree!BY64-Strike,Strike-UndTree!BY64),0),MAX((2-AmEur)*IF(CallPut=1,UndTree!BY64-Strike,Strike-UndTree!BY64),(UpProb*BZ64+DownProb*BZ65)*StepDiscount)))</f>
        <v>0</v>
      </c>
      <c r="BZ64" s="17">
        <f>IF(BZ$3="","",IF(BZ$3=Steps,MAX(IF(CallPut=1,UndTree!BZ64-Strike,Strike-UndTree!BZ64),0),MAX((2-AmEur)*IF(CallPut=1,UndTree!BZ64-Strike,Strike-UndTree!BZ64),(UpProb*CA64+DownProb*CA65)*StepDiscount)))</f>
        <v>0</v>
      </c>
      <c r="CA64" s="17">
        <f>IF(CA$3="","",IF(CA$3=Steps,MAX(IF(CallPut=1,UndTree!CA64-Strike,Strike-UndTree!CA64),0),MAX((2-AmEur)*IF(CallPut=1,UndTree!CA64-Strike,Strike-UndTree!CA64),(UpProb*CB64+DownProb*CB65)*StepDiscount)))</f>
        <v>0</v>
      </c>
      <c r="CB64" s="17">
        <f>IF(CB$3="","",IF(CB$3=Steps,MAX(IF(CallPut=1,UndTree!CB64-Strike,Strike-UndTree!CB64),0),MAX((2-AmEur)*IF(CallPut=1,UndTree!CB64-Strike,Strike-UndTree!CB64),(UpProb*CC64+DownProb*CC65)*StepDiscount)))</f>
        <v>0</v>
      </c>
      <c r="CC64" s="17">
        <f>IF(CC$3="","",IF(CC$3=Steps,MAX(IF(CallPut=1,UndTree!CC64-Strike,Strike-UndTree!CC64),0),MAX((2-AmEur)*IF(CallPut=1,UndTree!CC64-Strike,Strike-UndTree!CC64),(UpProb*CD64+DownProb*CD65)*StepDiscount)))</f>
        <v>0</v>
      </c>
      <c r="CD64" s="17">
        <f>IF(CD$3="","",IF(CD$3=Steps,MAX(IF(CallPut=1,UndTree!CD64-Strike,Strike-UndTree!CD64),0),MAX((2-AmEur)*IF(CallPut=1,UndTree!CD64-Strike,Strike-UndTree!CD64),(UpProb*CE64+DownProb*CE65)*StepDiscount)))</f>
        <v>0</v>
      </c>
      <c r="CE64" s="17">
        <f>IF(CE$3="","",IF(CE$3=Steps,MAX(IF(CallPut=1,UndTree!CE64-Strike,Strike-UndTree!CE64),0),MAX((2-AmEur)*IF(CallPut=1,UndTree!CE64-Strike,Strike-UndTree!CE64),(UpProb*CF64+DownProb*CF65)*StepDiscount)))</f>
        <v>0</v>
      </c>
      <c r="CF64" s="17">
        <f>IF(CF$3="","",IF(CF$3=Steps,MAX(IF(CallPut=1,UndTree!CF64-Strike,Strike-UndTree!CF64),0),MAX((2-AmEur)*IF(CallPut=1,UndTree!CF64-Strike,Strike-UndTree!CF64),(UpProb*CG64+DownProb*CG65)*StepDiscount)))</f>
        <v>0</v>
      </c>
      <c r="CG64" s="17">
        <f>IF(CG$3="","",IF(CG$3=Steps,MAX(IF(CallPut=1,UndTree!CG64-Strike,Strike-UndTree!CG64),0),MAX((2-AmEur)*IF(CallPut=1,UndTree!CG64-Strike,Strike-UndTree!CG64),(UpProb*CH64+DownProb*CH65)*StepDiscount)))</f>
        <v>0</v>
      </c>
      <c r="CH64" s="17">
        <f>IF(CH$3="","",IF(CH$3=Steps,MAX(IF(CallPut=1,UndTree!CH64-Strike,Strike-UndTree!CH64),0),MAX((2-AmEur)*IF(CallPut=1,UndTree!CH64-Strike,Strike-UndTree!CH64),(UpProb*CI64+DownProb*CI65)*StepDiscount)))</f>
        <v>0</v>
      </c>
      <c r="CI64" s="17">
        <f>IF(CI$3="","",IF(CI$3=Steps,MAX(IF(CallPut=1,UndTree!CI64-Strike,Strike-UndTree!CI64),0),MAX((2-AmEur)*IF(CallPut=1,UndTree!CI64-Strike,Strike-UndTree!CI64),(UpProb*CJ64+DownProb*CJ65)*StepDiscount)))</f>
        <v>0</v>
      </c>
      <c r="CJ64" s="17">
        <f>IF(CJ$3="","",IF(CJ$3=Steps,MAX(IF(CallPut=1,UndTree!CJ64-Strike,Strike-UndTree!CJ64),0),MAX((2-AmEur)*IF(CallPut=1,UndTree!CJ64-Strike,Strike-UndTree!CJ64),(UpProb*CK64+DownProb*CK65)*StepDiscount)))</f>
        <v>0</v>
      </c>
      <c r="CK64" s="17">
        <f>IF(CK$3="","",IF(CK$3=Steps,MAX(IF(CallPut=1,UndTree!CK64-Strike,Strike-UndTree!CK64),0),MAX((2-AmEur)*IF(CallPut=1,UndTree!CK64-Strike,Strike-UndTree!CK64),(UpProb*CL64+DownProb*CL65)*StepDiscount)))</f>
        <v>0</v>
      </c>
      <c r="CL64" s="17">
        <f>IF(CL$3="","",IF(CL$3=Steps,MAX(IF(CallPut=1,UndTree!CL64-Strike,Strike-UndTree!CL64),0),MAX((2-AmEur)*IF(CallPut=1,UndTree!CL64-Strike,Strike-UndTree!CL64),(UpProb*CM64+DownProb*CM65)*StepDiscount)))</f>
        <v>0</v>
      </c>
      <c r="CM64" s="17">
        <f>IF(CM$3="","",IF(CM$3=Steps,MAX(IF(CallPut=1,UndTree!CM64-Strike,Strike-UndTree!CM64),0),MAX((2-AmEur)*IF(CallPut=1,UndTree!CM64-Strike,Strike-UndTree!CM64),(UpProb*CN64+DownProb*CN65)*StepDiscount)))</f>
        <v>0</v>
      </c>
      <c r="CN64" s="17">
        <f>IF(CN$3="","",IF(CN$3=Steps,MAX(IF(CallPut=1,UndTree!CN64-Strike,Strike-UndTree!CN64),0),MAX((2-AmEur)*IF(CallPut=1,UndTree!CN64-Strike,Strike-UndTree!CN64),(UpProb*CO64+DownProb*CO65)*StepDiscount)))</f>
        <v>0</v>
      </c>
      <c r="CO64" s="17">
        <f>IF(CO$3="","",IF(CO$3=Steps,MAX(IF(CallPut=1,UndTree!CO64-Strike,Strike-UndTree!CO64),0),MAX((2-AmEur)*IF(CallPut=1,UndTree!CO64-Strike,Strike-UndTree!CO64),(UpProb*CP64+DownProb*CP65)*StepDiscount)))</f>
        <v>0</v>
      </c>
      <c r="CP64" s="17">
        <f>IF(CP$3="","",IF(CP$3=Steps,MAX(IF(CallPut=1,UndTree!CP64-Strike,Strike-UndTree!CP64),0),MAX((2-AmEur)*IF(CallPut=1,UndTree!CP64-Strike,Strike-UndTree!CP64),(UpProb*CQ64+DownProb*CQ65)*StepDiscount)))</f>
        <v>0</v>
      </c>
      <c r="CQ64" s="17">
        <f>IF(CQ$3="","",IF(CQ$3=Steps,MAX(IF(CallPut=1,UndTree!CQ64-Strike,Strike-UndTree!CQ64),0),MAX((2-AmEur)*IF(CallPut=1,UndTree!CQ64-Strike,Strike-UndTree!CQ64),(UpProb*CR64+DownProb*CR65)*StepDiscount)))</f>
        <v>0</v>
      </c>
      <c r="CR64" s="17">
        <f>IF(CR$3="","",IF(CR$3=Steps,MAX(IF(CallPut=1,UndTree!CR64-Strike,Strike-UndTree!CR64),0),MAX((2-AmEur)*IF(CallPut=1,UndTree!CR64-Strike,Strike-UndTree!CR64),(UpProb*CS64+DownProb*CS65)*StepDiscount)))</f>
        <v>0</v>
      </c>
      <c r="CS64" s="17">
        <f>IF(CS$3="","",IF(CS$3=Steps,MAX(IF(CallPut=1,UndTree!CS64-Strike,Strike-UndTree!CS64),0),MAX((2-AmEur)*IF(CallPut=1,UndTree!CS64-Strike,Strike-UndTree!CS64),(UpProb*CT64+DownProb*CT65)*StepDiscount)))</f>
        <v>0</v>
      </c>
      <c r="CT64" s="17">
        <f>IF(CT$3="","",IF(CT$3=Steps,MAX(IF(CallPut=1,UndTree!CT64-Strike,Strike-UndTree!CT64),0),MAX((2-AmEur)*IF(CallPut=1,UndTree!CT64-Strike,Strike-UndTree!CT64),(UpProb*CU64+DownProb*CU65)*StepDiscount)))</f>
        <v>0</v>
      </c>
      <c r="CU64" s="17">
        <f>IF(CU$3="","",IF(CU$3=Steps,MAX(IF(CallPut=1,UndTree!CU64-Strike,Strike-UndTree!CU64),0),MAX((2-AmEur)*IF(CallPut=1,UndTree!CU64-Strike,Strike-UndTree!CU64),(UpProb*CV64+DownProb*CV65)*StepDiscount)))</f>
        <v>0</v>
      </c>
      <c r="CV64" s="17">
        <f>IF(CV$3="","",IF(CV$3=Steps,MAX(IF(CallPut=1,UndTree!CV64-Strike,Strike-UndTree!CV64),0),MAX((2-AmEur)*IF(CallPut=1,UndTree!CV64-Strike,Strike-UndTree!CV64),(UpProb*CW64+DownProb*CW65)*StepDiscount)))</f>
        <v>0</v>
      </c>
      <c r="CW64" s="17">
        <f>IF(CW$3="","",IF(CW$3=Steps,MAX(IF(CallPut=1,UndTree!CW64-Strike,Strike-UndTree!CW64),0),MAX((2-AmEur)*IF(CallPut=1,UndTree!CW64-Strike,Strike-UndTree!CW64),(UpProb*CX64+DownProb*CX65)*StepDiscount)))</f>
        <v>0</v>
      </c>
      <c r="CX64" s="17">
        <f>IF(CX$3="","",IF(CX$3=Steps,MAX(IF(CallPut=1,UndTree!CX64-Strike,Strike-UndTree!CX64),0),MAX((2-AmEur)*IF(CallPut=1,UndTree!CX64-Strike,Strike-UndTree!CX64),(UpProb*CY64+DownProb*CY65)*StepDiscount)))</f>
        <v>0</v>
      </c>
      <c r="CY64" s="17">
        <f>IF(CY$3="","",IF(CY$3=Steps,MAX(IF(CallPut=1,UndTree!CY64-Strike,Strike-UndTree!CY64),0),MAX((2-AmEur)*IF(CallPut=1,UndTree!CY64-Strike,Strike-UndTree!CY64),(UpProb*CZ64+DownProb*CZ65)*StepDiscount)))</f>
        <v>0</v>
      </c>
      <c r="CZ64" s="17">
        <f>IF(CZ$3="","",IF(CZ$3=Steps,MAX(IF(CallPut=1,UndTree!CZ64-Strike,Strike-UndTree!CZ64),0),MAX((2-AmEur)*IF(CallPut=1,UndTree!CZ64-Strike,Strike-UndTree!CZ64),(UpProb*DA64+DownProb*DA65)*StepDiscount)))</f>
        <v>0</v>
      </c>
      <c r="DA64" s="17">
        <f>IF(DA$3="","",IF(DA$3=Steps,MAX(IF(CallPut=1,UndTree!DA64-Strike,Strike-UndTree!DA64),0),MAX((2-AmEur)*IF(CallPut=1,UndTree!DA64-Strike,Strike-UndTree!DA64),(UpProb*DB64+DownProb*DB65)*StepDiscount)))</f>
        <v>0</v>
      </c>
      <c r="DB64" s="17">
        <f>IF(DB$3="","",IF(DB$3=Steps,MAX(IF(CallPut=1,UndTree!DB64-Strike,Strike-UndTree!DB64),0),MAX((2-AmEur)*IF(CallPut=1,UndTree!DB64-Strike,Strike-UndTree!DB64),(UpProb*DC64+DownProb*DC65)*StepDiscount)))</f>
        <v>0</v>
      </c>
    </row>
    <row r="65" spans="1:106" x14ac:dyDescent="0.2">
      <c r="A65">
        <f>ExDivTree!A65</f>
        <v>2.276015817583745E+28</v>
      </c>
      <c r="B65" s="71">
        <f>ExDivTree!B65</f>
        <v>8.9772994907822718E-3</v>
      </c>
      <c r="C65" s="71">
        <f>ExDivTree!C65</f>
        <v>8.4882611676856175E-3</v>
      </c>
      <c r="D65" s="177">
        <f>ExDivTree!D65</f>
        <v>61</v>
      </c>
      <c r="BN65" s="17">
        <f>IF(BN$3="","",IF(BN$3=Steps,MAX(IF(CallPut=1,UndTree!BN65-Strike,Strike-UndTree!BN65),0),MAX((2-AmEur)*IF(CallPut=1,UndTree!BN65-Strike,Strike-UndTree!BN65),(UpProb*BO65+DownProb*BO66)*StepDiscount)))</f>
        <v>0</v>
      </c>
      <c r="BO65" s="17">
        <f>IF(BO$3="","",IF(BO$3=Steps,MAX(IF(CallPut=1,UndTree!BO65-Strike,Strike-UndTree!BO65),0),MAX((2-AmEur)*IF(CallPut=1,UndTree!BO65-Strike,Strike-UndTree!BO65),(UpProb*BP65+DownProb*BP66)*StepDiscount)))</f>
        <v>0</v>
      </c>
      <c r="BP65" s="17">
        <f>IF(BP$3="","",IF(BP$3=Steps,MAX(IF(CallPut=1,UndTree!BP65-Strike,Strike-UndTree!BP65),0),MAX((2-AmEur)*IF(CallPut=1,UndTree!BP65-Strike,Strike-UndTree!BP65),(UpProb*BQ65+DownProb*BQ66)*StepDiscount)))</f>
        <v>0</v>
      </c>
      <c r="BQ65" s="17">
        <f>IF(BQ$3="","",IF(BQ$3=Steps,MAX(IF(CallPut=1,UndTree!BQ65-Strike,Strike-UndTree!BQ65),0),MAX((2-AmEur)*IF(CallPut=1,UndTree!BQ65-Strike,Strike-UndTree!BQ65),(UpProb*BR65+DownProb*BR66)*StepDiscount)))</f>
        <v>0</v>
      </c>
      <c r="BR65" s="17">
        <f>IF(BR$3="","",IF(BR$3=Steps,MAX(IF(CallPut=1,UndTree!BR65-Strike,Strike-UndTree!BR65),0),MAX((2-AmEur)*IF(CallPut=1,UndTree!BR65-Strike,Strike-UndTree!BR65),(UpProb*BS65+DownProb*BS66)*StepDiscount)))</f>
        <v>0</v>
      </c>
      <c r="BS65" s="17">
        <f>IF(BS$3="","",IF(BS$3=Steps,MAX(IF(CallPut=1,UndTree!BS65-Strike,Strike-UndTree!BS65),0),MAX((2-AmEur)*IF(CallPut=1,UndTree!BS65-Strike,Strike-UndTree!BS65),(UpProb*BT65+DownProb*BT66)*StepDiscount)))</f>
        <v>0</v>
      </c>
      <c r="BT65" s="17">
        <f>IF(BT$3="","",IF(BT$3=Steps,MAX(IF(CallPut=1,UndTree!BT65-Strike,Strike-UndTree!BT65),0),MAX((2-AmEur)*IF(CallPut=1,UndTree!BT65-Strike,Strike-UndTree!BT65),(UpProb*BU65+DownProb*BU66)*StepDiscount)))</f>
        <v>0</v>
      </c>
      <c r="BU65" s="17">
        <f>IF(BU$3="","",IF(BU$3=Steps,MAX(IF(CallPut=1,UndTree!BU65-Strike,Strike-UndTree!BU65),0),MAX((2-AmEur)*IF(CallPut=1,UndTree!BU65-Strike,Strike-UndTree!BU65),(UpProb*BV65+DownProb*BV66)*StepDiscount)))</f>
        <v>0</v>
      </c>
      <c r="BV65" s="17">
        <f>IF(BV$3="","",IF(BV$3=Steps,MAX(IF(CallPut=1,UndTree!BV65-Strike,Strike-UndTree!BV65),0),MAX((2-AmEur)*IF(CallPut=1,UndTree!BV65-Strike,Strike-UndTree!BV65),(UpProb*BW65+DownProb*BW66)*StepDiscount)))</f>
        <v>0</v>
      </c>
      <c r="BW65" s="17">
        <f>IF(BW$3="","",IF(BW$3=Steps,MAX(IF(CallPut=1,UndTree!BW65-Strike,Strike-UndTree!BW65),0),MAX((2-AmEur)*IF(CallPut=1,UndTree!BW65-Strike,Strike-UndTree!BW65),(UpProb*BX65+DownProb*BX66)*StepDiscount)))</f>
        <v>0</v>
      </c>
      <c r="BX65" s="17">
        <f>IF(BX$3="","",IF(BX$3=Steps,MAX(IF(CallPut=1,UndTree!BX65-Strike,Strike-UndTree!BX65),0),MAX((2-AmEur)*IF(CallPut=1,UndTree!BX65-Strike,Strike-UndTree!BX65),(UpProb*BY65+DownProb*BY66)*StepDiscount)))</f>
        <v>0</v>
      </c>
      <c r="BY65" s="17">
        <f>IF(BY$3="","",IF(BY$3=Steps,MAX(IF(CallPut=1,UndTree!BY65-Strike,Strike-UndTree!BY65),0),MAX((2-AmEur)*IF(CallPut=1,UndTree!BY65-Strike,Strike-UndTree!BY65),(UpProb*BZ65+DownProb*BZ66)*StepDiscount)))</f>
        <v>0</v>
      </c>
      <c r="BZ65" s="17">
        <f>IF(BZ$3="","",IF(BZ$3=Steps,MAX(IF(CallPut=1,UndTree!BZ65-Strike,Strike-UndTree!BZ65),0),MAX((2-AmEur)*IF(CallPut=1,UndTree!BZ65-Strike,Strike-UndTree!BZ65),(UpProb*CA65+DownProb*CA66)*StepDiscount)))</f>
        <v>0</v>
      </c>
      <c r="CA65" s="17">
        <f>IF(CA$3="","",IF(CA$3=Steps,MAX(IF(CallPut=1,UndTree!CA65-Strike,Strike-UndTree!CA65),0),MAX((2-AmEur)*IF(CallPut=1,UndTree!CA65-Strike,Strike-UndTree!CA65),(UpProb*CB65+DownProb*CB66)*StepDiscount)))</f>
        <v>0</v>
      </c>
      <c r="CB65" s="17">
        <f>IF(CB$3="","",IF(CB$3=Steps,MAX(IF(CallPut=1,UndTree!CB65-Strike,Strike-UndTree!CB65),0),MAX((2-AmEur)*IF(CallPut=1,UndTree!CB65-Strike,Strike-UndTree!CB65),(UpProb*CC65+DownProb*CC66)*StepDiscount)))</f>
        <v>0</v>
      </c>
      <c r="CC65" s="17">
        <f>IF(CC$3="","",IF(CC$3=Steps,MAX(IF(CallPut=1,UndTree!CC65-Strike,Strike-UndTree!CC65),0),MAX((2-AmEur)*IF(CallPut=1,UndTree!CC65-Strike,Strike-UndTree!CC65),(UpProb*CD65+DownProb*CD66)*StepDiscount)))</f>
        <v>0</v>
      </c>
      <c r="CD65" s="17">
        <f>IF(CD$3="","",IF(CD$3=Steps,MAX(IF(CallPut=1,UndTree!CD65-Strike,Strike-UndTree!CD65),0),MAX((2-AmEur)*IF(CallPut=1,UndTree!CD65-Strike,Strike-UndTree!CD65),(UpProb*CE65+DownProb*CE66)*StepDiscount)))</f>
        <v>0</v>
      </c>
      <c r="CE65" s="17">
        <f>IF(CE$3="","",IF(CE$3=Steps,MAX(IF(CallPut=1,UndTree!CE65-Strike,Strike-UndTree!CE65),0),MAX((2-AmEur)*IF(CallPut=1,UndTree!CE65-Strike,Strike-UndTree!CE65),(UpProb*CF65+DownProb*CF66)*StepDiscount)))</f>
        <v>0</v>
      </c>
      <c r="CF65" s="17">
        <f>IF(CF$3="","",IF(CF$3=Steps,MAX(IF(CallPut=1,UndTree!CF65-Strike,Strike-UndTree!CF65),0),MAX((2-AmEur)*IF(CallPut=1,UndTree!CF65-Strike,Strike-UndTree!CF65),(UpProb*CG65+DownProb*CG66)*StepDiscount)))</f>
        <v>0</v>
      </c>
      <c r="CG65" s="17">
        <f>IF(CG$3="","",IF(CG$3=Steps,MAX(IF(CallPut=1,UndTree!CG65-Strike,Strike-UndTree!CG65),0),MAX((2-AmEur)*IF(CallPut=1,UndTree!CG65-Strike,Strike-UndTree!CG65),(UpProb*CH65+DownProb*CH66)*StepDiscount)))</f>
        <v>0</v>
      </c>
      <c r="CH65" s="17">
        <f>IF(CH$3="","",IF(CH$3=Steps,MAX(IF(CallPut=1,UndTree!CH65-Strike,Strike-UndTree!CH65),0),MAX((2-AmEur)*IF(CallPut=1,UndTree!CH65-Strike,Strike-UndTree!CH65),(UpProb*CI65+DownProb*CI66)*StepDiscount)))</f>
        <v>0</v>
      </c>
      <c r="CI65" s="17">
        <f>IF(CI$3="","",IF(CI$3=Steps,MAX(IF(CallPut=1,UndTree!CI65-Strike,Strike-UndTree!CI65),0),MAX((2-AmEur)*IF(CallPut=1,UndTree!CI65-Strike,Strike-UndTree!CI65),(UpProb*CJ65+DownProb*CJ66)*StepDiscount)))</f>
        <v>0</v>
      </c>
      <c r="CJ65" s="17">
        <f>IF(CJ$3="","",IF(CJ$3=Steps,MAX(IF(CallPut=1,UndTree!CJ65-Strike,Strike-UndTree!CJ65),0),MAX((2-AmEur)*IF(CallPut=1,UndTree!CJ65-Strike,Strike-UndTree!CJ65),(UpProb*CK65+DownProb*CK66)*StepDiscount)))</f>
        <v>0</v>
      </c>
      <c r="CK65" s="17">
        <f>IF(CK$3="","",IF(CK$3=Steps,MAX(IF(CallPut=1,UndTree!CK65-Strike,Strike-UndTree!CK65),0),MAX((2-AmEur)*IF(CallPut=1,UndTree!CK65-Strike,Strike-UndTree!CK65),(UpProb*CL65+DownProb*CL66)*StepDiscount)))</f>
        <v>0</v>
      </c>
      <c r="CL65" s="17">
        <f>IF(CL$3="","",IF(CL$3=Steps,MAX(IF(CallPut=1,UndTree!CL65-Strike,Strike-UndTree!CL65),0),MAX((2-AmEur)*IF(CallPut=1,UndTree!CL65-Strike,Strike-UndTree!CL65),(UpProb*CM65+DownProb*CM66)*StepDiscount)))</f>
        <v>0</v>
      </c>
      <c r="CM65" s="17">
        <f>IF(CM$3="","",IF(CM$3=Steps,MAX(IF(CallPut=1,UndTree!CM65-Strike,Strike-UndTree!CM65),0),MAX((2-AmEur)*IF(CallPut=1,UndTree!CM65-Strike,Strike-UndTree!CM65),(UpProb*CN65+DownProb*CN66)*StepDiscount)))</f>
        <v>0</v>
      </c>
      <c r="CN65" s="17">
        <f>IF(CN$3="","",IF(CN$3=Steps,MAX(IF(CallPut=1,UndTree!CN65-Strike,Strike-UndTree!CN65),0),MAX((2-AmEur)*IF(CallPut=1,UndTree!CN65-Strike,Strike-UndTree!CN65),(UpProb*CO65+DownProb*CO66)*StepDiscount)))</f>
        <v>0</v>
      </c>
      <c r="CO65" s="17">
        <f>IF(CO$3="","",IF(CO$3=Steps,MAX(IF(CallPut=1,UndTree!CO65-Strike,Strike-UndTree!CO65),0),MAX((2-AmEur)*IF(CallPut=1,UndTree!CO65-Strike,Strike-UndTree!CO65),(UpProb*CP65+DownProb*CP66)*StepDiscount)))</f>
        <v>0</v>
      </c>
      <c r="CP65" s="17">
        <f>IF(CP$3="","",IF(CP$3=Steps,MAX(IF(CallPut=1,UndTree!CP65-Strike,Strike-UndTree!CP65),0),MAX((2-AmEur)*IF(CallPut=1,UndTree!CP65-Strike,Strike-UndTree!CP65),(UpProb*CQ65+DownProb*CQ66)*StepDiscount)))</f>
        <v>0</v>
      </c>
      <c r="CQ65" s="17">
        <f>IF(CQ$3="","",IF(CQ$3=Steps,MAX(IF(CallPut=1,UndTree!CQ65-Strike,Strike-UndTree!CQ65),0),MAX((2-AmEur)*IF(CallPut=1,UndTree!CQ65-Strike,Strike-UndTree!CQ65),(UpProb*CR65+DownProb*CR66)*StepDiscount)))</f>
        <v>0</v>
      </c>
      <c r="CR65" s="17">
        <f>IF(CR$3="","",IF(CR$3=Steps,MAX(IF(CallPut=1,UndTree!CR65-Strike,Strike-UndTree!CR65),0),MAX((2-AmEur)*IF(CallPut=1,UndTree!CR65-Strike,Strike-UndTree!CR65),(UpProb*CS65+DownProb*CS66)*StepDiscount)))</f>
        <v>0</v>
      </c>
      <c r="CS65" s="17">
        <f>IF(CS$3="","",IF(CS$3=Steps,MAX(IF(CallPut=1,UndTree!CS65-Strike,Strike-UndTree!CS65),0),MAX((2-AmEur)*IF(CallPut=1,UndTree!CS65-Strike,Strike-UndTree!CS65),(UpProb*CT65+DownProb*CT66)*StepDiscount)))</f>
        <v>0</v>
      </c>
      <c r="CT65" s="17">
        <f>IF(CT$3="","",IF(CT$3=Steps,MAX(IF(CallPut=1,UndTree!CT65-Strike,Strike-UndTree!CT65),0),MAX((2-AmEur)*IF(CallPut=1,UndTree!CT65-Strike,Strike-UndTree!CT65),(UpProb*CU65+DownProb*CU66)*StepDiscount)))</f>
        <v>0</v>
      </c>
      <c r="CU65" s="17">
        <f>IF(CU$3="","",IF(CU$3=Steps,MAX(IF(CallPut=1,UndTree!CU65-Strike,Strike-UndTree!CU65),0),MAX((2-AmEur)*IF(CallPut=1,UndTree!CU65-Strike,Strike-UndTree!CU65),(UpProb*CV65+DownProb*CV66)*StepDiscount)))</f>
        <v>0</v>
      </c>
      <c r="CV65" s="17">
        <f>IF(CV$3="","",IF(CV$3=Steps,MAX(IF(CallPut=1,UndTree!CV65-Strike,Strike-UndTree!CV65),0),MAX((2-AmEur)*IF(CallPut=1,UndTree!CV65-Strike,Strike-UndTree!CV65),(UpProb*CW65+DownProb*CW66)*StepDiscount)))</f>
        <v>0</v>
      </c>
      <c r="CW65" s="17">
        <f>IF(CW$3="","",IF(CW$3=Steps,MAX(IF(CallPut=1,UndTree!CW65-Strike,Strike-UndTree!CW65),0),MAX((2-AmEur)*IF(CallPut=1,UndTree!CW65-Strike,Strike-UndTree!CW65),(UpProb*CX65+DownProb*CX66)*StepDiscount)))</f>
        <v>0</v>
      </c>
      <c r="CX65" s="17">
        <f>IF(CX$3="","",IF(CX$3=Steps,MAX(IF(CallPut=1,UndTree!CX65-Strike,Strike-UndTree!CX65),0),MAX((2-AmEur)*IF(CallPut=1,UndTree!CX65-Strike,Strike-UndTree!CX65),(UpProb*CY65+DownProb*CY66)*StepDiscount)))</f>
        <v>0</v>
      </c>
      <c r="CY65" s="17">
        <f>IF(CY$3="","",IF(CY$3=Steps,MAX(IF(CallPut=1,UndTree!CY65-Strike,Strike-UndTree!CY65),0),MAX((2-AmEur)*IF(CallPut=1,UndTree!CY65-Strike,Strike-UndTree!CY65),(UpProb*CZ65+DownProb*CZ66)*StepDiscount)))</f>
        <v>0</v>
      </c>
      <c r="CZ65" s="17">
        <f>IF(CZ$3="","",IF(CZ$3=Steps,MAX(IF(CallPut=1,UndTree!CZ65-Strike,Strike-UndTree!CZ65),0),MAX((2-AmEur)*IF(CallPut=1,UndTree!CZ65-Strike,Strike-UndTree!CZ65),(UpProb*DA65+DownProb*DA66)*StepDiscount)))</f>
        <v>0</v>
      </c>
      <c r="DA65" s="17">
        <f>IF(DA$3="","",IF(DA$3=Steps,MAX(IF(CallPut=1,UndTree!DA65-Strike,Strike-UndTree!DA65),0),MAX((2-AmEur)*IF(CallPut=1,UndTree!DA65-Strike,Strike-UndTree!DA65),(UpProb*DB65+DownProb*DB66)*StepDiscount)))</f>
        <v>0</v>
      </c>
      <c r="DB65" s="17">
        <f>IF(DB$3="","",IF(DB$3=Steps,MAX(IF(CallPut=1,UndTree!DB65-Strike,Strike-UndTree!DB65),0),MAX((2-AmEur)*IF(CallPut=1,UndTree!DB65-Strike,Strike-UndTree!DB65),(UpProb*DC65+DownProb*DC66)*StepDiscount)))</f>
        <v>0</v>
      </c>
    </row>
    <row r="66" spans="1:106" x14ac:dyDescent="0.2">
      <c r="A66">
        <f>ExDivTree!A66</f>
        <v>1.4683973016669308E+28</v>
      </c>
      <c r="B66" s="71">
        <f>ExDivTree!B66</f>
        <v>5.791806123085331E-3</v>
      </c>
      <c r="C66" s="71">
        <f>ExDivTree!C66</f>
        <v>5.4473446498712582E-3</v>
      </c>
      <c r="D66" s="177">
        <f>ExDivTree!D66</f>
        <v>62</v>
      </c>
      <c r="BO66" s="17">
        <f>IF(BO$3="","",IF(BO$3=Steps,MAX(IF(CallPut=1,UndTree!BO66-Strike,Strike-UndTree!BO66),0),MAX((2-AmEur)*IF(CallPut=1,UndTree!BO66-Strike,Strike-UndTree!BO66),(UpProb*BP66+DownProb*BP67)*StepDiscount)))</f>
        <v>0</v>
      </c>
      <c r="BP66" s="17">
        <f>IF(BP$3="","",IF(BP$3=Steps,MAX(IF(CallPut=1,UndTree!BP66-Strike,Strike-UndTree!BP66),0),MAX((2-AmEur)*IF(CallPut=1,UndTree!BP66-Strike,Strike-UndTree!BP66),(UpProb*BQ66+DownProb*BQ67)*StepDiscount)))</f>
        <v>0</v>
      </c>
      <c r="BQ66" s="17">
        <f>IF(BQ$3="","",IF(BQ$3=Steps,MAX(IF(CallPut=1,UndTree!BQ66-Strike,Strike-UndTree!BQ66),0),MAX((2-AmEur)*IF(CallPut=1,UndTree!BQ66-Strike,Strike-UndTree!BQ66),(UpProb*BR66+DownProb*BR67)*StepDiscount)))</f>
        <v>0</v>
      </c>
      <c r="BR66" s="17">
        <f>IF(BR$3="","",IF(BR$3=Steps,MAX(IF(CallPut=1,UndTree!BR66-Strike,Strike-UndTree!BR66),0),MAX((2-AmEur)*IF(CallPut=1,UndTree!BR66-Strike,Strike-UndTree!BR66),(UpProb*BS66+DownProb*BS67)*StepDiscount)))</f>
        <v>0</v>
      </c>
      <c r="BS66" s="17">
        <f>IF(BS$3="","",IF(BS$3=Steps,MAX(IF(CallPut=1,UndTree!BS66-Strike,Strike-UndTree!BS66),0),MAX((2-AmEur)*IF(CallPut=1,UndTree!BS66-Strike,Strike-UndTree!BS66),(UpProb*BT66+DownProb*BT67)*StepDiscount)))</f>
        <v>0</v>
      </c>
      <c r="BT66" s="17">
        <f>IF(BT$3="","",IF(BT$3=Steps,MAX(IF(CallPut=1,UndTree!BT66-Strike,Strike-UndTree!BT66),0),MAX((2-AmEur)*IF(CallPut=1,UndTree!BT66-Strike,Strike-UndTree!BT66),(UpProb*BU66+DownProb*BU67)*StepDiscount)))</f>
        <v>0</v>
      </c>
      <c r="BU66" s="17">
        <f>IF(BU$3="","",IF(BU$3=Steps,MAX(IF(CallPut=1,UndTree!BU66-Strike,Strike-UndTree!BU66),0),MAX((2-AmEur)*IF(CallPut=1,UndTree!BU66-Strike,Strike-UndTree!BU66),(UpProb*BV66+DownProb*BV67)*StepDiscount)))</f>
        <v>0</v>
      </c>
      <c r="BV66" s="17">
        <f>IF(BV$3="","",IF(BV$3=Steps,MAX(IF(CallPut=1,UndTree!BV66-Strike,Strike-UndTree!BV66),0),MAX((2-AmEur)*IF(CallPut=1,UndTree!BV66-Strike,Strike-UndTree!BV66),(UpProb*BW66+DownProb*BW67)*StepDiscount)))</f>
        <v>0</v>
      </c>
      <c r="BW66" s="17">
        <f>IF(BW$3="","",IF(BW$3=Steps,MAX(IF(CallPut=1,UndTree!BW66-Strike,Strike-UndTree!BW66),0),MAX((2-AmEur)*IF(CallPut=1,UndTree!BW66-Strike,Strike-UndTree!BW66),(UpProb*BX66+DownProb*BX67)*StepDiscount)))</f>
        <v>0</v>
      </c>
      <c r="BX66" s="17">
        <f>IF(BX$3="","",IF(BX$3=Steps,MAX(IF(CallPut=1,UndTree!BX66-Strike,Strike-UndTree!BX66),0),MAX((2-AmEur)*IF(CallPut=1,UndTree!BX66-Strike,Strike-UndTree!BX66),(UpProb*BY66+DownProb*BY67)*StepDiscount)))</f>
        <v>0</v>
      </c>
      <c r="BY66" s="17">
        <f>IF(BY$3="","",IF(BY$3=Steps,MAX(IF(CallPut=1,UndTree!BY66-Strike,Strike-UndTree!BY66),0),MAX((2-AmEur)*IF(CallPut=1,UndTree!BY66-Strike,Strike-UndTree!BY66),(UpProb*BZ66+DownProb*BZ67)*StepDiscount)))</f>
        <v>0</v>
      </c>
      <c r="BZ66" s="17">
        <f>IF(BZ$3="","",IF(BZ$3=Steps,MAX(IF(CallPut=1,UndTree!BZ66-Strike,Strike-UndTree!BZ66),0),MAX((2-AmEur)*IF(CallPut=1,UndTree!BZ66-Strike,Strike-UndTree!BZ66),(UpProb*CA66+DownProb*CA67)*StepDiscount)))</f>
        <v>0</v>
      </c>
      <c r="CA66" s="17">
        <f>IF(CA$3="","",IF(CA$3=Steps,MAX(IF(CallPut=1,UndTree!CA66-Strike,Strike-UndTree!CA66),0),MAX((2-AmEur)*IF(CallPut=1,UndTree!CA66-Strike,Strike-UndTree!CA66),(UpProb*CB66+DownProb*CB67)*StepDiscount)))</f>
        <v>0</v>
      </c>
      <c r="CB66" s="17">
        <f>IF(CB$3="","",IF(CB$3=Steps,MAX(IF(CallPut=1,UndTree!CB66-Strike,Strike-UndTree!CB66),0),MAX((2-AmEur)*IF(CallPut=1,UndTree!CB66-Strike,Strike-UndTree!CB66),(UpProb*CC66+DownProb*CC67)*StepDiscount)))</f>
        <v>0</v>
      </c>
      <c r="CC66" s="17">
        <f>IF(CC$3="","",IF(CC$3=Steps,MAX(IF(CallPut=1,UndTree!CC66-Strike,Strike-UndTree!CC66),0),MAX((2-AmEur)*IF(CallPut=1,UndTree!CC66-Strike,Strike-UndTree!CC66),(UpProb*CD66+DownProb*CD67)*StepDiscount)))</f>
        <v>0</v>
      </c>
      <c r="CD66" s="17">
        <f>IF(CD$3="","",IF(CD$3=Steps,MAX(IF(CallPut=1,UndTree!CD66-Strike,Strike-UndTree!CD66),0),MAX((2-AmEur)*IF(CallPut=1,UndTree!CD66-Strike,Strike-UndTree!CD66),(UpProb*CE66+DownProb*CE67)*StepDiscount)))</f>
        <v>0</v>
      </c>
      <c r="CE66" s="17">
        <f>IF(CE$3="","",IF(CE$3=Steps,MAX(IF(CallPut=1,UndTree!CE66-Strike,Strike-UndTree!CE66),0),MAX((2-AmEur)*IF(CallPut=1,UndTree!CE66-Strike,Strike-UndTree!CE66),(UpProb*CF66+DownProb*CF67)*StepDiscount)))</f>
        <v>0</v>
      </c>
      <c r="CF66" s="17">
        <f>IF(CF$3="","",IF(CF$3=Steps,MAX(IF(CallPut=1,UndTree!CF66-Strike,Strike-UndTree!CF66),0),MAX((2-AmEur)*IF(CallPut=1,UndTree!CF66-Strike,Strike-UndTree!CF66),(UpProb*CG66+DownProb*CG67)*StepDiscount)))</f>
        <v>0</v>
      </c>
      <c r="CG66" s="17">
        <f>IF(CG$3="","",IF(CG$3=Steps,MAX(IF(CallPut=1,UndTree!CG66-Strike,Strike-UndTree!CG66),0),MAX((2-AmEur)*IF(CallPut=1,UndTree!CG66-Strike,Strike-UndTree!CG66),(UpProb*CH66+DownProb*CH67)*StepDiscount)))</f>
        <v>0</v>
      </c>
      <c r="CH66" s="17">
        <f>IF(CH$3="","",IF(CH$3=Steps,MAX(IF(CallPut=1,UndTree!CH66-Strike,Strike-UndTree!CH66),0),MAX((2-AmEur)*IF(CallPut=1,UndTree!CH66-Strike,Strike-UndTree!CH66),(UpProb*CI66+DownProb*CI67)*StepDiscount)))</f>
        <v>0</v>
      </c>
      <c r="CI66" s="17">
        <f>IF(CI$3="","",IF(CI$3=Steps,MAX(IF(CallPut=1,UndTree!CI66-Strike,Strike-UndTree!CI66),0),MAX((2-AmEur)*IF(CallPut=1,UndTree!CI66-Strike,Strike-UndTree!CI66),(UpProb*CJ66+DownProb*CJ67)*StepDiscount)))</f>
        <v>0</v>
      </c>
      <c r="CJ66" s="17">
        <f>IF(CJ$3="","",IF(CJ$3=Steps,MAX(IF(CallPut=1,UndTree!CJ66-Strike,Strike-UndTree!CJ66),0),MAX((2-AmEur)*IF(CallPut=1,UndTree!CJ66-Strike,Strike-UndTree!CJ66),(UpProb*CK66+DownProb*CK67)*StepDiscount)))</f>
        <v>0</v>
      </c>
      <c r="CK66" s="17">
        <f>IF(CK$3="","",IF(CK$3=Steps,MAX(IF(CallPut=1,UndTree!CK66-Strike,Strike-UndTree!CK66),0),MAX((2-AmEur)*IF(CallPut=1,UndTree!CK66-Strike,Strike-UndTree!CK66),(UpProb*CL66+DownProb*CL67)*StepDiscount)))</f>
        <v>0</v>
      </c>
      <c r="CL66" s="17">
        <f>IF(CL$3="","",IF(CL$3=Steps,MAX(IF(CallPut=1,UndTree!CL66-Strike,Strike-UndTree!CL66),0),MAX((2-AmEur)*IF(CallPut=1,UndTree!CL66-Strike,Strike-UndTree!CL66),(UpProb*CM66+DownProb*CM67)*StepDiscount)))</f>
        <v>0</v>
      </c>
      <c r="CM66" s="17">
        <f>IF(CM$3="","",IF(CM$3=Steps,MAX(IF(CallPut=1,UndTree!CM66-Strike,Strike-UndTree!CM66),0),MAX((2-AmEur)*IF(CallPut=1,UndTree!CM66-Strike,Strike-UndTree!CM66),(UpProb*CN66+DownProb*CN67)*StepDiscount)))</f>
        <v>0</v>
      </c>
      <c r="CN66" s="17">
        <f>IF(CN$3="","",IF(CN$3=Steps,MAX(IF(CallPut=1,UndTree!CN66-Strike,Strike-UndTree!CN66),0),MAX((2-AmEur)*IF(CallPut=1,UndTree!CN66-Strike,Strike-UndTree!CN66),(UpProb*CO66+DownProb*CO67)*StepDiscount)))</f>
        <v>0</v>
      </c>
      <c r="CO66" s="17">
        <f>IF(CO$3="","",IF(CO$3=Steps,MAX(IF(CallPut=1,UndTree!CO66-Strike,Strike-UndTree!CO66),0),MAX((2-AmEur)*IF(CallPut=1,UndTree!CO66-Strike,Strike-UndTree!CO66),(UpProb*CP66+DownProb*CP67)*StepDiscount)))</f>
        <v>0</v>
      </c>
      <c r="CP66" s="17">
        <f>IF(CP$3="","",IF(CP$3=Steps,MAX(IF(CallPut=1,UndTree!CP66-Strike,Strike-UndTree!CP66),0),MAX((2-AmEur)*IF(CallPut=1,UndTree!CP66-Strike,Strike-UndTree!CP66),(UpProb*CQ66+DownProb*CQ67)*StepDiscount)))</f>
        <v>0</v>
      </c>
      <c r="CQ66" s="17">
        <f>IF(CQ$3="","",IF(CQ$3=Steps,MAX(IF(CallPut=1,UndTree!CQ66-Strike,Strike-UndTree!CQ66),0),MAX((2-AmEur)*IF(CallPut=1,UndTree!CQ66-Strike,Strike-UndTree!CQ66),(UpProb*CR66+DownProb*CR67)*StepDiscount)))</f>
        <v>0</v>
      </c>
      <c r="CR66" s="17">
        <f>IF(CR$3="","",IF(CR$3=Steps,MAX(IF(CallPut=1,UndTree!CR66-Strike,Strike-UndTree!CR66),0),MAX((2-AmEur)*IF(CallPut=1,UndTree!CR66-Strike,Strike-UndTree!CR66),(UpProb*CS66+DownProb*CS67)*StepDiscount)))</f>
        <v>0</v>
      </c>
      <c r="CS66" s="17">
        <f>IF(CS$3="","",IF(CS$3=Steps,MAX(IF(CallPut=1,UndTree!CS66-Strike,Strike-UndTree!CS66),0),MAX((2-AmEur)*IF(CallPut=1,UndTree!CS66-Strike,Strike-UndTree!CS66),(UpProb*CT66+DownProb*CT67)*StepDiscount)))</f>
        <v>0</v>
      </c>
      <c r="CT66" s="17">
        <f>IF(CT$3="","",IF(CT$3=Steps,MAX(IF(CallPut=1,UndTree!CT66-Strike,Strike-UndTree!CT66),0),MAX((2-AmEur)*IF(CallPut=1,UndTree!CT66-Strike,Strike-UndTree!CT66),(UpProb*CU66+DownProb*CU67)*StepDiscount)))</f>
        <v>0</v>
      </c>
      <c r="CU66" s="17">
        <f>IF(CU$3="","",IF(CU$3=Steps,MAX(IF(CallPut=1,UndTree!CU66-Strike,Strike-UndTree!CU66),0),MAX((2-AmEur)*IF(CallPut=1,UndTree!CU66-Strike,Strike-UndTree!CU66),(UpProb*CV66+DownProb*CV67)*StepDiscount)))</f>
        <v>0</v>
      </c>
      <c r="CV66" s="17">
        <f>IF(CV$3="","",IF(CV$3=Steps,MAX(IF(CallPut=1,UndTree!CV66-Strike,Strike-UndTree!CV66),0),MAX((2-AmEur)*IF(CallPut=1,UndTree!CV66-Strike,Strike-UndTree!CV66),(UpProb*CW66+DownProb*CW67)*StepDiscount)))</f>
        <v>0</v>
      </c>
      <c r="CW66" s="17">
        <f>IF(CW$3="","",IF(CW$3=Steps,MAX(IF(CallPut=1,UndTree!CW66-Strike,Strike-UndTree!CW66),0),MAX((2-AmEur)*IF(CallPut=1,UndTree!CW66-Strike,Strike-UndTree!CW66),(UpProb*CX66+DownProb*CX67)*StepDiscount)))</f>
        <v>0</v>
      </c>
      <c r="CX66" s="17">
        <f>IF(CX$3="","",IF(CX$3=Steps,MAX(IF(CallPut=1,UndTree!CX66-Strike,Strike-UndTree!CX66),0),MAX((2-AmEur)*IF(CallPut=1,UndTree!CX66-Strike,Strike-UndTree!CX66),(UpProb*CY66+DownProb*CY67)*StepDiscount)))</f>
        <v>0</v>
      </c>
      <c r="CY66" s="17">
        <f>IF(CY$3="","",IF(CY$3=Steps,MAX(IF(CallPut=1,UndTree!CY66-Strike,Strike-UndTree!CY66),0),MAX((2-AmEur)*IF(CallPut=1,UndTree!CY66-Strike,Strike-UndTree!CY66),(UpProb*CZ66+DownProb*CZ67)*StepDiscount)))</f>
        <v>0</v>
      </c>
      <c r="CZ66" s="17">
        <f>IF(CZ$3="","",IF(CZ$3=Steps,MAX(IF(CallPut=1,UndTree!CZ66-Strike,Strike-UndTree!CZ66),0),MAX((2-AmEur)*IF(CallPut=1,UndTree!CZ66-Strike,Strike-UndTree!CZ66),(UpProb*DA66+DownProb*DA67)*StepDiscount)))</f>
        <v>0</v>
      </c>
      <c r="DA66" s="17">
        <f>IF(DA$3="","",IF(DA$3=Steps,MAX(IF(CallPut=1,UndTree!DA66-Strike,Strike-UndTree!DA66),0),MAX((2-AmEur)*IF(CallPut=1,UndTree!DA66-Strike,Strike-UndTree!DA66),(UpProb*DB66+DownProb*DB67)*StepDiscount)))</f>
        <v>0</v>
      </c>
      <c r="DB66" s="17">
        <f>IF(DB$3="","",IF(DB$3=Steps,MAX(IF(CallPut=1,UndTree!DB66-Strike,Strike-UndTree!DB66),0),MAX((2-AmEur)*IF(CallPut=1,UndTree!DB66-Strike,Strike-UndTree!DB66),(UpProb*DC66+DownProb*DC67)*StepDiscount)))</f>
        <v>0</v>
      </c>
    </row>
    <row r="67" spans="1:106" x14ac:dyDescent="0.2">
      <c r="A67">
        <f>ExDivTree!A67</f>
        <v>9.0900785341286344E+27</v>
      </c>
      <c r="B67" s="71">
        <f>ExDivTree!B67</f>
        <v>3.5854037904814013E-3</v>
      </c>
      <c r="C67" s="71">
        <f>ExDivTree!C67</f>
        <v>3.354337284654979E-3</v>
      </c>
      <c r="D67" s="177">
        <f>ExDivTree!D67</f>
        <v>63</v>
      </c>
      <c r="BP67" s="17">
        <f>IF(BP$3="","",IF(BP$3=Steps,MAX(IF(CallPut=1,UndTree!BP67-Strike,Strike-UndTree!BP67),0),MAX((2-AmEur)*IF(CallPut=1,UndTree!BP67-Strike,Strike-UndTree!BP67),(UpProb*BQ67+DownProb*BQ68)*StepDiscount)))</f>
        <v>0</v>
      </c>
      <c r="BQ67" s="17">
        <f>IF(BQ$3="","",IF(BQ$3=Steps,MAX(IF(CallPut=1,UndTree!BQ67-Strike,Strike-UndTree!BQ67),0),MAX((2-AmEur)*IF(CallPut=1,UndTree!BQ67-Strike,Strike-UndTree!BQ67),(UpProb*BR67+DownProb*BR68)*StepDiscount)))</f>
        <v>0</v>
      </c>
      <c r="BR67" s="17">
        <f>IF(BR$3="","",IF(BR$3=Steps,MAX(IF(CallPut=1,UndTree!BR67-Strike,Strike-UndTree!BR67),0),MAX((2-AmEur)*IF(CallPut=1,UndTree!BR67-Strike,Strike-UndTree!BR67),(UpProb*BS67+DownProb*BS68)*StepDiscount)))</f>
        <v>0</v>
      </c>
      <c r="BS67" s="17">
        <f>IF(BS$3="","",IF(BS$3=Steps,MAX(IF(CallPut=1,UndTree!BS67-Strike,Strike-UndTree!BS67),0),MAX((2-AmEur)*IF(CallPut=1,UndTree!BS67-Strike,Strike-UndTree!BS67),(UpProb*BT67+DownProb*BT68)*StepDiscount)))</f>
        <v>0</v>
      </c>
      <c r="BT67" s="17">
        <f>IF(BT$3="","",IF(BT$3=Steps,MAX(IF(CallPut=1,UndTree!BT67-Strike,Strike-UndTree!BT67),0),MAX((2-AmEur)*IF(CallPut=1,UndTree!BT67-Strike,Strike-UndTree!BT67),(UpProb*BU67+DownProb*BU68)*StepDiscount)))</f>
        <v>0</v>
      </c>
      <c r="BU67" s="17">
        <f>IF(BU$3="","",IF(BU$3=Steps,MAX(IF(CallPut=1,UndTree!BU67-Strike,Strike-UndTree!BU67),0),MAX((2-AmEur)*IF(CallPut=1,UndTree!BU67-Strike,Strike-UndTree!BU67),(UpProb*BV67+DownProb*BV68)*StepDiscount)))</f>
        <v>0</v>
      </c>
      <c r="BV67" s="17">
        <f>IF(BV$3="","",IF(BV$3=Steps,MAX(IF(CallPut=1,UndTree!BV67-Strike,Strike-UndTree!BV67),0),MAX((2-AmEur)*IF(CallPut=1,UndTree!BV67-Strike,Strike-UndTree!BV67),(UpProb*BW67+DownProb*BW68)*StepDiscount)))</f>
        <v>0</v>
      </c>
      <c r="BW67" s="17">
        <f>IF(BW$3="","",IF(BW$3=Steps,MAX(IF(CallPut=1,UndTree!BW67-Strike,Strike-UndTree!BW67),0),MAX((2-AmEur)*IF(CallPut=1,UndTree!BW67-Strike,Strike-UndTree!BW67),(UpProb*BX67+DownProb*BX68)*StepDiscount)))</f>
        <v>0</v>
      </c>
      <c r="BX67" s="17">
        <f>IF(BX$3="","",IF(BX$3=Steps,MAX(IF(CallPut=1,UndTree!BX67-Strike,Strike-UndTree!BX67),0),MAX((2-AmEur)*IF(CallPut=1,UndTree!BX67-Strike,Strike-UndTree!BX67),(UpProb*BY67+DownProb*BY68)*StepDiscount)))</f>
        <v>0</v>
      </c>
      <c r="BY67" s="17">
        <f>IF(BY$3="","",IF(BY$3=Steps,MAX(IF(CallPut=1,UndTree!BY67-Strike,Strike-UndTree!BY67),0),MAX((2-AmEur)*IF(CallPut=1,UndTree!BY67-Strike,Strike-UndTree!BY67),(UpProb*BZ67+DownProb*BZ68)*StepDiscount)))</f>
        <v>0</v>
      </c>
      <c r="BZ67" s="17">
        <f>IF(BZ$3="","",IF(BZ$3=Steps,MAX(IF(CallPut=1,UndTree!BZ67-Strike,Strike-UndTree!BZ67),0),MAX((2-AmEur)*IF(CallPut=1,UndTree!BZ67-Strike,Strike-UndTree!BZ67),(UpProb*CA67+DownProb*CA68)*StepDiscount)))</f>
        <v>0</v>
      </c>
      <c r="CA67" s="17">
        <f>IF(CA$3="","",IF(CA$3=Steps,MAX(IF(CallPut=1,UndTree!CA67-Strike,Strike-UndTree!CA67),0),MAX((2-AmEur)*IF(CallPut=1,UndTree!CA67-Strike,Strike-UndTree!CA67),(UpProb*CB67+DownProb*CB68)*StepDiscount)))</f>
        <v>0</v>
      </c>
      <c r="CB67" s="17">
        <f>IF(CB$3="","",IF(CB$3=Steps,MAX(IF(CallPut=1,UndTree!CB67-Strike,Strike-UndTree!CB67),0),MAX((2-AmEur)*IF(CallPut=1,UndTree!CB67-Strike,Strike-UndTree!CB67),(UpProb*CC67+DownProb*CC68)*StepDiscount)))</f>
        <v>0</v>
      </c>
      <c r="CC67" s="17">
        <f>IF(CC$3="","",IF(CC$3=Steps,MAX(IF(CallPut=1,UndTree!CC67-Strike,Strike-UndTree!CC67),0),MAX((2-AmEur)*IF(CallPut=1,UndTree!CC67-Strike,Strike-UndTree!CC67),(UpProb*CD67+DownProb*CD68)*StepDiscount)))</f>
        <v>0</v>
      </c>
      <c r="CD67" s="17">
        <f>IF(CD$3="","",IF(CD$3=Steps,MAX(IF(CallPut=1,UndTree!CD67-Strike,Strike-UndTree!CD67),0),MAX((2-AmEur)*IF(CallPut=1,UndTree!CD67-Strike,Strike-UndTree!CD67),(UpProb*CE67+DownProb*CE68)*StepDiscount)))</f>
        <v>0</v>
      </c>
      <c r="CE67" s="17">
        <f>IF(CE$3="","",IF(CE$3=Steps,MAX(IF(CallPut=1,UndTree!CE67-Strike,Strike-UndTree!CE67),0),MAX((2-AmEur)*IF(CallPut=1,UndTree!CE67-Strike,Strike-UndTree!CE67),(UpProb*CF67+DownProb*CF68)*StepDiscount)))</f>
        <v>0</v>
      </c>
      <c r="CF67" s="17">
        <f>IF(CF$3="","",IF(CF$3=Steps,MAX(IF(CallPut=1,UndTree!CF67-Strike,Strike-UndTree!CF67),0),MAX((2-AmEur)*IF(CallPut=1,UndTree!CF67-Strike,Strike-UndTree!CF67),(UpProb*CG67+DownProb*CG68)*StepDiscount)))</f>
        <v>0</v>
      </c>
      <c r="CG67" s="17">
        <f>IF(CG$3="","",IF(CG$3=Steps,MAX(IF(CallPut=1,UndTree!CG67-Strike,Strike-UndTree!CG67),0),MAX((2-AmEur)*IF(CallPut=1,UndTree!CG67-Strike,Strike-UndTree!CG67),(UpProb*CH67+DownProb*CH68)*StepDiscount)))</f>
        <v>0</v>
      </c>
      <c r="CH67" s="17">
        <f>IF(CH$3="","",IF(CH$3=Steps,MAX(IF(CallPut=1,UndTree!CH67-Strike,Strike-UndTree!CH67),0),MAX((2-AmEur)*IF(CallPut=1,UndTree!CH67-Strike,Strike-UndTree!CH67),(UpProb*CI67+DownProb*CI68)*StepDiscount)))</f>
        <v>0</v>
      </c>
      <c r="CI67" s="17">
        <f>IF(CI$3="","",IF(CI$3=Steps,MAX(IF(CallPut=1,UndTree!CI67-Strike,Strike-UndTree!CI67),0),MAX((2-AmEur)*IF(CallPut=1,UndTree!CI67-Strike,Strike-UndTree!CI67),(UpProb*CJ67+DownProb*CJ68)*StepDiscount)))</f>
        <v>0</v>
      </c>
      <c r="CJ67" s="17">
        <f>IF(CJ$3="","",IF(CJ$3=Steps,MAX(IF(CallPut=1,UndTree!CJ67-Strike,Strike-UndTree!CJ67),0),MAX((2-AmEur)*IF(CallPut=1,UndTree!CJ67-Strike,Strike-UndTree!CJ67),(UpProb*CK67+DownProb*CK68)*StepDiscount)))</f>
        <v>0</v>
      </c>
      <c r="CK67" s="17">
        <f>IF(CK$3="","",IF(CK$3=Steps,MAX(IF(CallPut=1,UndTree!CK67-Strike,Strike-UndTree!CK67),0),MAX((2-AmEur)*IF(CallPut=1,UndTree!CK67-Strike,Strike-UndTree!CK67),(UpProb*CL67+DownProb*CL68)*StepDiscount)))</f>
        <v>0</v>
      </c>
      <c r="CL67" s="17">
        <f>IF(CL$3="","",IF(CL$3=Steps,MAX(IF(CallPut=1,UndTree!CL67-Strike,Strike-UndTree!CL67),0),MAX((2-AmEur)*IF(CallPut=1,UndTree!CL67-Strike,Strike-UndTree!CL67),(UpProb*CM67+DownProb*CM68)*StepDiscount)))</f>
        <v>0</v>
      </c>
      <c r="CM67" s="17">
        <f>IF(CM$3="","",IF(CM$3=Steps,MAX(IF(CallPut=1,UndTree!CM67-Strike,Strike-UndTree!CM67),0),MAX((2-AmEur)*IF(CallPut=1,UndTree!CM67-Strike,Strike-UndTree!CM67),(UpProb*CN67+DownProb*CN68)*StepDiscount)))</f>
        <v>0</v>
      </c>
      <c r="CN67" s="17">
        <f>IF(CN$3="","",IF(CN$3=Steps,MAX(IF(CallPut=1,UndTree!CN67-Strike,Strike-UndTree!CN67),0),MAX((2-AmEur)*IF(CallPut=1,UndTree!CN67-Strike,Strike-UndTree!CN67),(UpProb*CO67+DownProb*CO68)*StepDiscount)))</f>
        <v>0</v>
      </c>
      <c r="CO67" s="17">
        <f>IF(CO$3="","",IF(CO$3=Steps,MAX(IF(CallPut=1,UndTree!CO67-Strike,Strike-UndTree!CO67),0),MAX((2-AmEur)*IF(CallPut=1,UndTree!CO67-Strike,Strike-UndTree!CO67),(UpProb*CP67+DownProb*CP68)*StepDiscount)))</f>
        <v>0</v>
      </c>
      <c r="CP67" s="17">
        <f>IF(CP$3="","",IF(CP$3=Steps,MAX(IF(CallPut=1,UndTree!CP67-Strike,Strike-UndTree!CP67),0),MAX((2-AmEur)*IF(CallPut=1,UndTree!CP67-Strike,Strike-UndTree!CP67),(UpProb*CQ67+DownProb*CQ68)*StepDiscount)))</f>
        <v>0</v>
      </c>
      <c r="CQ67" s="17">
        <f>IF(CQ$3="","",IF(CQ$3=Steps,MAX(IF(CallPut=1,UndTree!CQ67-Strike,Strike-UndTree!CQ67),0),MAX((2-AmEur)*IF(CallPut=1,UndTree!CQ67-Strike,Strike-UndTree!CQ67),(UpProb*CR67+DownProb*CR68)*StepDiscount)))</f>
        <v>0</v>
      </c>
      <c r="CR67" s="17">
        <f>IF(CR$3="","",IF(CR$3=Steps,MAX(IF(CallPut=1,UndTree!CR67-Strike,Strike-UndTree!CR67),0),MAX((2-AmEur)*IF(CallPut=1,UndTree!CR67-Strike,Strike-UndTree!CR67),(UpProb*CS67+DownProb*CS68)*StepDiscount)))</f>
        <v>0</v>
      </c>
      <c r="CS67" s="17">
        <f>IF(CS$3="","",IF(CS$3=Steps,MAX(IF(CallPut=1,UndTree!CS67-Strike,Strike-UndTree!CS67),0),MAX((2-AmEur)*IF(CallPut=1,UndTree!CS67-Strike,Strike-UndTree!CS67),(UpProb*CT67+DownProb*CT68)*StepDiscount)))</f>
        <v>0</v>
      </c>
      <c r="CT67" s="17">
        <f>IF(CT$3="","",IF(CT$3=Steps,MAX(IF(CallPut=1,UndTree!CT67-Strike,Strike-UndTree!CT67),0),MAX((2-AmEur)*IF(CallPut=1,UndTree!CT67-Strike,Strike-UndTree!CT67),(UpProb*CU67+DownProb*CU68)*StepDiscount)))</f>
        <v>0</v>
      </c>
      <c r="CU67" s="17">
        <f>IF(CU$3="","",IF(CU$3=Steps,MAX(IF(CallPut=1,UndTree!CU67-Strike,Strike-UndTree!CU67),0),MAX((2-AmEur)*IF(CallPut=1,UndTree!CU67-Strike,Strike-UndTree!CU67),(UpProb*CV67+DownProb*CV68)*StepDiscount)))</f>
        <v>0</v>
      </c>
      <c r="CV67" s="17">
        <f>IF(CV$3="","",IF(CV$3=Steps,MAX(IF(CallPut=1,UndTree!CV67-Strike,Strike-UndTree!CV67),0),MAX((2-AmEur)*IF(CallPut=1,UndTree!CV67-Strike,Strike-UndTree!CV67),(UpProb*CW67+DownProb*CW68)*StepDiscount)))</f>
        <v>0</v>
      </c>
      <c r="CW67" s="17">
        <f>IF(CW$3="","",IF(CW$3=Steps,MAX(IF(CallPut=1,UndTree!CW67-Strike,Strike-UndTree!CW67),0),MAX((2-AmEur)*IF(CallPut=1,UndTree!CW67-Strike,Strike-UndTree!CW67),(UpProb*CX67+DownProb*CX68)*StepDiscount)))</f>
        <v>0</v>
      </c>
      <c r="CX67" s="17">
        <f>IF(CX$3="","",IF(CX$3=Steps,MAX(IF(CallPut=1,UndTree!CX67-Strike,Strike-UndTree!CX67),0),MAX((2-AmEur)*IF(CallPut=1,UndTree!CX67-Strike,Strike-UndTree!CX67),(UpProb*CY67+DownProb*CY68)*StepDiscount)))</f>
        <v>0</v>
      </c>
      <c r="CY67" s="17">
        <f>IF(CY$3="","",IF(CY$3=Steps,MAX(IF(CallPut=1,UndTree!CY67-Strike,Strike-UndTree!CY67),0),MAX((2-AmEur)*IF(CallPut=1,UndTree!CY67-Strike,Strike-UndTree!CY67),(UpProb*CZ67+DownProb*CZ68)*StepDiscount)))</f>
        <v>0</v>
      </c>
      <c r="CZ67" s="17">
        <f>IF(CZ$3="","",IF(CZ$3=Steps,MAX(IF(CallPut=1,UndTree!CZ67-Strike,Strike-UndTree!CZ67),0),MAX((2-AmEur)*IF(CallPut=1,UndTree!CZ67-Strike,Strike-UndTree!CZ67),(UpProb*DA67+DownProb*DA68)*StepDiscount)))</f>
        <v>0</v>
      </c>
      <c r="DA67" s="17">
        <f>IF(DA$3="","",IF(DA$3=Steps,MAX(IF(CallPut=1,UndTree!DA67-Strike,Strike-UndTree!DA67),0),MAX((2-AmEur)*IF(CallPut=1,UndTree!DA67-Strike,Strike-UndTree!DA67),(UpProb*DB67+DownProb*DB68)*StepDiscount)))</f>
        <v>0</v>
      </c>
      <c r="DB67" s="17">
        <f>IF(DB$3="","",IF(DB$3=Steps,MAX(IF(CallPut=1,UndTree!DB67-Strike,Strike-UndTree!DB67),0),MAX((2-AmEur)*IF(CallPut=1,UndTree!DB67-Strike,Strike-UndTree!DB67),(UpProb*DC67+DownProb*DC68)*StepDiscount)))</f>
        <v>0</v>
      </c>
    </row>
    <row r="68" spans="1:106" x14ac:dyDescent="0.2">
      <c r="A68">
        <f>ExDivTree!A68</f>
        <v>5.3972341296388722E+27</v>
      </c>
      <c r="B68" s="71">
        <f>ExDivTree!B68</f>
        <v>2.1288335005983303E-3</v>
      </c>
      <c r="C68" s="71">
        <f>ExDivTree!C68</f>
        <v>1.9811080856939407E-3</v>
      </c>
      <c r="D68" s="177">
        <f>ExDivTree!D68</f>
        <v>64</v>
      </c>
      <c r="BQ68" s="17">
        <f>IF(BQ$3="","",IF(BQ$3=Steps,MAX(IF(CallPut=1,UndTree!BQ68-Strike,Strike-UndTree!BQ68),0),MAX((2-AmEur)*IF(CallPut=1,UndTree!BQ68-Strike,Strike-UndTree!BQ68),(UpProb*BR68+DownProb*BR69)*StepDiscount)))</f>
        <v>0</v>
      </c>
      <c r="BR68" s="17">
        <f>IF(BR$3="","",IF(BR$3=Steps,MAX(IF(CallPut=1,UndTree!BR68-Strike,Strike-UndTree!BR68),0),MAX((2-AmEur)*IF(CallPut=1,UndTree!BR68-Strike,Strike-UndTree!BR68),(UpProb*BS68+DownProb*BS69)*StepDiscount)))</f>
        <v>0</v>
      </c>
      <c r="BS68" s="17">
        <f>IF(BS$3="","",IF(BS$3=Steps,MAX(IF(CallPut=1,UndTree!BS68-Strike,Strike-UndTree!BS68),0),MAX((2-AmEur)*IF(CallPut=1,UndTree!BS68-Strike,Strike-UndTree!BS68),(UpProb*BT68+DownProb*BT69)*StepDiscount)))</f>
        <v>0</v>
      </c>
      <c r="BT68" s="17">
        <f>IF(BT$3="","",IF(BT$3=Steps,MAX(IF(CallPut=1,UndTree!BT68-Strike,Strike-UndTree!BT68),0),MAX((2-AmEur)*IF(CallPut=1,UndTree!BT68-Strike,Strike-UndTree!BT68),(UpProb*BU68+DownProb*BU69)*StepDiscount)))</f>
        <v>0</v>
      </c>
      <c r="BU68" s="17">
        <f>IF(BU$3="","",IF(BU$3=Steps,MAX(IF(CallPut=1,UndTree!BU68-Strike,Strike-UndTree!BU68),0),MAX((2-AmEur)*IF(CallPut=1,UndTree!BU68-Strike,Strike-UndTree!BU68),(UpProb*BV68+DownProb*BV69)*StepDiscount)))</f>
        <v>0</v>
      </c>
      <c r="BV68" s="17">
        <f>IF(BV$3="","",IF(BV$3=Steps,MAX(IF(CallPut=1,UndTree!BV68-Strike,Strike-UndTree!BV68),0),MAX((2-AmEur)*IF(CallPut=1,UndTree!BV68-Strike,Strike-UndTree!BV68),(UpProb*BW68+DownProb*BW69)*StepDiscount)))</f>
        <v>0</v>
      </c>
      <c r="BW68" s="17">
        <f>IF(BW$3="","",IF(BW$3=Steps,MAX(IF(CallPut=1,UndTree!BW68-Strike,Strike-UndTree!BW68),0),MAX((2-AmEur)*IF(CallPut=1,UndTree!BW68-Strike,Strike-UndTree!BW68),(UpProb*BX68+DownProb*BX69)*StepDiscount)))</f>
        <v>0</v>
      </c>
      <c r="BX68" s="17">
        <f>IF(BX$3="","",IF(BX$3=Steps,MAX(IF(CallPut=1,UndTree!BX68-Strike,Strike-UndTree!BX68),0),MAX((2-AmEur)*IF(CallPut=1,UndTree!BX68-Strike,Strike-UndTree!BX68),(UpProb*BY68+DownProb*BY69)*StepDiscount)))</f>
        <v>0</v>
      </c>
      <c r="BY68" s="17">
        <f>IF(BY$3="","",IF(BY$3=Steps,MAX(IF(CallPut=1,UndTree!BY68-Strike,Strike-UndTree!BY68),0),MAX((2-AmEur)*IF(CallPut=1,UndTree!BY68-Strike,Strike-UndTree!BY68),(UpProb*BZ68+DownProb*BZ69)*StepDiscount)))</f>
        <v>0</v>
      </c>
      <c r="BZ68" s="17">
        <f>IF(BZ$3="","",IF(BZ$3=Steps,MAX(IF(CallPut=1,UndTree!BZ68-Strike,Strike-UndTree!BZ68),0),MAX((2-AmEur)*IF(CallPut=1,UndTree!BZ68-Strike,Strike-UndTree!BZ68),(UpProb*CA68+DownProb*CA69)*StepDiscount)))</f>
        <v>0</v>
      </c>
      <c r="CA68" s="17">
        <f>IF(CA$3="","",IF(CA$3=Steps,MAX(IF(CallPut=1,UndTree!CA68-Strike,Strike-UndTree!CA68),0),MAX((2-AmEur)*IF(CallPut=1,UndTree!CA68-Strike,Strike-UndTree!CA68),(UpProb*CB68+DownProb*CB69)*StepDiscount)))</f>
        <v>0</v>
      </c>
      <c r="CB68" s="17">
        <f>IF(CB$3="","",IF(CB$3=Steps,MAX(IF(CallPut=1,UndTree!CB68-Strike,Strike-UndTree!CB68),0),MAX((2-AmEur)*IF(CallPut=1,UndTree!CB68-Strike,Strike-UndTree!CB68),(UpProb*CC68+DownProb*CC69)*StepDiscount)))</f>
        <v>0</v>
      </c>
      <c r="CC68" s="17">
        <f>IF(CC$3="","",IF(CC$3=Steps,MAX(IF(CallPut=1,UndTree!CC68-Strike,Strike-UndTree!CC68),0),MAX((2-AmEur)*IF(CallPut=1,UndTree!CC68-Strike,Strike-UndTree!CC68),(UpProb*CD68+DownProb*CD69)*StepDiscount)))</f>
        <v>0</v>
      </c>
      <c r="CD68" s="17">
        <f>IF(CD$3="","",IF(CD$3=Steps,MAX(IF(CallPut=1,UndTree!CD68-Strike,Strike-UndTree!CD68),0),MAX((2-AmEur)*IF(CallPut=1,UndTree!CD68-Strike,Strike-UndTree!CD68),(UpProb*CE68+DownProb*CE69)*StepDiscount)))</f>
        <v>0</v>
      </c>
      <c r="CE68" s="17">
        <f>IF(CE$3="","",IF(CE$3=Steps,MAX(IF(CallPut=1,UndTree!CE68-Strike,Strike-UndTree!CE68),0),MAX((2-AmEur)*IF(CallPut=1,UndTree!CE68-Strike,Strike-UndTree!CE68),(UpProb*CF68+DownProb*CF69)*StepDiscount)))</f>
        <v>0</v>
      </c>
      <c r="CF68" s="17">
        <f>IF(CF$3="","",IF(CF$3=Steps,MAX(IF(CallPut=1,UndTree!CF68-Strike,Strike-UndTree!CF68),0),MAX((2-AmEur)*IF(CallPut=1,UndTree!CF68-Strike,Strike-UndTree!CF68),(UpProb*CG68+DownProb*CG69)*StepDiscount)))</f>
        <v>0</v>
      </c>
      <c r="CG68" s="17">
        <f>IF(CG$3="","",IF(CG$3=Steps,MAX(IF(CallPut=1,UndTree!CG68-Strike,Strike-UndTree!CG68),0),MAX((2-AmEur)*IF(CallPut=1,UndTree!CG68-Strike,Strike-UndTree!CG68),(UpProb*CH68+DownProb*CH69)*StepDiscount)))</f>
        <v>0</v>
      </c>
      <c r="CH68" s="17">
        <f>IF(CH$3="","",IF(CH$3=Steps,MAX(IF(CallPut=1,UndTree!CH68-Strike,Strike-UndTree!CH68),0),MAX((2-AmEur)*IF(CallPut=1,UndTree!CH68-Strike,Strike-UndTree!CH68),(UpProb*CI68+DownProb*CI69)*StepDiscount)))</f>
        <v>0</v>
      </c>
      <c r="CI68" s="17">
        <f>IF(CI$3="","",IF(CI$3=Steps,MAX(IF(CallPut=1,UndTree!CI68-Strike,Strike-UndTree!CI68),0),MAX((2-AmEur)*IF(CallPut=1,UndTree!CI68-Strike,Strike-UndTree!CI68),(UpProb*CJ68+DownProb*CJ69)*StepDiscount)))</f>
        <v>0</v>
      </c>
      <c r="CJ68" s="17">
        <f>IF(CJ$3="","",IF(CJ$3=Steps,MAX(IF(CallPut=1,UndTree!CJ68-Strike,Strike-UndTree!CJ68),0),MAX((2-AmEur)*IF(CallPut=1,UndTree!CJ68-Strike,Strike-UndTree!CJ68),(UpProb*CK68+DownProb*CK69)*StepDiscount)))</f>
        <v>0</v>
      </c>
      <c r="CK68" s="17">
        <f>IF(CK$3="","",IF(CK$3=Steps,MAX(IF(CallPut=1,UndTree!CK68-Strike,Strike-UndTree!CK68),0),MAX((2-AmEur)*IF(CallPut=1,UndTree!CK68-Strike,Strike-UndTree!CK68),(UpProb*CL68+DownProb*CL69)*StepDiscount)))</f>
        <v>0</v>
      </c>
      <c r="CL68" s="17">
        <f>IF(CL$3="","",IF(CL$3=Steps,MAX(IF(CallPut=1,UndTree!CL68-Strike,Strike-UndTree!CL68),0),MAX((2-AmEur)*IF(CallPut=1,UndTree!CL68-Strike,Strike-UndTree!CL68),(UpProb*CM68+DownProb*CM69)*StepDiscount)))</f>
        <v>0</v>
      </c>
      <c r="CM68" s="17">
        <f>IF(CM$3="","",IF(CM$3=Steps,MAX(IF(CallPut=1,UndTree!CM68-Strike,Strike-UndTree!CM68),0),MAX((2-AmEur)*IF(CallPut=1,UndTree!CM68-Strike,Strike-UndTree!CM68),(UpProb*CN68+DownProb*CN69)*StepDiscount)))</f>
        <v>0</v>
      </c>
      <c r="CN68" s="17">
        <f>IF(CN$3="","",IF(CN$3=Steps,MAX(IF(CallPut=1,UndTree!CN68-Strike,Strike-UndTree!CN68),0),MAX((2-AmEur)*IF(CallPut=1,UndTree!CN68-Strike,Strike-UndTree!CN68),(UpProb*CO68+DownProb*CO69)*StepDiscount)))</f>
        <v>0</v>
      </c>
      <c r="CO68" s="17">
        <f>IF(CO$3="","",IF(CO$3=Steps,MAX(IF(CallPut=1,UndTree!CO68-Strike,Strike-UndTree!CO68),0),MAX((2-AmEur)*IF(CallPut=1,UndTree!CO68-Strike,Strike-UndTree!CO68),(UpProb*CP68+DownProb*CP69)*StepDiscount)))</f>
        <v>0</v>
      </c>
      <c r="CP68" s="17">
        <f>IF(CP$3="","",IF(CP$3=Steps,MAX(IF(CallPut=1,UndTree!CP68-Strike,Strike-UndTree!CP68),0),MAX((2-AmEur)*IF(CallPut=1,UndTree!CP68-Strike,Strike-UndTree!CP68),(UpProb*CQ68+DownProb*CQ69)*StepDiscount)))</f>
        <v>0</v>
      </c>
      <c r="CQ68" s="17">
        <f>IF(CQ$3="","",IF(CQ$3=Steps,MAX(IF(CallPut=1,UndTree!CQ68-Strike,Strike-UndTree!CQ68),0),MAX((2-AmEur)*IF(CallPut=1,UndTree!CQ68-Strike,Strike-UndTree!CQ68),(UpProb*CR68+DownProb*CR69)*StepDiscount)))</f>
        <v>0</v>
      </c>
      <c r="CR68" s="17">
        <f>IF(CR$3="","",IF(CR$3=Steps,MAX(IF(CallPut=1,UndTree!CR68-Strike,Strike-UndTree!CR68),0),MAX((2-AmEur)*IF(CallPut=1,UndTree!CR68-Strike,Strike-UndTree!CR68),(UpProb*CS68+DownProb*CS69)*StepDiscount)))</f>
        <v>0</v>
      </c>
      <c r="CS68" s="17">
        <f>IF(CS$3="","",IF(CS$3=Steps,MAX(IF(CallPut=1,UndTree!CS68-Strike,Strike-UndTree!CS68),0),MAX((2-AmEur)*IF(CallPut=1,UndTree!CS68-Strike,Strike-UndTree!CS68),(UpProb*CT68+DownProb*CT69)*StepDiscount)))</f>
        <v>0</v>
      </c>
      <c r="CT68" s="17">
        <f>IF(CT$3="","",IF(CT$3=Steps,MAX(IF(CallPut=1,UndTree!CT68-Strike,Strike-UndTree!CT68),0),MAX((2-AmEur)*IF(CallPut=1,UndTree!CT68-Strike,Strike-UndTree!CT68),(UpProb*CU68+DownProb*CU69)*StepDiscount)))</f>
        <v>0</v>
      </c>
      <c r="CU68" s="17">
        <f>IF(CU$3="","",IF(CU$3=Steps,MAX(IF(CallPut=1,UndTree!CU68-Strike,Strike-UndTree!CU68),0),MAX((2-AmEur)*IF(CallPut=1,UndTree!CU68-Strike,Strike-UndTree!CU68),(UpProb*CV68+DownProb*CV69)*StepDiscount)))</f>
        <v>0</v>
      </c>
      <c r="CV68" s="17">
        <f>IF(CV$3="","",IF(CV$3=Steps,MAX(IF(CallPut=1,UndTree!CV68-Strike,Strike-UndTree!CV68),0),MAX((2-AmEur)*IF(CallPut=1,UndTree!CV68-Strike,Strike-UndTree!CV68),(UpProb*CW68+DownProb*CW69)*StepDiscount)))</f>
        <v>0</v>
      </c>
      <c r="CW68" s="17">
        <f>IF(CW$3="","",IF(CW$3=Steps,MAX(IF(CallPut=1,UndTree!CW68-Strike,Strike-UndTree!CW68),0),MAX((2-AmEur)*IF(CallPut=1,UndTree!CW68-Strike,Strike-UndTree!CW68),(UpProb*CX68+DownProb*CX69)*StepDiscount)))</f>
        <v>0</v>
      </c>
      <c r="CX68" s="17">
        <f>IF(CX$3="","",IF(CX$3=Steps,MAX(IF(CallPut=1,UndTree!CX68-Strike,Strike-UndTree!CX68),0),MAX((2-AmEur)*IF(CallPut=1,UndTree!CX68-Strike,Strike-UndTree!CX68),(UpProb*CY68+DownProb*CY69)*StepDiscount)))</f>
        <v>0</v>
      </c>
      <c r="CY68" s="17">
        <f>IF(CY$3="","",IF(CY$3=Steps,MAX(IF(CallPut=1,UndTree!CY68-Strike,Strike-UndTree!CY68),0),MAX((2-AmEur)*IF(CallPut=1,UndTree!CY68-Strike,Strike-UndTree!CY68),(UpProb*CZ68+DownProb*CZ69)*StepDiscount)))</f>
        <v>0</v>
      </c>
      <c r="CZ68" s="17">
        <f>IF(CZ$3="","",IF(CZ$3=Steps,MAX(IF(CallPut=1,UndTree!CZ68-Strike,Strike-UndTree!CZ68),0),MAX((2-AmEur)*IF(CallPut=1,UndTree!CZ68-Strike,Strike-UndTree!CZ68),(UpProb*DA68+DownProb*DA69)*StepDiscount)))</f>
        <v>0</v>
      </c>
      <c r="DA68" s="17">
        <f>IF(DA$3="","",IF(DA$3=Steps,MAX(IF(CallPut=1,UndTree!DA68-Strike,Strike-UndTree!DA68),0),MAX((2-AmEur)*IF(CallPut=1,UndTree!DA68-Strike,Strike-UndTree!DA68),(UpProb*DB68+DownProb*DB69)*StepDiscount)))</f>
        <v>0</v>
      </c>
      <c r="DB68" s="17">
        <f>IF(DB$3="","",IF(DB$3=Steps,MAX(IF(CallPut=1,UndTree!DB68-Strike,Strike-UndTree!DB68),0),MAX((2-AmEur)*IF(CallPut=1,UndTree!DB68-Strike,Strike-UndTree!DB68),(UpProb*DC68+DownProb*DC69)*StepDiscount)))</f>
        <v>0</v>
      </c>
    </row>
    <row r="69" spans="1:106" x14ac:dyDescent="0.2">
      <c r="A69">
        <f>ExDivTree!A69</f>
        <v>3.0722717353328938E+27</v>
      </c>
      <c r="B69" s="71">
        <f>ExDivTree!B69</f>
        <v>1.2117975311098177E-3</v>
      </c>
      <c r="C69" s="71">
        <f>ExDivTree!C69</f>
        <v>1.1217455523403058E-3</v>
      </c>
      <c r="D69" s="177">
        <f>ExDivTree!D69</f>
        <v>65</v>
      </c>
      <c r="BR69" s="17">
        <f>IF(BR$3="","",IF(BR$3=Steps,MAX(IF(CallPut=1,UndTree!BR69-Strike,Strike-UndTree!BR69),0),MAX((2-AmEur)*IF(CallPut=1,UndTree!BR69-Strike,Strike-UndTree!BR69),(UpProb*BS69+DownProb*BS70)*StepDiscount)))</f>
        <v>0</v>
      </c>
      <c r="BS69" s="17">
        <f>IF(BS$3="","",IF(BS$3=Steps,MAX(IF(CallPut=1,UndTree!BS69-Strike,Strike-UndTree!BS69),0),MAX((2-AmEur)*IF(CallPut=1,UndTree!BS69-Strike,Strike-UndTree!BS69),(UpProb*BT69+DownProb*BT70)*StepDiscount)))</f>
        <v>0</v>
      </c>
      <c r="BT69" s="17">
        <f>IF(BT$3="","",IF(BT$3=Steps,MAX(IF(CallPut=1,UndTree!BT69-Strike,Strike-UndTree!BT69),0),MAX((2-AmEur)*IF(CallPut=1,UndTree!BT69-Strike,Strike-UndTree!BT69),(UpProb*BU69+DownProb*BU70)*StepDiscount)))</f>
        <v>0</v>
      </c>
      <c r="BU69" s="17">
        <f>IF(BU$3="","",IF(BU$3=Steps,MAX(IF(CallPut=1,UndTree!BU69-Strike,Strike-UndTree!BU69),0),MAX((2-AmEur)*IF(CallPut=1,UndTree!BU69-Strike,Strike-UndTree!BU69),(UpProb*BV69+DownProb*BV70)*StepDiscount)))</f>
        <v>0</v>
      </c>
      <c r="BV69" s="17">
        <f>IF(BV$3="","",IF(BV$3=Steps,MAX(IF(CallPut=1,UndTree!BV69-Strike,Strike-UndTree!BV69),0),MAX((2-AmEur)*IF(CallPut=1,UndTree!BV69-Strike,Strike-UndTree!BV69),(UpProb*BW69+DownProb*BW70)*StepDiscount)))</f>
        <v>0</v>
      </c>
      <c r="BW69" s="17">
        <f>IF(BW$3="","",IF(BW$3=Steps,MAX(IF(CallPut=1,UndTree!BW69-Strike,Strike-UndTree!BW69),0),MAX((2-AmEur)*IF(CallPut=1,UndTree!BW69-Strike,Strike-UndTree!BW69),(UpProb*BX69+DownProb*BX70)*StepDiscount)))</f>
        <v>0</v>
      </c>
      <c r="BX69" s="17">
        <f>IF(BX$3="","",IF(BX$3=Steps,MAX(IF(CallPut=1,UndTree!BX69-Strike,Strike-UndTree!BX69),0),MAX((2-AmEur)*IF(CallPut=1,UndTree!BX69-Strike,Strike-UndTree!BX69),(UpProb*BY69+DownProb*BY70)*StepDiscount)))</f>
        <v>0</v>
      </c>
      <c r="BY69" s="17">
        <f>IF(BY$3="","",IF(BY$3=Steps,MAX(IF(CallPut=1,UndTree!BY69-Strike,Strike-UndTree!BY69),0),MAX((2-AmEur)*IF(CallPut=1,UndTree!BY69-Strike,Strike-UndTree!BY69),(UpProb*BZ69+DownProb*BZ70)*StepDiscount)))</f>
        <v>0</v>
      </c>
      <c r="BZ69" s="17">
        <f>IF(BZ$3="","",IF(BZ$3=Steps,MAX(IF(CallPut=1,UndTree!BZ69-Strike,Strike-UndTree!BZ69),0),MAX((2-AmEur)*IF(CallPut=1,UndTree!BZ69-Strike,Strike-UndTree!BZ69),(UpProb*CA69+DownProb*CA70)*StepDiscount)))</f>
        <v>0</v>
      </c>
      <c r="CA69" s="17">
        <f>IF(CA$3="","",IF(CA$3=Steps,MAX(IF(CallPut=1,UndTree!CA69-Strike,Strike-UndTree!CA69),0),MAX((2-AmEur)*IF(CallPut=1,UndTree!CA69-Strike,Strike-UndTree!CA69),(UpProb*CB69+DownProb*CB70)*StepDiscount)))</f>
        <v>0</v>
      </c>
      <c r="CB69" s="17">
        <f>IF(CB$3="","",IF(CB$3=Steps,MAX(IF(CallPut=1,UndTree!CB69-Strike,Strike-UndTree!CB69),0),MAX((2-AmEur)*IF(CallPut=1,UndTree!CB69-Strike,Strike-UndTree!CB69),(UpProb*CC69+DownProb*CC70)*StepDiscount)))</f>
        <v>0</v>
      </c>
      <c r="CC69" s="17">
        <f>IF(CC$3="","",IF(CC$3=Steps,MAX(IF(CallPut=1,UndTree!CC69-Strike,Strike-UndTree!CC69),0),MAX((2-AmEur)*IF(CallPut=1,UndTree!CC69-Strike,Strike-UndTree!CC69),(UpProb*CD69+DownProb*CD70)*StepDiscount)))</f>
        <v>0</v>
      </c>
      <c r="CD69" s="17">
        <f>IF(CD$3="","",IF(CD$3=Steps,MAX(IF(CallPut=1,UndTree!CD69-Strike,Strike-UndTree!CD69),0),MAX((2-AmEur)*IF(CallPut=1,UndTree!CD69-Strike,Strike-UndTree!CD69),(UpProb*CE69+DownProb*CE70)*StepDiscount)))</f>
        <v>0</v>
      </c>
      <c r="CE69" s="17">
        <f>IF(CE$3="","",IF(CE$3=Steps,MAX(IF(CallPut=1,UndTree!CE69-Strike,Strike-UndTree!CE69),0),MAX((2-AmEur)*IF(CallPut=1,UndTree!CE69-Strike,Strike-UndTree!CE69),(UpProb*CF69+DownProb*CF70)*StepDiscount)))</f>
        <v>0</v>
      </c>
      <c r="CF69" s="17">
        <f>IF(CF$3="","",IF(CF$3=Steps,MAX(IF(CallPut=1,UndTree!CF69-Strike,Strike-UndTree!CF69),0),MAX((2-AmEur)*IF(CallPut=1,UndTree!CF69-Strike,Strike-UndTree!CF69),(UpProb*CG69+DownProb*CG70)*StepDiscount)))</f>
        <v>0</v>
      </c>
      <c r="CG69" s="17">
        <f>IF(CG$3="","",IF(CG$3=Steps,MAX(IF(CallPut=1,UndTree!CG69-Strike,Strike-UndTree!CG69),0),MAX((2-AmEur)*IF(CallPut=1,UndTree!CG69-Strike,Strike-UndTree!CG69),(UpProb*CH69+DownProb*CH70)*StepDiscount)))</f>
        <v>0</v>
      </c>
      <c r="CH69" s="17">
        <f>IF(CH$3="","",IF(CH$3=Steps,MAX(IF(CallPut=1,UndTree!CH69-Strike,Strike-UndTree!CH69),0),MAX((2-AmEur)*IF(CallPut=1,UndTree!CH69-Strike,Strike-UndTree!CH69),(UpProb*CI69+DownProb*CI70)*StepDiscount)))</f>
        <v>0</v>
      </c>
      <c r="CI69" s="17">
        <f>IF(CI$3="","",IF(CI$3=Steps,MAX(IF(CallPut=1,UndTree!CI69-Strike,Strike-UndTree!CI69),0),MAX((2-AmEur)*IF(CallPut=1,UndTree!CI69-Strike,Strike-UndTree!CI69),(UpProb*CJ69+DownProb*CJ70)*StepDiscount)))</f>
        <v>0</v>
      </c>
      <c r="CJ69" s="17">
        <f>IF(CJ$3="","",IF(CJ$3=Steps,MAX(IF(CallPut=1,UndTree!CJ69-Strike,Strike-UndTree!CJ69),0),MAX((2-AmEur)*IF(CallPut=1,UndTree!CJ69-Strike,Strike-UndTree!CJ69),(UpProb*CK69+DownProb*CK70)*StepDiscount)))</f>
        <v>0</v>
      </c>
      <c r="CK69" s="17">
        <f>IF(CK$3="","",IF(CK$3=Steps,MAX(IF(CallPut=1,UndTree!CK69-Strike,Strike-UndTree!CK69),0),MAX((2-AmEur)*IF(CallPut=1,UndTree!CK69-Strike,Strike-UndTree!CK69),(UpProb*CL69+DownProb*CL70)*StepDiscount)))</f>
        <v>0</v>
      </c>
      <c r="CL69" s="17">
        <f>IF(CL$3="","",IF(CL$3=Steps,MAX(IF(CallPut=1,UndTree!CL69-Strike,Strike-UndTree!CL69),0),MAX((2-AmEur)*IF(CallPut=1,UndTree!CL69-Strike,Strike-UndTree!CL69),(UpProb*CM69+DownProb*CM70)*StepDiscount)))</f>
        <v>0</v>
      </c>
      <c r="CM69" s="17">
        <f>IF(CM$3="","",IF(CM$3=Steps,MAX(IF(CallPut=1,UndTree!CM69-Strike,Strike-UndTree!CM69),0),MAX((2-AmEur)*IF(CallPut=1,UndTree!CM69-Strike,Strike-UndTree!CM69),(UpProb*CN69+DownProb*CN70)*StepDiscount)))</f>
        <v>0</v>
      </c>
      <c r="CN69" s="17">
        <f>IF(CN$3="","",IF(CN$3=Steps,MAX(IF(CallPut=1,UndTree!CN69-Strike,Strike-UndTree!CN69),0),MAX((2-AmEur)*IF(CallPut=1,UndTree!CN69-Strike,Strike-UndTree!CN69),(UpProb*CO69+DownProb*CO70)*StepDiscount)))</f>
        <v>0</v>
      </c>
      <c r="CO69" s="17">
        <f>IF(CO$3="","",IF(CO$3=Steps,MAX(IF(CallPut=1,UndTree!CO69-Strike,Strike-UndTree!CO69),0),MAX((2-AmEur)*IF(CallPut=1,UndTree!CO69-Strike,Strike-UndTree!CO69),(UpProb*CP69+DownProb*CP70)*StepDiscount)))</f>
        <v>0</v>
      </c>
      <c r="CP69" s="17">
        <f>IF(CP$3="","",IF(CP$3=Steps,MAX(IF(CallPut=1,UndTree!CP69-Strike,Strike-UndTree!CP69),0),MAX((2-AmEur)*IF(CallPut=1,UndTree!CP69-Strike,Strike-UndTree!CP69),(UpProb*CQ69+DownProb*CQ70)*StepDiscount)))</f>
        <v>0</v>
      </c>
      <c r="CQ69" s="17">
        <f>IF(CQ$3="","",IF(CQ$3=Steps,MAX(IF(CallPut=1,UndTree!CQ69-Strike,Strike-UndTree!CQ69),0),MAX((2-AmEur)*IF(CallPut=1,UndTree!CQ69-Strike,Strike-UndTree!CQ69),(UpProb*CR69+DownProb*CR70)*StepDiscount)))</f>
        <v>0</v>
      </c>
      <c r="CR69" s="17">
        <f>IF(CR$3="","",IF(CR$3=Steps,MAX(IF(CallPut=1,UndTree!CR69-Strike,Strike-UndTree!CR69),0),MAX((2-AmEur)*IF(CallPut=1,UndTree!CR69-Strike,Strike-UndTree!CR69),(UpProb*CS69+DownProb*CS70)*StepDiscount)))</f>
        <v>0</v>
      </c>
      <c r="CS69" s="17">
        <f>IF(CS$3="","",IF(CS$3=Steps,MAX(IF(CallPut=1,UndTree!CS69-Strike,Strike-UndTree!CS69),0),MAX((2-AmEur)*IF(CallPut=1,UndTree!CS69-Strike,Strike-UndTree!CS69),(UpProb*CT69+DownProb*CT70)*StepDiscount)))</f>
        <v>0</v>
      </c>
      <c r="CT69" s="17">
        <f>IF(CT$3="","",IF(CT$3=Steps,MAX(IF(CallPut=1,UndTree!CT69-Strike,Strike-UndTree!CT69),0),MAX((2-AmEur)*IF(CallPut=1,UndTree!CT69-Strike,Strike-UndTree!CT69),(UpProb*CU69+DownProb*CU70)*StepDiscount)))</f>
        <v>0</v>
      </c>
      <c r="CU69" s="17">
        <f>IF(CU$3="","",IF(CU$3=Steps,MAX(IF(CallPut=1,UndTree!CU69-Strike,Strike-UndTree!CU69),0),MAX((2-AmEur)*IF(CallPut=1,UndTree!CU69-Strike,Strike-UndTree!CU69),(UpProb*CV69+DownProb*CV70)*StepDiscount)))</f>
        <v>0</v>
      </c>
      <c r="CV69" s="17">
        <f>IF(CV$3="","",IF(CV$3=Steps,MAX(IF(CallPut=1,UndTree!CV69-Strike,Strike-UndTree!CV69),0),MAX((2-AmEur)*IF(CallPut=1,UndTree!CV69-Strike,Strike-UndTree!CV69),(UpProb*CW69+DownProb*CW70)*StepDiscount)))</f>
        <v>0</v>
      </c>
      <c r="CW69" s="17">
        <f>IF(CW$3="","",IF(CW$3=Steps,MAX(IF(CallPut=1,UndTree!CW69-Strike,Strike-UndTree!CW69),0),MAX((2-AmEur)*IF(CallPut=1,UndTree!CW69-Strike,Strike-UndTree!CW69),(UpProb*CX69+DownProb*CX70)*StepDiscount)))</f>
        <v>0</v>
      </c>
      <c r="CX69" s="17">
        <f>IF(CX$3="","",IF(CX$3=Steps,MAX(IF(CallPut=1,UndTree!CX69-Strike,Strike-UndTree!CX69),0),MAX((2-AmEur)*IF(CallPut=1,UndTree!CX69-Strike,Strike-UndTree!CX69),(UpProb*CY69+DownProb*CY70)*StepDiscount)))</f>
        <v>0</v>
      </c>
      <c r="CY69" s="17">
        <f>IF(CY$3="","",IF(CY$3=Steps,MAX(IF(CallPut=1,UndTree!CY69-Strike,Strike-UndTree!CY69),0),MAX((2-AmEur)*IF(CallPut=1,UndTree!CY69-Strike,Strike-UndTree!CY69),(UpProb*CZ69+DownProb*CZ70)*StepDiscount)))</f>
        <v>0</v>
      </c>
      <c r="CZ69" s="17">
        <f>IF(CZ$3="","",IF(CZ$3=Steps,MAX(IF(CallPut=1,UndTree!CZ69-Strike,Strike-UndTree!CZ69),0),MAX((2-AmEur)*IF(CallPut=1,UndTree!CZ69-Strike,Strike-UndTree!CZ69),(UpProb*DA69+DownProb*DA70)*StepDiscount)))</f>
        <v>0</v>
      </c>
      <c r="DA69" s="17">
        <f>IF(DA$3="","",IF(DA$3=Steps,MAX(IF(CallPut=1,UndTree!DA69-Strike,Strike-UndTree!DA69),0),MAX((2-AmEur)*IF(CallPut=1,UndTree!DA69-Strike,Strike-UndTree!DA69),(UpProb*DB69+DownProb*DB70)*StepDiscount)))</f>
        <v>0</v>
      </c>
      <c r="DB69" s="17">
        <f>IF(DB$3="","",IF(DB$3=Steps,MAX(IF(CallPut=1,UndTree!DB69-Strike,Strike-UndTree!DB69),0),MAX((2-AmEur)*IF(CallPut=1,UndTree!DB69-Strike,Strike-UndTree!DB69),(UpProb*DC69+DownProb*DC70)*StepDiscount)))</f>
        <v>0</v>
      </c>
    </row>
    <row r="70" spans="1:106" x14ac:dyDescent="0.2">
      <c r="A70">
        <f>ExDivTree!A70</f>
        <v>1.6757845829088522E+27</v>
      </c>
      <c r="B70" s="71">
        <f>ExDivTree!B70</f>
        <v>6.6098047151444644E-4</v>
      </c>
      <c r="C70" s="71">
        <f>ExDivTree!C70</f>
        <v>6.0862633448927929E-4</v>
      </c>
      <c r="D70" s="177">
        <f>ExDivTree!D70</f>
        <v>66</v>
      </c>
      <c r="BS70" s="17">
        <f>IF(BS$3="","",IF(BS$3=Steps,MAX(IF(CallPut=1,UndTree!BS70-Strike,Strike-UndTree!BS70),0),MAX((2-AmEur)*IF(CallPut=1,UndTree!BS70-Strike,Strike-UndTree!BS70),(UpProb*BT70+DownProb*BT71)*StepDiscount)))</f>
        <v>0</v>
      </c>
      <c r="BT70" s="17">
        <f>IF(BT$3="","",IF(BT$3=Steps,MAX(IF(CallPut=1,UndTree!BT70-Strike,Strike-UndTree!BT70),0),MAX((2-AmEur)*IF(CallPut=1,UndTree!BT70-Strike,Strike-UndTree!BT70),(UpProb*BU70+DownProb*BU71)*StepDiscount)))</f>
        <v>0</v>
      </c>
      <c r="BU70" s="17">
        <f>IF(BU$3="","",IF(BU$3=Steps,MAX(IF(CallPut=1,UndTree!BU70-Strike,Strike-UndTree!BU70),0),MAX((2-AmEur)*IF(CallPut=1,UndTree!BU70-Strike,Strike-UndTree!BU70),(UpProb*BV70+DownProb*BV71)*StepDiscount)))</f>
        <v>0</v>
      </c>
      <c r="BV70" s="17">
        <f>IF(BV$3="","",IF(BV$3=Steps,MAX(IF(CallPut=1,UndTree!BV70-Strike,Strike-UndTree!BV70),0),MAX((2-AmEur)*IF(CallPut=1,UndTree!BV70-Strike,Strike-UndTree!BV70),(UpProb*BW70+DownProb*BW71)*StepDiscount)))</f>
        <v>0</v>
      </c>
      <c r="BW70" s="17">
        <f>IF(BW$3="","",IF(BW$3=Steps,MAX(IF(CallPut=1,UndTree!BW70-Strike,Strike-UndTree!BW70),0),MAX((2-AmEur)*IF(CallPut=1,UndTree!BW70-Strike,Strike-UndTree!BW70),(UpProb*BX70+DownProb*BX71)*StepDiscount)))</f>
        <v>0</v>
      </c>
      <c r="BX70" s="17">
        <f>IF(BX$3="","",IF(BX$3=Steps,MAX(IF(CallPut=1,UndTree!BX70-Strike,Strike-UndTree!BX70),0),MAX((2-AmEur)*IF(CallPut=1,UndTree!BX70-Strike,Strike-UndTree!BX70),(UpProb*BY70+DownProb*BY71)*StepDiscount)))</f>
        <v>0</v>
      </c>
      <c r="BY70" s="17">
        <f>IF(BY$3="","",IF(BY$3=Steps,MAX(IF(CallPut=1,UndTree!BY70-Strike,Strike-UndTree!BY70),0),MAX((2-AmEur)*IF(CallPut=1,UndTree!BY70-Strike,Strike-UndTree!BY70),(UpProb*BZ70+DownProb*BZ71)*StepDiscount)))</f>
        <v>0</v>
      </c>
      <c r="BZ70" s="17">
        <f>IF(BZ$3="","",IF(BZ$3=Steps,MAX(IF(CallPut=1,UndTree!BZ70-Strike,Strike-UndTree!BZ70),0),MAX((2-AmEur)*IF(CallPut=1,UndTree!BZ70-Strike,Strike-UndTree!BZ70),(UpProb*CA70+DownProb*CA71)*StepDiscount)))</f>
        <v>0</v>
      </c>
      <c r="CA70" s="17">
        <f>IF(CA$3="","",IF(CA$3=Steps,MAX(IF(CallPut=1,UndTree!CA70-Strike,Strike-UndTree!CA70),0),MAX((2-AmEur)*IF(CallPut=1,UndTree!CA70-Strike,Strike-UndTree!CA70),(UpProb*CB70+DownProb*CB71)*StepDiscount)))</f>
        <v>0</v>
      </c>
      <c r="CB70" s="17">
        <f>IF(CB$3="","",IF(CB$3=Steps,MAX(IF(CallPut=1,UndTree!CB70-Strike,Strike-UndTree!CB70),0),MAX((2-AmEur)*IF(CallPut=1,UndTree!CB70-Strike,Strike-UndTree!CB70),(UpProb*CC70+DownProb*CC71)*StepDiscount)))</f>
        <v>0</v>
      </c>
      <c r="CC70" s="17">
        <f>IF(CC$3="","",IF(CC$3=Steps,MAX(IF(CallPut=1,UndTree!CC70-Strike,Strike-UndTree!CC70),0),MAX((2-AmEur)*IF(CallPut=1,UndTree!CC70-Strike,Strike-UndTree!CC70),(UpProb*CD70+DownProb*CD71)*StepDiscount)))</f>
        <v>0</v>
      </c>
      <c r="CD70" s="17">
        <f>IF(CD$3="","",IF(CD$3=Steps,MAX(IF(CallPut=1,UndTree!CD70-Strike,Strike-UndTree!CD70),0),MAX((2-AmEur)*IF(CallPut=1,UndTree!CD70-Strike,Strike-UndTree!CD70),(UpProb*CE70+DownProb*CE71)*StepDiscount)))</f>
        <v>0</v>
      </c>
      <c r="CE70" s="17">
        <f>IF(CE$3="","",IF(CE$3=Steps,MAX(IF(CallPut=1,UndTree!CE70-Strike,Strike-UndTree!CE70),0),MAX((2-AmEur)*IF(CallPut=1,UndTree!CE70-Strike,Strike-UndTree!CE70),(UpProb*CF70+DownProb*CF71)*StepDiscount)))</f>
        <v>0</v>
      </c>
      <c r="CF70" s="17">
        <f>IF(CF$3="","",IF(CF$3=Steps,MAX(IF(CallPut=1,UndTree!CF70-Strike,Strike-UndTree!CF70),0),MAX((2-AmEur)*IF(CallPut=1,UndTree!CF70-Strike,Strike-UndTree!CF70),(UpProb*CG70+DownProb*CG71)*StepDiscount)))</f>
        <v>0</v>
      </c>
      <c r="CG70" s="17">
        <f>IF(CG$3="","",IF(CG$3=Steps,MAX(IF(CallPut=1,UndTree!CG70-Strike,Strike-UndTree!CG70),0),MAX((2-AmEur)*IF(CallPut=1,UndTree!CG70-Strike,Strike-UndTree!CG70),(UpProb*CH70+DownProb*CH71)*StepDiscount)))</f>
        <v>0</v>
      </c>
      <c r="CH70" s="17">
        <f>IF(CH$3="","",IF(CH$3=Steps,MAX(IF(CallPut=1,UndTree!CH70-Strike,Strike-UndTree!CH70),0),MAX((2-AmEur)*IF(CallPut=1,UndTree!CH70-Strike,Strike-UndTree!CH70),(UpProb*CI70+DownProb*CI71)*StepDiscount)))</f>
        <v>0</v>
      </c>
      <c r="CI70" s="17">
        <f>IF(CI$3="","",IF(CI$3=Steps,MAX(IF(CallPut=1,UndTree!CI70-Strike,Strike-UndTree!CI70),0),MAX((2-AmEur)*IF(CallPut=1,UndTree!CI70-Strike,Strike-UndTree!CI70),(UpProb*CJ70+DownProb*CJ71)*StepDiscount)))</f>
        <v>0</v>
      </c>
      <c r="CJ70" s="17">
        <f>IF(CJ$3="","",IF(CJ$3=Steps,MAX(IF(CallPut=1,UndTree!CJ70-Strike,Strike-UndTree!CJ70),0),MAX((2-AmEur)*IF(CallPut=1,UndTree!CJ70-Strike,Strike-UndTree!CJ70),(UpProb*CK70+DownProb*CK71)*StepDiscount)))</f>
        <v>0</v>
      </c>
      <c r="CK70" s="17">
        <f>IF(CK$3="","",IF(CK$3=Steps,MAX(IF(CallPut=1,UndTree!CK70-Strike,Strike-UndTree!CK70),0),MAX((2-AmEur)*IF(CallPut=1,UndTree!CK70-Strike,Strike-UndTree!CK70),(UpProb*CL70+DownProb*CL71)*StepDiscount)))</f>
        <v>0</v>
      </c>
      <c r="CL70" s="17">
        <f>IF(CL$3="","",IF(CL$3=Steps,MAX(IF(CallPut=1,UndTree!CL70-Strike,Strike-UndTree!CL70),0),MAX((2-AmEur)*IF(CallPut=1,UndTree!CL70-Strike,Strike-UndTree!CL70),(UpProb*CM70+DownProb*CM71)*StepDiscount)))</f>
        <v>0</v>
      </c>
      <c r="CM70" s="17">
        <f>IF(CM$3="","",IF(CM$3=Steps,MAX(IF(CallPut=1,UndTree!CM70-Strike,Strike-UndTree!CM70),0),MAX((2-AmEur)*IF(CallPut=1,UndTree!CM70-Strike,Strike-UndTree!CM70),(UpProb*CN70+DownProb*CN71)*StepDiscount)))</f>
        <v>0</v>
      </c>
      <c r="CN70" s="17">
        <f>IF(CN$3="","",IF(CN$3=Steps,MAX(IF(CallPut=1,UndTree!CN70-Strike,Strike-UndTree!CN70),0),MAX((2-AmEur)*IF(CallPut=1,UndTree!CN70-Strike,Strike-UndTree!CN70),(UpProb*CO70+DownProb*CO71)*StepDiscount)))</f>
        <v>0</v>
      </c>
      <c r="CO70" s="17">
        <f>IF(CO$3="","",IF(CO$3=Steps,MAX(IF(CallPut=1,UndTree!CO70-Strike,Strike-UndTree!CO70),0),MAX((2-AmEur)*IF(CallPut=1,UndTree!CO70-Strike,Strike-UndTree!CO70),(UpProb*CP70+DownProb*CP71)*StepDiscount)))</f>
        <v>0</v>
      </c>
      <c r="CP70" s="17">
        <f>IF(CP$3="","",IF(CP$3=Steps,MAX(IF(CallPut=1,UndTree!CP70-Strike,Strike-UndTree!CP70),0),MAX((2-AmEur)*IF(CallPut=1,UndTree!CP70-Strike,Strike-UndTree!CP70),(UpProb*CQ70+DownProb*CQ71)*StepDiscount)))</f>
        <v>0</v>
      </c>
      <c r="CQ70" s="17">
        <f>IF(CQ$3="","",IF(CQ$3=Steps,MAX(IF(CallPut=1,UndTree!CQ70-Strike,Strike-UndTree!CQ70),0),MAX((2-AmEur)*IF(CallPut=1,UndTree!CQ70-Strike,Strike-UndTree!CQ70),(UpProb*CR70+DownProb*CR71)*StepDiscount)))</f>
        <v>0</v>
      </c>
      <c r="CR70" s="17">
        <f>IF(CR$3="","",IF(CR$3=Steps,MAX(IF(CallPut=1,UndTree!CR70-Strike,Strike-UndTree!CR70),0),MAX((2-AmEur)*IF(CallPut=1,UndTree!CR70-Strike,Strike-UndTree!CR70),(UpProb*CS70+DownProb*CS71)*StepDiscount)))</f>
        <v>0</v>
      </c>
      <c r="CS70" s="17">
        <f>IF(CS$3="","",IF(CS$3=Steps,MAX(IF(CallPut=1,UndTree!CS70-Strike,Strike-UndTree!CS70),0),MAX((2-AmEur)*IF(CallPut=1,UndTree!CS70-Strike,Strike-UndTree!CS70),(UpProb*CT70+DownProb*CT71)*StepDiscount)))</f>
        <v>0</v>
      </c>
      <c r="CT70" s="17">
        <f>IF(CT$3="","",IF(CT$3=Steps,MAX(IF(CallPut=1,UndTree!CT70-Strike,Strike-UndTree!CT70),0),MAX((2-AmEur)*IF(CallPut=1,UndTree!CT70-Strike,Strike-UndTree!CT70),(UpProb*CU70+DownProb*CU71)*StepDiscount)))</f>
        <v>0</v>
      </c>
      <c r="CU70" s="17">
        <f>IF(CU$3="","",IF(CU$3=Steps,MAX(IF(CallPut=1,UndTree!CU70-Strike,Strike-UndTree!CU70),0),MAX((2-AmEur)*IF(CallPut=1,UndTree!CU70-Strike,Strike-UndTree!CU70),(UpProb*CV70+DownProb*CV71)*StepDiscount)))</f>
        <v>0</v>
      </c>
      <c r="CV70" s="17">
        <f>IF(CV$3="","",IF(CV$3=Steps,MAX(IF(CallPut=1,UndTree!CV70-Strike,Strike-UndTree!CV70),0),MAX((2-AmEur)*IF(CallPut=1,UndTree!CV70-Strike,Strike-UndTree!CV70),(UpProb*CW70+DownProb*CW71)*StepDiscount)))</f>
        <v>0</v>
      </c>
      <c r="CW70" s="17">
        <f>IF(CW$3="","",IF(CW$3=Steps,MAX(IF(CallPut=1,UndTree!CW70-Strike,Strike-UndTree!CW70),0),MAX((2-AmEur)*IF(CallPut=1,UndTree!CW70-Strike,Strike-UndTree!CW70),(UpProb*CX70+DownProb*CX71)*StepDiscount)))</f>
        <v>0</v>
      </c>
      <c r="CX70" s="17">
        <f>IF(CX$3="","",IF(CX$3=Steps,MAX(IF(CallPut=1,UndTree!CX70-Strike,Strike-UndTree!CX70),0),MAX((2-AmEur)*IF(CallPut=1,UndTree!CX70-Strike,Strike-UndTree!CX70),(UpProb*CY70+DownProb*CY71)*StepDiscount)))</f>
        <v>0</v>
      </c>
      <c r="CY70" s="17">
        <f>IF(CY$3="","",IF(CY$3=Steps,MAX(IF(CallPut=1,UndTree!CY70-Strike,Strike-UndTree!CY70),0),MAX((2-AmEur)*IF(CallPut=1,UndTree!CY70-Strike,Strike-UndTree!CY70),(UpProb*CZ70+DownProb*CZ71)*StepDiscount)))</f>
        <v>0</v>
      </c>
      <c r="CZ70" s="17">
        <f>IF(CZ$3="","",IF(CZ$3=Steps,MAX(IF(CallPut=1,UndTree!CZ70-Strike,Strike-UndTree!CZ70),0),MAX((2-AmEur)*IF(CallPut=1,UndTree!CZ70-Strike,Strike-UndTree!CZ70),(UpProb*DA70+DownProb*DA71)*StepDiscount)))</f>
        <v>0</v>
      </c>
      <c r="DA70" s="17">
        <f>IF(DA$3="","",IF(DA$3=Steps,MAX(IF(CallPut=1,UndTree!DA70-Strike,Strike-UndTree!DA70),0),MAX((2-AmEur)*IF(CallPut=1,UndTree!DA70-Strike,Strike-UndTree!DA70),(UpProb*DB70+DownProb*DB71)*StepDiscount)))</f>
        <v>0</v>
      </c>
      <c r="DB70" s="17">
        <f>IF(DB$3="","",IF(DB$3=Steps,MAX(IF(CallPut=1,UndTree!DB70-Strike,Strike-UndTree!DB70),0),MAX((2-AmEur)*IF(CallPut=1,UndTree!DB70-Strike,Strike-UndTree!DB70),(UpProb*DC70+DownProb*DC71)*StepDiscount)))</f>
        <v>0</v>
      </c>
    </row>
    <row r="71" spans="1:106" x14ac:dyDescent="0.2">
      <c r="A71">
        <f>ExDivTree!A71</f>
        <v>8.7540985674343115E+26</v>
      </c>
      <c r="B71" s="71">
        <f>ExDivTree!B71</f>
        <v>3.4528830601500968E-4</v>
      </c>
      <c r="C71" s="71">
        <f>ExDivTree!C71</f>
        <v>3.1625820362151459E-4</v>
      </c>
      <c r="D71" s="177">
        <f>ExDivTree!D71</f>
        <v>67</v>
      </c>
      <c r="BT71" s="17">
        <f>IF(BT$3="","",IF(BT$3=Steps,MAX(IF(CallPut=1,UndTree!BT71-Strike,Strike-UndTree!BT71),0),MAX((2-AmEur)*IF(CallPut=1,UndTree!BT71-Strike,Strike-UndTree!BT71),(UpProb*BU71+DownProb*BU72)*StepDiscount)))</f>
        <v>0</v>
      </c>
      <c r="BU71" s="17">
        <f>IF(BU$3="","",IF(BU$3=Steps,MAX(IF(CallPut=1,UndTree!BU71-Strike,Strike-UndTree!BU71),0),MAX((2-AmEur)*IF(CallPut=1,UndTree!BU71-Strike,Strike-UndTree!BU71),(UpProb*BV71+DownProb*BV72)*StepDiscount)))</f>
        <v>0</v>
      </c>
      <c r="BV71" s="17">
        <f>IF(BV$3="","",IF(BV$3=Steps,MAX(IF(CallPut=1,UndTree!BV71-Strike,Strike-UndTree!BV71),0),MAX((2-AmEur)*IF(CallPut=1,UndTree!BV71-Strike,Strike-UndTree!BV71),(UpProb*BW71+DownProb*BW72)*StepDiscount)))</f>
        <v>0</v>
      </c>
      <c r="BW71" s="17">
        <f>IF(BW$3="","",IF(BW$3=Steps,MAX(IF(CallPut=1,UndTree!BW71-Strike,Strike-UndTree!BW71),0),MAX((2-AmEur)*IF(CallPut=1,UndTree!BW71-Strike,Strike-UndTree!BW71),(UpProb*BX71+DownProb*BX72)*StepDiscount)))</f>
        <v>0</v>
      </c>
      <c r="BX71" s="17">
        <f>IF(BX$3="","",IF(BX$3=Steps,MAX(IF(CallPut=1,UndTree!BX71-Strike,Strike-UndTree!BX71),0),MAX((2-AmEur)*IF(CallPut=1,UndTree!BX71-Strike,Strike-UndTree!BX71),(UpProb*BY71+DownProb*BY72)*StepDiscount)))</f>
        <v>0</v>
      </c>
      <c r="BY71" s="17">
        <f>IF(BY$3="","",IF(BY$3=Steps,MAX(IF(CallPut=1,UndTree!BY71-Strike,Strike-UndTree!BY71),0),MAX((2-AmEur)*IF(CallPut=1,UndTree!BY71-Strike,Strike-UndTree!BY71),(UpProb*BZ71+DownProb*BZ72)*StepDiscount)))</f>
        <v>0</v>
      </c>
      <c r="BZ71" s="17">
        <f>IF(BZ$3="","",IF(BZ$3=Steps,MAX(IF(CallPut=1,UndTree!BZ71-Strike,Strike-UndTree!BZ71),0),MAX((2-AmEur)*IF(CallPut=1,UndTree!BZ71-Strike,Strike-UndTree!BZ71),(UpProb*CA71+DownProb*CA72)*StepDiscount)))</f>
        <v>0</v>
      </c>
      <c r="CA71" s="17">
        <f>IF(CA$3="","",IF(CA$3=Steps,MAX(IF(CallPut=1,UndTree!CA71-Strike,Strike-UndTree!CA71),0),MAX((2-AmEur)*IF(CallPut=1,UndTree!CA71-Strike,Strike-UndTree!CA71),(UpProb*CB71+DownProb*CB72)*StepDiscount)))</f>
        <v>0</v>
      </c>
      <c r="CB71" s="17">
        <f>IF(CB$3="","",IF(CB$3=Steps,MAX(IF(CallPut=1,UndTree!CB71-Strike,Strike-UndTree!CB71),0),MAX((2-AmEur)*IF(CallPut=1,UndTree!CB71-Strike,Strike-UndTree!CB71),(UpProb*CC71+DownProb*CC72)*StepDiscount)))</f>
        <v>0</v>
      </c>
      <c r="CC71" s="17">
        <f>IF(CC$3="","",IF(CC$3=Steps,MAX(IF(CallPut=1,UndTree!CC71-Strike,Strike-UndTree!CC71),0),MAX((2-AmEur)*IF(CallPut=1,UndTree!CC71-Strike,Strike-UndTree!CC71),(UpProb*CD71+DownProb*CD72)*StepDiscount)))</f>
        <v>0</v>
      </c>
      <c r="CD71" s="17">
        <f>IF(CD$3="","",IF(CD$3=Steps,MAX(IF(CallPut=1,UndTree!CD71-Strike,Strike-UndTree!CD71),0),MAX((2-AmEur)*IF(CallPut=1,UndTree!CD71-Strike,Strike-UndTree!CD71),(UpProb*CE71+DownProb*CE72)*StepDiscount)))</f>
        <v>0</v>
      </c>
      <c r="CE71" s="17">
        <f>IF(CE$3="","",IF(CE$3=Steps,MAX(IF(CallPut=1,UndTree!CE71-Strike,Strike-UndTree!CE71),0),MAX((2-AmEur)*IF(CallPut=1,UndTree!CE71-Strike,Strike-UndTree!CE71),(UpProb*CF71+DownProb*CF72)*StepDiscount)))</f>
        <v>0</v>
      </c>
      <c r="CF71" s="17">
        <f>IF(CF$3="","",IF(CF$3=Steps,MAX(IF(CallPut=1,UndTree!CF71-Strike,Strike-UndTree!CF71),0),MAX((2-AmEur)*IF(CallPut=1,UndTree!CF71-Strike,Strike-UndTree!CF71),(UpProb*CG71+DownProb*CG72)*StepDiscount)))</f>
        <v>0</v>
      </c>
      <c r="CG71" s="17">
        <f>IF(CG$3="","",IF(CG$3=Steps,MAX(IF(CallPut=1,UndTree!CG71-Strike,Strike-UndTree!CG71),0),MAX((2-AmEur)*IF(CallPut=1,UndTree!CG71-Strike,Strike-UndTree!CG71),(UpProb*CH71+DownProb*CH72)*StepDiscount)))</f>
        <v>0</v>
      </c>
      <c r="CH71" s="17">
        <f>IF(CH$3="","",IF(CH$3=Steps,MAX(IF(CallPut=1,UndTree!CH71-Strike,Strike-UndTree!CH71),0),MAX((2-AmEur)*IF(CallPut=1,UndTree!CH71-Strike,Strike-UndTree!CH71),(UpProb*CI71+DownProb*CI72)*StepDiscount)))</f>
        <v>0</v>
      </c>
      <c r="CI71" s="17">
        <f>IF(CI$3="","",IF(CI$3=Steps,MAX(IF(CallPut=1,UndTree!CI71-Strike,Strike-UndTree!CI71),0),MAX((2-AmEur)*IF(CallPut=1,UndTree!CI71-Strike,Strike-UndTree!CI71),(UpProb*CJ71+DownProb*CJ72)*StepDiscount)))</f>
        <v>0</v>
      </c>
      <c r="CJ71" s="17">
        <f>IF(CJ$3="","",IF(CJ$3=Steps,MAX(IF(CallPut=1,UndTree!CJ71-Strike,Strike-UndTree!CJ71),0),MAX((2-AmEur)*IF(CallPut=1,UndTree!CJ71-Strike,Strike-UndTree!CJ71),(UpProb*CK71+DownProb*CK72)*StepDiscount)))</f>
        <v>0</v>
      </c>
      <c r="CK71" s="17">
        <f>IF(CK$3="","",IF(CK$3=Steps,MAX(IF(CallPut=1,UndTree!CK71-Strike,Strike-UndTree!CK71),0),MAX((2-AmEur)*IF(CallPut=1,UndTree!CK71-Strike,Strike-UndTree!CK71),(UpProb*CL71+DownProb*CL72)*StepDiscount)))</f>
        <v>0</v>
      </c>
      <c r="CL71" s="17">
        <f>IF(CL$3="","",IF(CL$3=Steps,MAX(IF(CallPut=1,UndTree!CL71-Strike,Strike-UndTree!CL71),0),MAX((2-AmEur)*IF(CallPut=1,UndTree!CL71-Strike,Strike-UndTree!CL71),(UpProb*CM71+DownProb*CM72)*StepDiscount)))</f>
        <v>0</v>
      </c>
      <c r="CM71" s="17">
        <f>IF(CM$3="","",IF(CM$3=Steps,MAX(IF(CallPut=1,UndTree!CM71-Strike,Strike-UndTree!CM71),0),MAX((2-AmEur)*IF(CallPut=1,UndTree!CM71-Strike,Strike-UndTree!CM71),(UpProb*CN71+DownProb*CN72)*StepDiscount)))</f>
        <v>0</v>
      </c>
      <c r="CN71" s="17">
        <f>IF(CN$3="","",IF(CN$3=Steps,MAX(IF(CallPut=1,UndTree!CN71-Strike,Strike-UndTree!CN71),0),MAX((2-AmEur)*IF(CallPut=1,UndTree!CN71-Strike,Strike-UndTree!CN71),(UpProb*CO71+DownProb*CO72)*StepDiscount)))</f>
        <v>0</v>
      </c>
      <c r="CO71" s="17">
        <f>IF(CO$3="","",IF(CO$3=Steps,MAX(IF(CallPut=1,UndTree!CO71-Strike,Strike-UndTree!CO71),0),MAX((2-AmEur)*IF(CallPut=1,UndTree!CO71-Strike,Strike-UndTree!CO71),(UpProb*CP71+DownProb*CP72)*StepDiscount)))</f>
        <v>0</v>
      </c>
      <c r="CP71" s="17">
        <f>IF(CP$3="","",IF(CP$3=Steps,MAX(IF(CallPut=1,UndTree!CP71-Strike,Strike-UndTree!CP71),0),MAX((2-AmEur)*IF(CallPut=1,UndTree!CP71-Strike,Strike-UndTree!CP71),(UpProb*CQ71+DownProb*CQ72)*StepDiscount)))</f>
        <v>0</v>
      </c>
      <c r="CQ71" s="17">
        <f>IF(CQ$3="","",IF(CQ$3=Steps,MAX(IF(CallPut=1,UndTree!CQ71-Strike,Strike-UndTree!CQ71),0),MAX((2-AmEur)*IF(CallPut=1,UndTree!CQ71-Strike,Strike-UndTree!CQ71),(UpProb*CR71+DownProb*CR72)*StepDiscount)))</f>
        <v>0</v>
      </c>
      <c r="CR71" s="17">
        <f>IF(CR$3="","",IF(CR$3=Steps,MAX(IF(CallPut=1,UndTree!CR71-Strike,Strike-UndTree!CR71),0),MAX((2-AmEur)*IF(CallPut=1,UndTree!CR71-Strike,Strike-UndTree!CR71),(UpProb*CS71+DownProb*CS72)*StepDiscount)))</f>
        <v>0</v>
      </c>
      <c r="CS71" s="17">
        <f>IF(CS$3="","",IF(CS$3=Steps,MAX(IF(CallPut=1,UndTree!CS71-Strike,Strike-UndTree!CS71),0),MAX((2-AmEur)*IF(CallPut=1,UndTree!CS71-Strike,Strike-UndTree!CS71),(UpProb*CT71+DownProb*CT72)*StepDiscount)))</f>
        <v>0</v>
      </c>
      <c r="CT71" s="17">
        <f>IF(CT$3="","",IF(CT$3=Steps,MAX(IF(CallPut=1,UndTree!CT71-Strike,Strike-UndTree!CT71),0),MAX((2-AmEur)*IF(CallPut=1,UndTree!CT71-Strike,Strike-UndTree!CT71),(UpProb*CU71+DownProb*CU72)*StepDiscount)))</f>
        <v>0</v>
      </c>
      <c r="CU71" s="17">
        <f>IF(CU$3="","",IF(CU$3=Steps,MAX(IF(CallPut=1,UndTree!CU71-Strike,Strike-UndTree!CU71),0),MAX((2-AmEur)*IF(CallPut=1,UndTree!CU71-Strike,Strike-UndTree!CU71),(UpProb*CV71+DownProb*CV72)*StepDiscount)))</f>
        <v>0</v>
      </c>
      <c r="CV71" s="17">
        <f>IF(CV$3="","",IF(CV$3=Steps,MAX(IF(CallPut=1,UndTree!CV71-Strike,Strike-UndTree!CV71),0),MAX((2-AmEur)*IF(CallPut=1,UndTree!CV71-Strike,Strike-UndTree!CV71),(UpProb*CW71+DownProb*CW72)*StepDiscount)))</f>
        <v>0</v>
      </c>
      <c r="CW71" s="17">
        <f>IF(CW$3="","",IF(CW$3=Steps,MAX(IF(CallPut=1,UndTree!CW71-Strike,Strike-UndTree!CW71),0),MAX((2-AmEur)*IF(CallPut=1,UndTree!CW71-Strike,Strike-UndTree!CW71),(UpProb*CX71+DownProb*CX72)*StepDiscount)))</f>
        <v>0</v>
      </c>
      <c r="CX71" s="17">
        <f>IF(CX$3="","",IF(CX$3=Steps,MAX(IF(CallPut=1,UndTree!CX71-Strike,Strike-UndTree!CX71),0),MAX((2-AmEur)*IF(CallPut=1,UndTree!CX71-Strike,Strike-UndTree!CX71),(UpProb*CY71+DownProb*CY72)*StepDiscount)))</f>
        <v>0</v>
      </c>
      <c r="CY71" s="17">
        <f>IF(CY$3="","",IF(CY$3=Steps,MAX(IF(CallPut=1,UndTree!CY71-Strike,Strike-UndTree!CY71),0),MAX((2-AmEur)*IF(CallPut=1,UndTree!CY71-Strike,Strike-UndTree!CY71),(UpProb*CZ71+DownProb*CZ72)*StepDiscount)))</f>
        <v>0</v>
      </c>
      <c r="CZ71" s="17">
        <f>IF(CZ$3="","",IF(CZ$3=Steps,MAX(IF(CallPut=1,UndTree!CZ71-Strike,Strike-UndTree!CZ71),0),MAX((2-AmEur)*IF(CallPut=1,UndTree!CZ71-Strike,Strike-UndTree!CZ71),(UpProb*DA71+DownProb*DA72)*StepDiscount)))</f>
        <v>0</v>
      </c>
      <c r="DA71" s="17">
        <f>IF(DA$3="","",IF(DA$3=Steps,MAX(IF(CallPut=1,UndTree!DA71-Strike,Strike-UndTree!DA71),0),MAX((2-AmEur)*IF(CallPut=1,UndTree!DA71-Strike,Strike-UndTree!DA71),(UpProb*DB71+DownProb*DB72)*StepDiscount)))</f>
        <v>0</v>
      </c>
      <c r="DB71" s="17">
        <f>IF(DB$3="","",IF(DB$3=Steps,MAX(IF(CallPut=1,UndTree!DB71-Strike,Strike-UndTree!DB71),0),MAX((2-AmEur)*IF(CallPut=1,UndTree!DB71-Strike,Strike-UndTree!DB71),(UpProb*DC71+DownProb*DC72)*StepDiscount)))</f>
        <v>0</v>
      </c>
    </row>
    <row r="72" spans="1:106" x14ac:dyDescent="0.2">
      <c r="A72">
        <f>ExDivTree!A72</f>
        <v>4.377049283717151E+26</v>
      </c>
      <c r="B72" s="71">
        <f>ExDivTree!B72</f>
        <v>1.7264415300750465E-4</v>
      </c>
      <c r="C72" s="71">
        <f>ExDivTree!C72</f>
        <v>1.5729308212456778E-4</v>
      </c>
      <c r="D72" s="177">
        <f>ExDivTree!D72</f>
        <v>68</v>
      </c>
      <c r="BU72" s="17">
        <f>IF(BU$3="","",IF(BU$3=Steps,MAX(IF(CallPut=1,UndTree!BU72-Strike,Strike-UndTree!BU72),0),MAX((2-AmEur)*IF(CallPut=1,UndTree!BU72-Strike,Strike-UndTree!BU72),(UpProb*BV72+DownProb*BV73)*StepDiscount)))</f>
        <v>0</v>
      </c>
      <c r="BV72" s="17">
        <f>IF(BV$3="","",IF(BV$3=Steps,MAX(IF(CallPut=1,UndTree!BV72-Strike,Strike-UndTree!BV72),0),MAX((2-AmEur)*IF(CallPut=1,UndTree!BV72-Strike,Strike-UndTree!BV72),(UpProb*BW72+DownProb*BW73)*StepDiscount)))</f>
        <v>0</v>
      </c>
      <c r="BW72" s="17">
        <f>IF(BW$3="","",IF(BW$3=Steps,MAX(IF(CallPut=1,UndTree!BW72-Strike,Strike-UndTree!BW72),0),MAX((2-AmEur)*IF(CallPut=1,UndTree!BW72-Strike,Strike-UndTree!BW72),(UpProb*BX72+DownProb*BX73)*StepDiscount)))</f>
        <v>0</v>
      </c>
      <c r="BX72" s="17">
        <f>IF(BX$3="","",IF(BX$3=Steps,MAX(IF(CallPut=1,UndTree!BX72-Strike,Strike-UndTree!BX72),0),MAX((2-AmEur)*IF(CallPut=1,UndTree!BX72-Strike,Strike-UndTree!BX72),(UpProb*BY72+DownProb*BY73)*StepDiscount)))</f>
        <v>0</v>
      </c>
      <c r="BY72" s="17">
        <f>IF(BY$3="","",IF(BY$3=Steps,MAX(IF(CallPut=1,UndTree!BY72-Strike,Strike-UndTree!BY72),0),MAX((2-AmEur)*IF(CallPut=1,UndTree!BY72-Strike,Strike-UndTree!BY72),(UpProb*BZ72+DownProb*BZ73)*StepDiscount)))</f>
        <v>0</v>
      </c>
      <c r="BZ72" s="17">
        <f>IF(BZ$3="","",IF(BZ$3=Steps,MAX(IF(CallPut=1,UndTree!BZ72-Strike,Strike-UndTree!BZ72),0),MAX((2-AmEur)*IF(CallPut=1,UndTree!BZ72-Strike,Strike-UndTree!BZ72),(UpProb*CA72+DownProb*CA73)*StepDiscount)))</f>
        <v>0</v>
      </c>
      <c r="CA72" s="17">
        <f>IF(CA$3="","",IF(CA$3=Steps,MAX(IF(CallPut=1,UndTree!CA72-Strike,Strike-UndTree!CA72),0),MAX((2-AmEur)*IF(CallPut=1,UndTree!CA72-Strike,Strike-UndTree!CA72),(UpProb*CB72+DownProb*CB73)*StepDiscount)))</f>
        <v>0</v>
      </c>
      <c r="CB72" s="17">
        <f>IF(CB$3="","",IF(CB$3=Steps,MAX(IF(CallPut=1,UndTree!CB72-Strike,Strike-UndTree!CB72),0),MAX((2-AmEur)*IF(CallPut=1,UndTree!CB72-Strike,Strike-UndTree!CB72),(UpProb*CC72+DownProb*CC73)*StepDiscount)))</f>
        <v>0</v>
      </c>
      <c r="CC72" s="17">
        <f>IF(CC$3="","",IF(CC$3=Steps,MAX(IF(CallPut=1,UndTree!CC72-Strike,Strike-UndTree!CC72),0),MAX((2-AmEur)*IF(CallPut=1,UndTree!CC72-Strike,Strike-UndTree!CC72),(UpProb*CD72+DownProb*CD73)*StepDiscount)))</f>
        <v>0</v>
      </c>
      <c r="CD72" s="17">
        <f>IF(CD$3="","",IF(CD$3=Steps,MAX(IF(CallPut=1,UndTree!CD72-Strike,Strike-UndTree!CD72),0),MAX((2-AmEur)*IF(CallPut=1,UndTree!CD72-Strike,Strike-UndTree!CD72),(UpProb*CE72+DownProb*CE73)*StepDiscount)))</f>
        <v>0</v>
      </c>
      <c r="CE72" s="17">
        <f>IF(CE$3="","",IF(CE$3=Steps,MAX(IF(CallPut=1,UndTree!CE72-Strike,Strike-UndTree!CE72),0),MAX((2-AmEur)*IF(CallPut=1,UndTree!CE72-Strike,Strike-UndTree!CE72),(UpProb*CF72+DownProb*CF73)*StepDiscount)))</f>
        <v>0</v>
      </c>
      <c r="CF72" s="17">
        <f>IF(CF$3="","",IF(CF$3=Steps,MAX(IF(CallPut=1,UndTree!CF72-Strike,Strike-UndTree!CF72),0),MAX((2-AmEur)*IF(CallPut=1,UndTree!CF72-Strike,Strike-UndTree!CF72),(UpProb*CG72+DownProb*CG73)*StepDiscount)))</f>
        <v>0</v>
      </c>
      <c r="CG72" s="17">
        <f>IF(CG$3="","",IF(CG$3=Steps,MAX(IF(CallPut=1,UndTree!CG72-Strike,Strike-UndTree!CG72),0),MAX((2-AmEur)*IF(CallPut=1,UndTree!CG72-Strike,Strike-UndTree!CG72),(UpProb*CH72+DownProb*CH73)*StepDiscount)))</f>
        <v>0</v>
      </c>
      <c r="CH72" s="17">
        <f>IF(CH$3="","",IF(CH$3=Steps,MAX(IF(CallPut=1,UndTree!CH72-Strike,Strike-UndTree!CH72),0),MAX((2-AmEur)*IF(CallPut=1,UndTree!CH72-Strike,Strike-UndTree!CH72),(UpProb*CI72+DownProb*CI73)*StepDiscount)))</f>
        <v>0</v>
      </c>
      <c r="CI72" s="17">
        <f>IF(CI$3="","",IF(CI$3=Steps,MAX(IF(CallPut=1,UndTree!CI72-Strike,Strike-UndTree!CI72),0),MAX((2-AmEur)*IF(CallPut=1,UndTree!CI72-Strike,Strike-UndTree!CI72),(UpProb*CJ72+DownProb*CJ73)*StepDiscount)))</f>
        <v>0</v>
      </c>
      <c r="CJ72" s="17">
        <f>IF(CJ$3="","",IF(CJ$3=Steps,MAX(IF(CallPut=1,UndTree!CJ72-Strike,Strike-UndTree!CJ72),0),MAX((2-AmEur)*IF(CallPut=1,UndTree!CJ72-Strike,Strike-UndTree!CJ72),(UpProb*CK72+DownProb*CK73)*StepDiscount)))</f>
        <v>0</v>
      </c>
      <c r="CK72" s="17">
        <f>IF(CK$3="","",IF(CK$3=Steps,MAX(IF(CallPut=1,UndTree!CK72-Strike,Strike-UndTree!CK72),0),MAX((2-AmEur)*IF(CallPut=1,UndTree!CK72-Strike,Strike-UndTree!CK72),(UpProb*CL72+DownProb*CL73)*StepDiscount)))</f>
        <v>0</v>
      </c>
      <c r="CL72" s="17">
        <f>IF(CL$3="","",IF(CL$3=Steps,MAX(IF(CallPut=1,UndTree!CL72-Strike,Strike-UndTree!CL72),0),MAX((2-AmEur)*IF(CallPut=1,UndTree!CL72-Strike,Strike-UndTree!CL72),(UpProb*CM72+DownProb*CM73)*StepDiscount)))</f>
        <v>0</v>
      </c>
      <c r="CM72" s="17">
        <f>IF(CM$3="","",IF(CM$3=Steps,MAX(IF(CallPut=1,UndTree!CM72-Strike,Strike-UndTree!CM72),0),MAX((2-AmEur)*IF(CallPut=1,UndTree!CM72-Strike,Strike-UndTree!CM72),(UpProb*CN72+DownProb*CN73)*StepDiscount)))</f>
        <v>0</v>
      </c>
      <c r="CN72" s="17">
        <f>IF(CN$3="","",IF(CN$3=Steps,MAX(IF(CallPut=1,UndTree!CN72-Strike,Strike-UndTree!CN72),0),MAX((2-AmEur)*IF(CallPut=1,UndTree!CN72-Strike,Strike-UndTree!CN72),(UpProb*CO72+DownProb*CO73)*StepDiscount)))</f>
        <v>0</v>
      </c>
      <c r="CO72" s="17">
        <f>IF(CO$3="","",IF(CO$3=Steps,MAX(IF(CallPut=1,UndTree!CO72-Strike,Strike-UndTree!CO72),0),MAX((2-AmEur)*IF(CallPut=1,UndTree!CO72-Strike,Strike-UndTree!CO72),(UpProb*CP72+DownProb*CP73)*StepDiscount)))</f>
        <v>0</v>
      </c>
      <c r="CP72" s="17">
        <f>IF(CP$3="","",IF(CP$3=Steps,MAX(IF(CallPut=1,UndTree!CP72-Strike,Strike-UndTree!CP72),0),MAX((2-AmEur)*IF(CallPut=1,UndTree!CP72-Strike,Strike-UndTree!CP72),(UpProb*CQ72+DownProb*CQ73)*StepDiscount)))</f>
        <v>0</v>
      </c>
      <c r="CQ72" s="17">
        <f>IF(CQ$3="","",IF(CQ$3=Steps,MAX(IF(CallPut=1,UndTree!CQ72-Strike,Strike-UndTree!CQ72),0),MAX((2-AmEur)*IF(CallPut=1,UndTree!CQ72-Strike,Strike-UndTree!CQ72),(UpProb*CR72+DownProb*CR73)*StepDiscount)))</f>
        <v>0</v>
      </c>
      <c r="CR72" s="17">
        <f>IF(CR$3="","",IF(CR$3=Steps,MAX(IF(CallPut=1,UndTree!CR72-Strike,Strike-UndTree!CR72),0),MAX((2-AmEur)*IF(CallPut=1,UndTree!CR72-Strike,Strike-UndTree!CR72),(UpProb*CS72+DownProb*CS73)*StepDiscount)))</f>
        <v>0</v>
      </c>
      <c r="CS72" s="17">
        <f>IF(CS$3="","",IF(CS$3=Steps,MAX(IF(CallPut=1,UndTree!CS72-Strike,Strike-UndTree!CS72),0),MAX((2-AmEur)*IF(CallPut=1,UndTree!CS72-Strike,Strike-UndTree!CS72),(UpProb*CT72+DownProb*CT73)*StepDiscount)))</f>
        <v>0</v>
      </c>
      <c r="CT72" s="17">
        <f>IF(CT$3="","",IF(CT$3=Steps,MAX(IF(CallPut=1,UndTree!CT72-Strike,Strike-UndTree!CT72),0),MAX((2-AmEur)*IF(CallPut=1,UndTree!CT72-Strike,Strike-UndTree!CT72),(UpProb*CU72+DownProb*CU73)*StepDiscount)))</f>
        <v>0</v>
      </c>
      <c r="CU72" s="17">
        <f>IF(CU$3="","",IF(CU$3=Steps,MAX(IF(CallPut=1,UndTree!CU72-Strike,Strike-UndTree!CU72),0),MAX((2-AmEur)*IF(CallPut=1,UndTree!CU72-Strike,Strike-UndTree!CU72),(UpProb*CV72+DownProb*CV73)*StepDiscount)))</f>
        <v>0</v>
      </c>
      <c r="CV72" s="17">
        <f>IF(CV$3="","",IF(CV$3=Steps,MAX(IF(CallPut=1,UndTree!CV72-Strike,Strike-UndTree!CV72),0),MAX((2-AmEur)*IF(CallPut=1,UndTree!CV72-Strike,Strike-UndTree!CV72),(UpProb*CW72+DownProb*CW73)*StepDiscount)))</f>
        <v>0</v>
      </c>
      <c r="CW72" s="17">
        <f>IF(CW$3="","",IF(CW$3=Steps,MAX(IF(CallPut=1,UndTree!CW72-Strike,Strike-UndTree!CW72),0),MAX((2-AmEur)*IF(CallPut=1,UndTree!CW72-Strike,Strike-UndTree!CW72),(UpProb*CX72+DownProb*CX73)*StepDiscount)))</f>
        <v>0</v>
      </c>
      <c r="CX72" s="17">
        <f>IF(CX$3="","",IF(CX$3=Steps,MAX(IF(CallPut=1,UndTree!CX72-Strike,Strike-UndTree!CX72),0),MAX((2-AmEur)*IF(CallPut=1,UndTree!CX72-Strike,Strike-UndTree!CX72),(UpProb*CY72+DownProb*CY73)*StepDiscount)))</f>
        <v>0</v>
      </c>
      <c r="CY72" s="17">
        <f>IF(CY$3="","",IF(CY$3=Steps,MAX(IF(CallPut=1,UndTree!CY72-Strike,Strike-UndTree!CY72),0),MAX((2-AmEur)*IF(CallPut=1,UndTree!CY72-Strike,Strike-UndTree!CY72),(UpProb*CZ72+DownProb*CZ73)*StepDiscount)))</f>
        <v>0</v>
      </c>
      <c r="CZ72" s="17">
        <f>IF(CZ$3="","",IF(CZ$3=Steps,MAX(IF(CallPut=1,UndTree!CZ72-Strike,Strike-UndTree!CZ72),0),MAX((2-AmEur)*IF(CallPut=1,UndTree!CZ72-Strike,Strike-UndTree!CZ72),(UpProb*DA72+DownProb*DA73)*StepDiscount)))</f>
        <v>0</v>
      </c>
      <c r="DA72" s="17">
        <f>IF(DA$3="","",IF(DA$3=Steps,MAX(IF(CallPut=1,UndTree!DA72-Strike,Strike-UndTree!DA72),0),MAX((2-AmEur)*IF(CallPut=1,UndTree!DA72-Strike,Strike-UndTree!DA72),(UpProb*DB72+DownProb*DB73)*StepDiscount)))</f>
        <v>0</v>
      </c>
      <c r="DB72" s="17">
        <f>IF(DB$3="","",IF(DB$3=Steps,MAX(IF(CallPut=1,UndTree!DB72-Strike,Strike-UndTree!DB72),0),MAX((2-AmEur)*IF(CallPut=1,UndTree!DB72-Strike,Strike-UndTree!DB72),(UpProb*DC72+DownProb*DC73)*StepDiscount)))</f>
        <v>0</v>
      </c>
    </row>
    <row r="73" spans="1:106" x14ac:dyDescent="0.2">
      <c r="A73">
        <f>ExDivTree!A73</f>
        <v>2.093371396560375E+26</v>
      </c>
      <c r="B73" s="71">
        <f>ExDivTree!B73</f>
        <v>8.2568942742719555E-5</v>
      </c>
      <c r="C73" s="71">
        <f>ExDivTree!C73</f>
        <v>7.4829404639256873E-5</v>
      </c>
      <c r="D73" s="177">
        <f>ExDivTree!D73</f>
        <v>69</v>
      </c>
      <c r="BV73" s="17">
        <f>IF(BV$3="","",IF(BV$3=Steps,MAX(IF(CallPut=1,UndTree!BV73-Strike,Strike-UndTree!BV73),0),MAX((2-AmEur)*IF(CallPut=1,UndTree!BV73-Strike,Strike-UndTree!BV73),(UpProb*BW73+DownProb*BW74)*StepDiscount)))</f>
        <v>0</v>
      </c>
      <c r="BW73" s="17">
        <f>IF(BW$3="","",IF(BW$3=Steps,MAX(IF(CallPut=1,UndTree!BW73-Strike,Strike-UndTree!BW73),0),MAX((2-AmEur)*IF(CallPut=1,UndTree!BW73-Strike,Strike-UndTree!BW73),(UpProb*BX73+DownProb*BX74)*StepDiscount)))</f>
        <v>0</v>
      </c>
      <c r="BX73" s="17">
        <f>IF(BX$3="","",IF(BX$3=Steps,MAX(IF(CallPut=1,UndTree!BX73-Strike,Strike-UndTree!BX73),0),MAX((2-AmEur)*IF(CallPut=1,UndTree!BX73-Strike,Strike-UndTree!BX73),(UpProb*BY73+DownProb*BY74)*StepDiscount)))</f>
        <v>0</v>
      </c>
      <c r="BY73" s="17">
        <f>IF(BY$3="","",IF(BY$3=Steps,MAX(IF(CallPut=1,UndTree!BY73-Strike,Strike-UndTree!BY73),0),MAX((2-AmEur)*IF(CallPut=1,UndTree!BY73-Strike,Strike-UndTree!BY73),(UpProb*BZ73+DownProb*BZ74)*StepDiscount)))</f>
        <v>0</v>
      </c>
      <c r="BZ73" s="17">
        <f>IF(BZ$3="","",IF(BZ$3=Steps,MAX(IF(CallPut=1,UndTree!BZ73-Strike,Strike-UndTree!BZ73),0),MAX((2-AmEur)*IF(CallPut=1,UndTree!BZ73-Strike,Strike-UndTree!BZ73),(UpProb*CA73+DownProb*CA74)*StepDiscount)))</f>
        <v>0</v>
      </c>
      <c r="CA73" s="17">
        <f>IF(CA$3="","",IF(CA$3=Steps,MAX(IF(CallPut=1,UndTree!CA73-Strike,Strike-UndTree!CA73),0),MAX((2-AmEur)*IF(CallPut=1,UndTree!CA73-Strike,Strike-UndTree!CA73),(UpProb*CB73+DownProb*CB74)*StepDiscount)))</f>
        <v>0</v>
      </c>
      <c r="CB73" s="17">
        <f>IF(CB$3="","",IF(CB$3=Steps,MAX(IF(CallPut=1,UndTree!CB73-Strike,Strike-UndTree!CB73),0),MAX((2-AmEur)*IF(CallPut=1,UndTree!CB73-Strike,Strike-UndTree!CB73),(UpProb*CC73+DownProb*CC74)*StepDiscount)))</f>
        <v>0</v>
      </c>
      <c r="CC73" s="17">
        <f>IF(CC$3="","",IF(CC$3=Steps,MAX(IF(CallPut=1,UndTree!CC73-Strike,Strike-UndTree!CC73),0),MAX((2-AmEur)*IF(CallPut=1,UndTree!CC73-Strike,Strike-UndTree!CC73),(UpProb*CD73+DownProb*CD74)*StepDiscount)))</f>
        <v>0</v>
      </c>
      <c r="CD73" s="17">
        <f>IF(CD$3="","",IF(CD$3=Steps,MAX(IF(CallPut=1,UndTree!CD73-Strike,Strike-UndTree!CD73),0),MAX((2-AmEur)*IF(CallPut=1,UndTree!CD73-Strike,Strike-UndTree!CD73),(UpProb*CE73+DownProb*CE74)*StepDiscount)))</f>
        <v>0</v>
      </c>
      <c r="CE73" s="17">
        <f>IF(CE$3="","",IF(CE$3=Steps,MAX(IF(CallPut=1,UndTree!CE73-Strike,Strike-UndTree!CE73),0),MAX((2-AmEur)*IF(CallPut=1,UndTree!CE73-Strike,Strike-UndTree!CE73),(UpProb*CF73+DownProb*CF74)*StepDiscount)))</f>
        <v>0</v>
      </c>
      <c r="CF73" s="17">
        <f>IF(CF$3="","",IF(CF$3=Steps,MAX(IF(CallPut=1,UndTree!CF73-Strike,Strike-UndTree!CF73),0),MAX((2-AmEur)*IF(CallPut=1,UndTree!CF73-Strike,Strike-UndTree!CF73),(UpProb*CG73+DownProb*CG74)*StepDiscount)))</f>
        <v>0</v>
      </c>
      <c r="CG73" s="17">
        <f>IF(CG$3="","",IF(CG$3=Steps,MAX(IF(CallPut=1,UndTree!CG73-Strike,Strike-UndTree!CG73),0),MAX((2-AmEur)*IF(CallPut=1,UndTree!CG73-Strike,Strike-UndTree!CG73),(UpProb*CH73+DownProb*CH74)*StepDiscount)))</f>
        <v>0</v>
      </c>
      <c r="CH73" s="17">
        <f>IF(CH$3="","",IF(CH$3=Steps,MAX(IF(CallPut=1,UndTree!CH73-Strike,Strike-UndTree!CH73),0),MAX((2-AmEur)*IF(CallPut=1,UndTree!CH73-Strike,Strike-UndTree!CH73),(UpProb*CI73+DownProb*CI74)*StepDiscount)))</f>
        <v>0</v>
      </c>
      <c r="CI73" s="17">
        <f>IF(CI$3="","",IF(CI$3=Steps,MAX(IF(CallPut=1,UndTree!CI73-Strike,Strike-UndTree!CI73),0),MAX((2-AmEur)*IF(CallPut=1,UndTree!CI73-Strike,Strike-UndTree!CI73),(UpProb*CJ73+DownProb*CJ74)*StepDiscount)))</f>
        <v>0</v>
      </c>
      <c r="CJ73" s="17">
        <f>IF(CJ$3="","",IF(CJ$3=Steps,MAX(IF(CallPut=1,UndTree!CJ73-Strike,Strike-UndTree!CJ73),0),MAX((2-AmEur)*IF(CallPut=1,UndTree!CJ73-Strike,Strike-UndTree!CJ73),(UpProb*CK73+DownProb*CK74)*StepDiscount)))</f>
        <v>0</v>
      </c>
      <c r="CK73" s="17">
        <f>IF(CK$3="","",IF(CK$3=Steps,MAX(IF(CallPut=1,UndTree!CK73-Strike,Strike-UndTree!CK73),0),MAX((2-AmEur)*IF(CallPut=1,UndTree!CK73-Strike,Strike-UndTree!CK73),(UpProb*CL73+DownProb*CL74)*StepDiscount)))</f>
        <v>0</v>
      </c>
      <c r="CL73" s="17">
        <f>IF(CL$3="","",IF(CL$3=Steps,MAX(IF(CallPut=1,UndTree!CL73-Strike,Strike-UndTree!CL73),0),MAX((2-AmEur)*IF(CallPut=1,UndTree!CL73-Strike,Strike-UndTree!CL73),(UpProb*CM73+DownProb*CM74)*StepDiscount)))</f>
        <v>0</v>
      </c>
      <c r="CM73" s="17">
        <f>IF(CM$3="","",IF(CM$3=Steps,MAX(IF(CallPut=1,UndTree!CM73-Strike,Strike-UndTree!CM73),0),MAX((2-AmEur)*IF(CallPut=1,UndTree!CM73-Strike,Strike-UndTree!CM73),(UpProb*CN73+DownProb*CN74)*StepDiscount)))</f>
        <v>0</v>
      </c>
      <c r="CN73" s="17">
        <f>IF(CN$3="","",IF(CN$3=Steps,MAX(IF(CallPut=1,UndTree!CN73-Strike,Strike-UndTree!CN73),0),MAX((2-AmEur)*IF(CallPut=1,UndTree!CN73-Strike,Strike-UndTree!CN73),(UpProb*CO73+DownProb*CO74)*StepDiscount)))</f>
        <v>0</v>
      </c>
      <c r="CO73" s="17">
        <f>IF(CO$3="","",IF(CO$3=Steps,MAX(IF(CallPut=1,UndTree!CO73-Strike,Strike-UndTree!CO73),0),MAX((2-AmEur)*IF(CallPut=1,UndTree!CO73-Strike,Strike-UndTree!CO73),(UpProb*CP73+DownProb*CP74)*StepDiscount)))</f>
        <v>0</v>
      </c>
      <c r="CP73" s="17">
        <f>IF(CP$3="","",IF(CP$3=Steps,MAX(IF(CallPut=1,UndTree!CP73-Strike,Strike-UndTree!CP73),0),MAX((2-AmEur)*IF(CallPut=1,UndTree!CP73-Strike,Strike-UndTree!CP73),(UpProb*CQ73+DownProb*CQ74)*StepDiscount)))</f>
        <v>0</v>
      </c>
      <c r="CQ73" s="17">
        <f>IF(CQ$3="","",IF(CQ$3=Steps,MAX(IF(CallPut=1,UndTree!CQ73-Strike,Strike-UndTree!CQ73),0),MAX((2-AmEur)*IF(CallPut=1,UndTree!CQ73-Strike,Strike-UndTree!CQ73),(UpProb*CR73+DownProb*CR74)*StepDiscount)))</f>
        <v>0</v>
      </c>
      <c r="CR73" s="17">
        <f>IF(CR$3="","",IF(CR$3=Steps,MAX(IF(CallPut=1,UndTree!CR73-Strike,Strike-UndTree!CR73),0),MAX((2-AmEur)*IF(CallPut=1,UndTree!CR73-Strike,Strike-UndTree!CR73),(UpProb*CS73+DownProb*CS74)*StepDiscount)))</f>
        <v>0</v>
      </c>
      <c r="CS73" s="17">
        <f>IF(CS$3="","",IF(CS$3=Steps,MAX(IF(CallPut=1,UndTree!CS73-Strike,Strike-UndTree!CS73),0),MAX((2-AmEur)*IF(CallPut=1,UndTree!CS73-Strike,Strike-UndTree!CS73),(UpProb*CT73+DownProb*CT74)*StepDiscount)))</f>
        <v>0</v>
      </c>
      <c r="CT73" s="17">
        <f>IF(CT$3="","",IF(CT$3=Steps,MAX(IF(CallPut=1,UndTree!CT73-Strike,Strike-UndTree!CT73),0),MAX((2-AmEur)*IF(CallPut=1,UndTree!CT73-Strike,Strike-UndTree!CT73),(UpProb*CU73+DownProb*CU74)*StepDiscount)))</f>
        <v>0</v>
      </c>
      <c r="CU73" s="17">
        <f>IF(CU$3="","",IF(CU$3=Steps,MAX(IF(CallPut=1,UndTree!CU73-Strike,Strike-UndTree!CU73),0),MAX((2-AmEur)*IF(CallPut=1,UndTree!CU73-Strike,Strike-UndTree!CU73),(UpProb*CV73+DownProb*CV74)*StepDiscount)))</f>
        <v>0</v>
      </c>
      <c r="CV73" s="17">
        <f>IF(CV$3="","",IF(CV$3=Steps,MAX(IF(CallPut=1,UndTree!CV73-Strike,Strike-UndTree!CV73),0),MAX((2-AmEur)*IF(CallPut=1,UndTree!CV73-Strike,Strike-UndTree!CV73),(UpProb*CW73+DownProb*CW74)*StepDiscount)))</f>
        <v>0</v>
      </c>
      <c r="CW73" s="17">
        <f>IF(CW$3="","",IF(CW$3=Steps,MAX(IF(CallPut=1,UndTree!CW73-Strike,Strike-UndTree!CW73),0),MAX((2-AmEur)*IF(CallPut=1,UndTree!CW73-Strike,Strike-UndTree!CW73),(UpProb*CX73+DownProb*CX74)*StepDiscount)))</f>
        <v>0</v>
      </c>
      <c r="CX73" s="17">
        <f>IF(CX$3="","",IF(CX$3=Steps,MAX(IF(CallPut=1,UndTree!CX73-Strike,Strike-UndTree!CX73),0),MAX((2-AmEur)*IF(CallPut=1,UndTree!CX73-Strike,Strike-UndTree!CX73),(UpProb*CY73+DownProb*CY74)*StepDiscount)))</f>
        <v>0</v>
      </c>
      <c r="CY73" s="17">
        <f>IF(CY$3="","",IF(CY$3=Steps,MAX(IF(CallPut=1,UndTree!CY73-Strike,Strike-UndTree!CY73),0),MAX((2-AmEur)*IF(CallPut=1,UndTree!CY73-Strike,Strike-UndTree!CY73),(UpProb*CZ73+DownProb*CZ74)*StepDiscount)))</f>
        <v>0</v>
      </c>
      <c r="CZ73" s="17">
        <f>IF(CZ$3="","",IF(CZ$3=Steps,MAX(IF(CallPut=1,UndTree!CZ73-Strike,Strike-UndTree!CZ73),0),MAX((2-AmEur)*IF(CallPut=1,UndTree!CZ73-Strike,Strike-UndTree!CZ73),(UpProb*DA73+DownProb*DA74)*StepDiscount)))</f>
        <v>0</v>
      </c>
      <c r="DA73" s="17">
        <f>IF(DA$3="","",IF(DA$3=Steps,MAX(IF(CallPut=1,UndTree!DA73-Strike,Strike-UndTree!DA73),0),MAX((2-AmEur)*IF(CallPut=1,UndTree!DA73-Strike,Strike-UndTree!DA73),(UpProb*DB73+DownProb*DB74)*StepDiscount)))</f>
        <v>0</v>
      </c>
      <c r="DB73" s="17">
        <f>IF(DB$3="","",IF(DB$3=Steps,MAX(IF(CallPut=1,UndTree!DB73-Strike,Strike-UndTree!DB73),0),MAX((2-AmEur)*IF(CallPut=1,UndTree!DB73-Strike,Strike-UndTree!DB73),(UpProb*DC73+DownProb*DC74)*StepDiscount)))</f>
        <v>0</v>
      </c>
    </row>
    <row r="74" spans="1:106" x14ac:dyDescent="0.2">
      <c r="A74">
        <f>ExDivTree!A74</f>
        <v>9.5696978128474354E+25</v>
      </c>
      <c r="B74" s="71">
        <f>ExDivTree!B74</f>
        <v>3.7745802396671823E-5</v>
      </c>
      <c r="C74" s="71">
        <f>ExDivTree!C74</f>
        <v>3.4026873497952581E-5</v>
      </c>
      <c r="D74" s="177">
        <f>ExDivTree!D74</f>
        <v>70</v>
      </c>
      <c r="BW74" s="17">
        <f>IF(BW$3="","",IF(BW$3=Steps,MAX(IF(CallPut=1,UndTree!BW74-Strike,Strike-UndTree!BW74),0),MAX((2-AmEur)*IF(CallPut=1,UndTree!BW74-Strike,Strike-UndTree!BW74),(UpProb*BX74+DownProb*BX75)*StepDiscount)))</f>
        <v>0</v>
      </c>
      <c r="BX74" s="17">
        <f>IF(BX$3="","",IF(BX$3=Steps,MAX(IF(CallPut=1,UndTree!BX74-Strike,Strike-UndTree!BX74),0),MAX((2-AmEur)*IF(CallPut=1,UndTree!BX74-Strike,Strike-UndTree!BX74),(UpProb*BY74+DownProb*BY75)*StepDiscount)))</f>
        <v>0</v>
      </c>
      <c r="BY74" s="17">
        <f>IF(BY$3="","",IF(BY$3=Steps,MAX(IF(CallPut=1,UndTree!BY74-Strike,Strike-UndTree!BY74),0),MAX((2-AmEur)*IF(CallPut=1,UndTree!BY74-Strike,Strike-UndTree!BY74),(UpProb*BZ74+DownProb*BZ75)*StepDiscount)))</f>
        <v>0</v>
      </c>
      <c r="BZ74" s="17">
        <f>IF(BZ$3="","",IF(BZ$3=Steps,MAX(IF(CallPut=1,UndTree!BZ74-Strike,Strike-UndTree!BZ74),0),MAX((2-AmEur)*IF(CallPut=1,UndTree!BZ74-Strike,Strike-UndTree!BZ74),(UpProb*CA74+DownProb*CA75)*StepDiscount)))</f>
        <v>0</v>
      </c>
      <c r="CA74" s="17">
        <f>IF(CA$3="","",IF(CA$3=Steps,MAX(IF(CallPut=1,UndTree!CA74-Strike,Strike-UndTree!CA74),0),MAX((2-AmEur)*IF(CallPut=1,UndTree!CA74-Strike,Strike-UndTree!CA74),(UpProb*CB74+DownProb*CB75)*StepDiscount)))</f>
        <v>0</v>
      </c>
      <c r="CB74" s="17">
        <f>IF(CB$3="","",IF(CB$3=Steps,MAX(IF(CallPut=1,UndTree!CB74-Strike,Strike-UndTree!CB74),0),MAX((2-AmEur)*IF(CallPut=1,UndTree!CB74-Strike,Strike-UndTree!CB74),(UpProb*CC74+DownProb*CC75)*StepDiscount)))</f>
        <v>0</v>
      </c>
      <c r="CC74" s="17">
        <f>IF(CC$3="","",IF(CC$3=Steps,MAX(IF(CallPut=1,UndTree!CC74-Strike,Strike-UndTree!CC74),0),MAX((2-AmEur)*IF(CallPut=1,UndTree!CC74-Strike,Strike-UndTree!CC74),(UpProb*CD74+DownProb*CD75)*StepDiscount)))</f>
        <v>0</v>
      </c>
      <c r="CD74" s="17">
        <f>IF(CD$3="","",IF(CD$3=Steps,MAX(IF(CallPut=1,UndTree!CD74-Strike,Strike-UndTree!CD74),0),MAX((2-AmEur)*IF(CallPut=1,UndTree!CD74-Strike,Strike-UndTree!CD74),(UpProb*CE74+DownProb*CE75)*StepDiscount)))</f>
        <v>0</v>
      </c>
      <c r="CE74" s="17">
        <f>IF(CE$3="","",IF(CE$3=Steps,MAX(IF(CallPut=1,UndTree!CE74-Strike,Strike-UndTree!CE74),0),MAX((2-AmEur)*IF(CallPut=1,UndTree!CE74-Strike,Strike-UndTree!CE74),(UpProb*CF74+DownProb*CF75)*StepDiscount)))</f>
        <v>0</v>
      </c>
      <c r="CF74" s="17">
        <f>IF(CF$3="","",IF(CF$3=Steps,MAX(IF(CallPut=1,UndTree!CF74-Strike,Strike-UndTree!CF74),0),MAX((2-AmEur)*IF(CallPut=1,UndTree!CF74-Strike,Strike-UndTree!CF74),(UpProb*CG74+DownProb*CG75)*StepDiscount)))</f>
        <v>0</v>
      </c>
      <c r="CG74" s="17">
        <f>IF(CG$3="","",IF(CG$3=Steps,MAX(IF(CallPut=1,UndTree!CG74-Strike,Strike-UndTree!CG74),0),MAX((2-AmEur)*IF(CallPut=1,UndTree!CG74-Strike,Strike-UndTree!CG74),(UpProb*CH74+DownProb*CH75)*StepDiscount)))</f>
        <v>0</v>
      </c>
      <c r="CH74" s="17">
        <f>IF(CH$3="","",IF(CH$3=Steps,MAX(IF(CallPut=1,UndTree!CH74-Strike,Strike-UndTree!CH74),0),MAX((2-AmEur)*IF(CallPut=1,UndTree!CH74-Strike,Strike-UndTree!CH74),(UpProb*CI74+DownProb*CI75)*StepDiscount)))</f>
        <v>0</v>
      </c>
      <c r="CI74" s="17">
        <f>IF(CI$3="","",IF(CI$3=Steps,MAX(IF(CallPut=1,UndTree!CI74-Strike,Strike-UndTree!CI74),0),MAX((2-AmEur)*IF(CallPut=1,UndTree!CI74-Strike,Strike-UndTree!CI74),(UpProb*CJ74+DownProb*CJ75)*StepDiscount)))</f>
        <v>0</v>
      </c>
      <c r="CJ74" s="17">
        <f>IF(CJ$3="","",IF(CJ$3=Steps,MAX(IF(CallPut=1,UndTree!CJ74-Strike,Strike-UndTree!CJ74),0),MAX((2-AmEur)*IF(CallPut=1,UndTree!CJ74-Strike,Strike-UndTree!CJ74),(UpProb*CK74+DownProb*CK75)*StepDiscount)))</f>
        <v>0</v>
      </c>
      <c r="CK74" s="17">
        <f>IF(CK$3="","",IF(CK$3=Steps,MAX(IF(CallPut=1,UndTree!CK74-Strike,Strike-UndTree!CK74),0),MAX((2-AmEur)*IF(CallPut=1,UndTree!CK74-Strike,Strike-UndTree!CK74),(UpProb*CL74+DownProb*CL75)*StepDiscount)))</f>
        <v>0</v>
      </c>
      <c r="CL74" s="17">
        <f>IF(CL$3="","",IF(CL$3=Steps,MAX(IF(CallPut=1,UndTree!CL74-Strike,Strike-UndTree!CL74),0),MAX((2-AmEur)*IF(CallPut=1,UndTree!CL74-Strike,Strike-UndTree!CL74),(UpProb*CM74+DownProb*CM75)*StepDiscount)))</f>
        <v>0</v>
      </c>
      <c r="CM74" s="17">
        <f>IF(CM$3="","",IF(CM$3=Steps,MAX(IF(CallPut=1,UndTree!CM74-Strike,Strike-UndTree!CM74),0),MAX((2-AmEur)*IF(CallPut=1,UndTree!CM74-Strike,Strike-UndTree!CM74),(UpProb*CN74+DownProb*CN75)*StepDiscount)))</f>
        <v>0</v>
      </c>
      <c r="CN74" s="17">
        <f>IF(CN$3="","",IF(CN$3=Steps,MAX(IF(CallPut=1,UndTree!CN74-Strike,Strike-UndTree!CN74),0),MAX((2-AmEur)*IF(CallPut=1,UndTree!CN74-Strike,Strike-UndTree!CN74),(UpProb*CO74+DownProb*CO75)*StepDiscount)))</f>
        <v>0</v>
      </c>
      <c r="CO74" s="17">
        <f>IF(CO$3="","",IF(CO$3=Steps,MAX(IF(CallPut=1,UndTree!CO74-Strike,Strike-UndTree!CO74),0),MAX((2-AmEur)*IF(CallPut=1,UndTree!CO74-Strike,Strike-UndTree!CO74),(UpProb*CP74+DownProb*CP75)*StepDiscount)))</f>
        <v>0</v>
      </c>
      <c r="CP74" s="17">
        <f>IF(CP$3="","",IF(CP$3=Steps,MAX(IF(CallPut=1,UndTree!CP74-Strike,Strike-UndTree!CP74),0),MAX((2-AmEur)*IF(CallPut=1,UndTree!CP74-Strike,Strike-UndTree!CP74),(UpProb*CQ74+DownProb*CQ75)*StepDiscount)))</f>
        <v>0</v>
      </c>
      <c r="CQ74" s="17">
        <f>IF(CQ$3="","",IF(CQ$3=Steps,MAX(IF(CallPut=1,UndTree!CQ74-Strike,Strike-UndTree!CQ74),0),MAX((2-AmEur)*IF(CallPut=1,UndTree!CQ74-Strike,Strike-UndTree!CQ74),(UpProb*CR74+DownProb*CR75)*StepDiscount)))</f>
        <v>0</v>
      </c>
      <c r="CR74" s="17">
        <f>IF(CR$3="","",IF(CR$3=Steps,MAX(IF(CallPut=1,UndTree!CR74-Strike,Strike-UndTree!CR74),0),MAX((2-AmEur)*IF(CallPut=1,UndTree!CR74-Strike,Strike-UndTree!CR74),(UpProb*CS74+DownProb*CS75)*StepDiscount)))</f>
        <v>0</v>
      </c>
      <c r="CS74" s="17">
        <f>IF(CS$3="","",IF(CS$3=Steps,MAX(IF(CallPut=1,UndTree!CS74-Strike,Strike-UndTree!CS74),0),MAX((2-AmEur)*IF(CallPut=1,UndTree!CS74-Strike,Strike-UndTree!CS74),(UpProb*CT74+DownProb*CT75)*StepDiscount)))</f>
        <v>0</v>
      </c>
      <c r="CT74" s="17">
        <f>IF(CT$3="","",IF(CT$3=Steps,MAX(IF(CallPut=1,UndTree!CT74-Strike,Strike-UndTree!CT74),0),MAX((2-AmEur)*IF(CallPut=1,UndTree!CT74-Strike,Strike-UndTree!CT74),(UpProb*CU74+DownProb*CU75)*StepDiscount)))</f>
        <v>0</v>
      </c>
      <c r="CU74" s="17">
        <f>IF(CU$3="","",IF(CU$3=Steps,MAX(IF(CallPut=1,UndTree!CU74-Strike,Strike-UndTree!CU74),0),MAX((2-AmEur)*IF(CallPut=1,UndTree!CU74-Strike,Strike-UndTree!CU74),(UpProb*CV74+DownProb*CV75)*StepDiscount)))</f>
        <v>0</v>
      </c>
      <c r="CV74" s="17">
        <f>IF(CV$3="","",IF(CV$3=Steps,MAX(IF(CallPut=1,UndTree!CV74-Strike,Strike-UndTree!CV74),0),MAX((2-AmEur)*IF(CallPut=1,UndTree!CV74-Strike,Strike-UndTree!CV74),(UpProb*CW74+DownProb*CW75)*StepDiscount)))</f>
        <v>0</v>
      </c>
      <c r="CW74" s="17">
        <f>IF(CW$3="","",IF(CW$3=Steps,MAX(IF(CallPut=1,UndTree!CW74-Strike,Strike-UndTree!CW74),0),MAX((2-AmEur)*IF(CallPut=1,UndTree!CW74-Strike,Strike-UndTree!CW74),(UpProb*CX74+DownProb*CX75)*StepDiscount)))</f>
        <v>0</v>
      </c>
      <c r="CX74" s="17">
        <f>IF(CX$3="","",IF(CX$3=Steps,MAX(IF(CallPut=1,UndTree!CX74-Strike,Strike-UndTree!CX74),0),MAX((2-AmEur)*IF(CallPut=1,UndTree!CX74-Strike,Strike-UndTree!CX74),(UpProb*CY74+DownProb*CY75)*StepDiscount)))</f>
        <v>0</v>
      </c>
      <c r="CY74" s="17">
        <f>IF(CY$3="","",IF(CY$3=Steps,MAX(IF(CallPut=1,UndTree!CY74-Strike,Strike-UndTree!CY74),0),MAX((2-AmEur)*IF(CallPut=1,UndTree!CY74-Strike,Strike-UndTree!CY74),(UpProb*CZ74+DownProb*CZ75)*StepDiscount)))</f>
        <v>0</v>
      </c>
      <c r="CZ74" s="17">
        <f>IF(CZ$3="","",IF(CZ$3=Steps,MAX(IF(CallPut=1,UndTree!CZ74-Strike,Strike-UndTree!CZ74),0),MAX((2-AmEur)*IF(CallPut=1,UndTree!CZ74-Strike,Strike-UndTree!CZ74),(UpProb*DA74+DownProb*DA75)*StepDiscount)))</f>
        <v>0</v>
      </c>
      <c r="DA74" s="17">
        <f>IF(DA$3="","",IF(DA$3=Steps,MAX(IF(CallPut=1,UndTree!DA74-Strike,Strike-UndTree!DA74),0),MAX((2-AmEur)*IF(CallPut=1,UndTree!DA74-Strike,Strike-UndTree!DA74),(UpProb*DB74+DownProb*DB75)*StepDiscount)))</f>
        <v>0</v>
      </c>
      <c r="DB74" s="17">
        <f>IF(DB$3="","",IF(DB$3=Steps,MAX(IF(CallPut=1,UndTree!DB74-Strike,Strike-UndTree!DB74),0),MAX((2-AmEur)*IF(CallPut=1,UndTree!DB74-Strike,Strike-UndTree!DB74),(UpProb*DC74+DownProb*DC75)*StepDiscount)))</f>
        <v>0</v>
      </c>
    </row>
    <row r="75" spans="1:106" x14ac:dyDescent="0.2">
      <c r="A75">
        <f>ExDivTree!A75</f>
        <v>4.1783187633559242E+25</v>
      </c>
      <c r="B75" s="71">
        <f>ExDivTree!B75</f>
        <v>1.6480561609814465E-5</v>
      </c>
      <c r="C75" s="71">
        <f>ExDivTree!C75</f>
        <v>1.477825683315397E-5</v>
      </c>
      <c r="D75" s="177">
        <f>ExDivTree!D75</f>
        <v>71</v>
      </c>
      <c r="BX75" s="17">
        <f>IF(BX$3="","",IF(BX$3=Steps,MAX(IF(CallPut=1,UndTree!BX75-Strike,Strike-UndTree!BX75),0),MAX((2-AmEur)*IF(CallPut=1,UndTree!BX75-Strike,Strike-UndTree!BX75),(UpProb*BY75+DownProb*BY76)*StepDiscount)))</f>
        <v>0</v>
      </c>
      <c r="BY75" s="17">
        <f>IF(BY$3="","",IF(BY$3=Steps,MAX(IF(CallPut=1,UndTree!BY75-Strike,Strike-UndTree!BY75),0),MAX((2-AmEur)*IF(CallPut=1,UndTree!BY75-Strike,Strike-UndTree!BY75),(UpProb*BZ75+DownProb*BZ76)*StepDiscount)))</f>
        <v>0</v>
      </c>
      <c r="BZ75" s="17">
        <f>IF(BZ$3="","",IF(BZ$3=Steps,MAX(IF(CallPut=1,UndTree!BZ75-Strike,Strike-UndTree!BZ75),0),MAX((2-AmEur)*IF(CallPut=1,UndTree!BZ75-Strike,Strike-UndTree!BZ75),(UpProb*CA75+DownProb*CA76)*StepDiscount)))</f>
        <v>0</v>
      </c>
      <c r="CA75" s="17">
        <f>IF(CA$3="","",IF(CA$3=Steps,MAX(IF(CallPut=1,UndTree!CA75-Strike,Strike-UndTree!CA75),0),MAX((2-AmEur)*IF(CallPut=1,UndTree!CA75-Strike,Strike-UndTree!CA75),(UpProb*CB75+DownProb*CB76)*StepDiscount)))</f>
        <v>0</v>
      </c>
      <c r="CB75" s="17">
        <f>IF(CB$3="","",IF(CB$3=Steps,MAX(IF(CallPut=1,UndTree!CB75-Strike,Strike-UndTree!CB75),0),MAX((2-AmEur)*IF(CallPut=1,UndTree!CB75-Strike,Strike-UndTree!CB75),(UpProb*CC75+DownProb*CC76)*StepDiscount)))</f>
        <v>0</v>
      </c>
      <c r="CC75" s="17">
        <f>IF(CC$3="","",IF(CC$3=Steps,MAX(IF(CallPut=1,UndTree!CC75-Strike,Strike-UndTree!CC75),0),MAX((2-AmEur)*IF(CallPut=1,UndTree!CC75-Strike,Strike-UndTree!CC75),(UpProb*CD75+DownProb*CD76)*StepDiscount)))</f>
        <v>0</v>
      </c>
      <c r="CD75" s="17">
        <f>IF(CD$3="","",IF(CD$3=Steps,MAX(IF(CallPut=1,UndTree!CD75-Strike,Strike-UndTree!CD75),0),MAX((2-AmEur)*IF(CallPut=1,UndTree!CD75-Strike,Strike-UndTree!CD75),(UpProb*CE75+DownProb*CE76)*StepDiscount)))</f>
        <v>0</v>
      </c>
      <c r="CE75" s="17">
        <f>IF(CE$3="","",IF(CE$3=Steps,MAX(IF(CallPut=1,UndTree!CE75-Strike,Strike-UndTree!CE75),0),MAX((2-AmEur)*IF(CallPut=1,UndTree!CE75-Strike,Strike-UndTree!CE75),(UpProb*CF75+DownProb*CF76)*StepDiscount)))</f>
        <v>0</v>
      </c>
      <c r="CF75" s="17">
        <f>IF(CF$3="","",IF(CF$3=Steps,MAX(IF(CallPut=1,UndTree!CF75-Strike,Strike-UndTree!CF75),0),MAX((2-AmEur)*IF(CallPut=1,UndTree!CF75-Strike,Strike-UndTree!CF75),(UpProb*CG75+DownProb*CG76)*StepDiscount)))</f>
        <v>0</v>
      </c>
      <c r="CG75" s="17">
        <f>IF(CG$3="","",IF(CG$3=Steps,MAX(IF(CallPut=1,UndTree!CG75-Strike,Strike-UndTree!CG75),0),MAX((2-AmEur)*IF(CallPut=1,UndTree!CG75-Strike,Strike-UndTree!CG75),(UpProb*CH75+DownProb*CH76)*StepDiscount)))</f>
        <v>0</v>
      </c>
      <c r="CH75" s="17">
        <f>IF(CH$3="","",IF(CH$3=Steps,MAX(IF(CallPut=1,UndTree!CH75-Strike,Strike-UndTree!CH75),0),MAX((2-AmEur)*IF(CallPut=1,UndTree!CH75-Strike,Strike-UndTree!CH75),(UpProb*CI75+DownProb*CI76)*StepDiscount)))</f>
        <v>0</v>
      </c>
      <c r="CI75" s="17">
        <f>IF(CI$3="","",IF(CI$3=Steps,MAX(IF(CallPut=1,UndTree!CI75-Strike,Strike-UndTree!CI75),0),MAX((2-AmEur)*IF(CallPut=1,UndTree!CI75-Strike,Strike-UndTree!CI75),(UpProb*CJ75+DownProb*CJ76)*StepDiscount)))</f>
        <v>0</v>
      </c>
      <c r="CJ75" s="17">
        <f>IF(CJ$3="","",IF(CJ$3=Steps,MAX(IF(CallPut=1,UndTree!CJ75-Strike,Strike-UndTree!CJ75),0),MAX((2-AmEur)*IF(CallPut=1,UndTree!CJ75-Strike,Strike-UndTree!CJ75),(UpProb*CK75+DownProb*CK76)*StepDiscount)))</f>
        <v>0</v>
      </c>
      <c r="CK75" s="17">
        <f>IF(CK$3="","",IF(CK$3=Steps,MAX(IF(CallPut=1,UndTree!CK75-Strike,Strike-UndTree!CK75),0),MAX((2-AmEur)*IF(CallPut=1,UndTree!CK75-Strike,Strike-UndTree!CK75),(UpProb*CL75+DownProb*CL76)*StepDiscount)))</f>
        <v>0</v>
      </c>
      <c r="CL75" s="17">
        <f>IF(CL$3="","",IF(CL$3=Steps,MAX(IF(CallPut=1,UndTree!CL75-Strike,Strike-UndTree!CL75),0),MAX((2-AmEur)*IF(CallPut=1,UndTree!CL75-Strike,Strike-UndTree!CL75),(UpProb*CM75+DownProb*CM76)*StepDiscount)))</f>
        <v>0</v>
      </c>
      <c r="CM75" s="17">
        <f>IF(CM$3="","",IF(CM$3=Steps,MAX(IF(CallPut=1,UndTree!CM75-Strike,Strike-UndTree!CM75),0),MAX((2-AmEur)*IF(CallPut=1,UndTree!CM75-Strike,Strike-UndTree!CM75),(UpProb*CN75+DownProb*CN76)*StepDiscount)))</f>
        <v>0</v>
      </c>
      <c r="CN75" s="17">
        <f>IF(CN$3="","",IF(CN$3=Steps,MAX(IF(CallPut=1,UndTree!CN75-Strike,Strike-UndTree!CN75),0),MAX((2-AmEur)*IF(CallPut=1,UndTree!CN75-Strike,Strike-UndTree!CN75),(UpProb*CO75+DownProb*CO76)*StepDiscount)))</f>
        <v>0</v>
      </c>
      <c r="CO75" s="17">
        <f>IF(CO$3="","",IF(CO$3=Steps,MAX(IF(CallPut=1,UndTree!CO75-Strike,Strike-UndTree!CO75),0),MAX((2-AmEur)*IF(CallPut=1,UndTree!CO75-Strike,Strike-UndTree!CO75),(UpProb*CP75+DownProb*CP76)*StepDiscount)))</f>
        <v>0</v>
      </c>
      <c r="CP75" s="17">
        <f>IF(CP$3="","",IF(CP$3=Steps,MAX(IF(CallPut=1,UndTree!CP75-Strike,Strike-UndTree!CP75),0),MAX((2-AmEur)*IF(CallPut=1,UndTree!CP75-Strike,Strike-UndTree!CP75),(UpProb*CQ75+DownProb*CQ76)*StepDiscount)))</f>
        <v>0</v>
      </c>
      <c r="CQ75" s="17">
        <f>IF(CQ$3="","",IF(CQ$3=Steps,MAX(IF(CallPut=1,UndTree!CQ75-Strike,Strike-UndTree!CQ75),0),MAX((2-AmEur)*IF(CallPut=1,UndTree!CQ75-Strike,Strike-UndTree!CQ75),(UpProb*CR75+DownProb*CR76)*StepDiscount)))</f>
        <v>0</v>
      </c>
      <c r="CR75" s="17">
        <f>IF(CR$3="","",IF(CR$3=Steps,MAX(IF(CallPut=1,UndTree!CR75-Strike,Strike-UndTree!CR75),0),MAX((2-AmEur)*IF(CallPut=1,UndTree!CR75-Strike,Strike-UndTree!CR75),(UpProb*CS75+DownProb*CS76)*StepDiscount)))</f>
        <v>0</v>
      </c>
      <c r="CS75" s="17">
        <f>IF(CS$3="","",IF(CS$3=Steps,MAX(IF(CallPut=1,UndTree!CS75-Strike,Strike-UndTree!CS75),0),MAX((2-AmEur)*IF(CallPut=1,UndTree!CS75-Strike,Strike-UndTree!CS75),(UpProb*CT75+DownProb*CT76)*StepDiscount)))</f>
        <v>0</v>
      </c>
      <c r="CT75" s="17">
        <f>IF(CT$3="","",IF(CT$3=Steps,MAX(IF(CallPut=1,UndTree!CT75-Strike,Strike-UndTree!CT75),0),MAX((2-AmEur)*IF(CallPut=1,UndTree!CT75-Strike,Strike-UndTree!CT75),(UpProb*CU75+DownProb*CU76)*StepDiscount)))</f>
        <v>0</v>
      </c>
      <c r="CU75" s="17">
        <f>IF(CU$3="","",IF(CU$3=Steps,MAX(IF(CallPut=1,UndTree!CU75-Strike,Strike-UndTree!CU75),0),MAX((2-AmEur)*IF(CallPut=1,UndTree!CU75-Strike,Strike-UndTree!CU75),(UpProb*CV75+DownProb*CV76)*StepDiscount)))</f>
        <v>0</v>
      </c>
      <c r="CV75" s="17">
        <f>IF(CV$3="","",IF(CV$3=Steps,MAX(IF(CallPut=1,UndTree!CV75-Strike,Strike-UndTree!CV75),0),MAX((2-AmEur)*IF(CallPut=1,UndTree!CV75-Strike,Strike-UndTree!CV75),(UpProb*CW75+DownProb*CW76)*StepDiscount)))</f>
        <v>0</v>
      </c>
      <c r="CW75" s="17">
        <f>IF(CW$3="","",IF(CW$3=Steps,MAX(IF(CallPut=1,UndTree!CW75-Strike,Strike-UndTree!CW75),0),MAX((2-AmEur)*IF(CallPut=1,UndTree!CW75-Strike,Strike-UndTree!CW75),(UpProb*CX75+DownProb*CX76)*StepDiscount)))</f>
        <v>0</v>
      </c>
      <c r="CX75" s="17">
        <f>IF(CX$3="","",IF(CX$3=Steps,MAX(IF(CallPut=1,UndTree!CX75-Strike,Strike-UndTree!CX75),0),MAX((2-AmEur)*IF(CallPut=1,UndTree!CX75-Strike,Strike-UndTree!CX75),(UpProb*CY75+DownProb*CY76)*StepDiscount)))</f>
        <v>0</v>
      </c>
      <c r="CY75" s="17">
        <f>IF(CY$3="","",IF(CY$3=Steps,MAX(IF(CallPut=1,UndTree!CY75-Strike,Strike-UndTree!CY75),0),MAX((2-AmEur)*IF(CallPut=1,UndTree!CY75-Strike,Strike-UndTree!CY75),(UpProb*CZ75+DownProb*CZ76)*StepDiscount)))</f>
        <v>0</v>
      </c>
      <c r="CZ75" s="17">
        <f>IF(CZ$3="","",IF(CZ$3=Steps,MAX(IF(CallPut=1,UndTree!CZ75-Strike,Strike-UndTree!CZ75),0),MAX((2-AmEur)*IF(CallPut=1,UndTree!CZ75-Strike,Strike-UndTree!CZ75),(UpProb*DA75+DownProb*DA76)*StepDiscount)))</f>
        <v>0</v>
      </c>
      <c r="DA75" s="17">
        <f>IF(DA$3="","",IF(DA$3=Steps,MAX(IF(CallPut=1,UndTree!DA75-Strike,Strike-UndTree!DA75),0),MAX((2-AmEur)*IF(CallPut=1,UndTree!DA75-Strike,Strike-UndTree!DA75),(UpProb*DB75+DownProb*DB76)*StepDiscount)))</f>
        <v>0</v>
      </c>
      <c r="DB75" s="17">
        <f>IF(DB$3="","",IF(DB$3=Steps,MAX(IF(CallPut=1,UndTree!DB75-Strike,Strike-UndTree!DB75),0),MAX((2-AmEur)*IF(CallPut=1,UndTree!DB75-Strike,Strike-UndTree!DB75),(UpProb*DC75+DownProb*DC76)*StepDiscount)))</f>
        <v>0</v>
      </c>
    </row>
    <row r="76" spans="1:106" x14ac:dyDescent="0.2">
      <c r="A76">
        <f>ExDivTree!A76</f>
        <v>1.7409661513983014E+25</v>
      </c>
      <c r="B76" s="71">
        <f>ExDivTree!B76</f>
        <v>6.8669006707560256E-6</v>
      </c>
      <c r="C76" s="71">
        <f>ExDivTree!C76</f>
        <v>6.1250520911312494E-6</v>
      </c>
      <c r="D76" s="177">
        <f>ExDivTree!D76</f>
        <v>72</v>
      </c>
      <c r="BY76" s="17">
        <f>IF(BY$3="","",IF(BY$3=Steps,MAX(IF(CallPut=1,UndTree!BY76-Strike,Strike-UndTree!BY76),0),MAX((2-AmEur)*IF(CallPut=1,UndTree!BY76-Strike,Strike-UndTree!BY76),(UpProb*BZ76+DownProb*BZ77)*StepDiscount)))</f>
        <v>0</v>
      </c>
      <c r="BZ76" s="17">
        <f>IF(BZ$3="","",IF(BZ$3=Steps,MAX(IF(CallPut=1,UndTree!BZ76-Strike,Strike-UndTree!BZ76),0),MAX((2-AmEur)*IF(CallPut=1,UndTree!BZ76-Strike,Strike-UndTree!BZ76),(UpProb*CA76+DownProb*CA77)*StepDiscount)))</f>
        <v>0</v>
      </c>
      <c r="CA76" s="17">
        <f>IF(CA$3="","",IF(CA$3=Steps,MAX(IF(CallPut=1,UndTree!CA76-Strike,Strike-UndTree!CA76),0),MAX((2-AmEur)*IF(CallPut=1,UndTree!CA76-Strike,Strike-UndTree!CA76),(UpProb*CB76+DownProb*CB77)*StepDiscount)))</f>
        <v>0</v>
      </c>
      <c r="CB76" s="17">
        <f>IF(CB$3="","",IF(CB$3=Steps,MAX(IF(CallPut=1,UndTree!CB76-Strike,Strike-UndTree!CB76),0),MAX((2-AmEur)*IF(CallPut=1,UndTree!CB76-Strike,Strike-UndTree!CB76),(UpProb*CC76+DownProb*CC77)*StepDiscount)))</f>
        <v>0</v>
      </c>
      <c r="CC76" s="17">
        <f>IF(CC$3="","",IF(CC$3=Steps,MAX(IF(CallPut=1,UndTree!CC76-Strike,Strike-UndTree!CC76),0),MAX((2-AmEur)*IF(CallPut=1,UndTree!CC76-Strike,Strike-UndTree!CC76),(UpProb*CD76+DownProb*CD77)*StepDiscount)))</f>
        <v>0</v>
      </c>
      <c r="CD76" s="17">
        <f>IF(CD$3="","",IF(CD$3=Steps,MAX(IF(CallPut=1,UndTree!CD76-Strike,Strike-UndTree!CD76),0),MAX((2-AmEur)*IF(CallPut=1,UndTree!CD76-Strike,Strike-UndTree!CD76),(UpProb*CE76+DownProb*CE77)*StepDiscount)))</f>
        <v>0</v>
      </c>
      <c r="CE76" s="17">
        <f>IF(CE$3="","",IF(CE$3=Steps,MAX(IF(CallPut=1,UndTree!CE76-Strike,Strike-UndTree!CE76),0),MAX((2-AmEur)*IF(CallPut=1,UndTree!CE76-Strike,Strike-UndTree!CE76),(UpProb*CF76+DownProb*CF77)*StepDiscount)))</f>
        <v>0</v>
      </c>
      <c r="CF76" s="17">
        <f>IF(CF$3="","",IF(CF$3=Steps,MAX(IF(CallPut=1,UndTree!CF76-Strike,Strike-UndTree!CF76),0),MAX((2-AmEur)*IF(CallPut=1,UndTree!CF76-Strike,Strike-UndTree!CF76),(UpProb*CG76+DownProb*CG77)*StepDiscount)))</f>
        <v>0</v>
      </c>
      <c r="CG76" s="17">
        <f>IF(CG$3="","",IF(CG$3=Steps,MAX(IF(CallPut=1,UndTree!CG76-Strike,Strike-UndTree!CG76),0),MAX((2-AmEur)*IF(CallPut=1,UndTree!CG76-Strike,Strike-UndTree!CG76),(UpProb*CH76+DownProb*CH77)*StepDiscount)))</f>
        <v>0</v>
      </c>
      <c r="CH76" s="17">
        <f>IF(CH$3="","",IF(CH$3=Steps,MAX(IF(CallPut=1,UndTree!CH76-Strike,Strike-UndTree!CH76),0),MAX((2-AmEur)*IF(CallPut=1,UndTree!CH76-Strike,Strike-UndTree!CH76),(UpProb*CI76+DownProb*CI77)*StepDiscount)))</f>
        <v>0</v>
      </c>
      <c r="CI76" s="17">
        <f>IF(CI$3="","",IF(CI$3=Steps,MAX(IF(CallPut=1,UndTree!CI76-Strike,Strike-UndTree!CI76),0),MAX((2-AmEur)*IF(CallPut=1,UndTree!CI76-Strike,Strike-UndTree!CI76),(UpProb*CJ76+DownProb*CJ77)*StepDiscount)))</f>
        <v>0</v>
      </c>
      <c r="CJ76" s="17">
        <f>IF(CJ$3="","",IF(CJ$3=Steps,MAX(IF(CallPut=1,UndTree!CJ76-Strike,Strike-UndTree!CJ76),0),MAX((2-AmEur)*IF(CallPut=1,UndTree!CJ76-Strike,Strike-UndTree!CJ76),(UpProb*CK76+DownProb*CK77)*StepDiscount)))</f>
        <v>0</v>
      </c>
      <c r="CK76" s="17">
        <f>IF(CK$3="","",IF(CK$3=Steps,MAX(IF(CallPut=1,UndTree!CK76-Strike,Strike-UndTree!CK76),0),MAX((2-AmEur)*IF(CallPut=1,UndTree!CK76-Strike,Strike-UndTree!CK76),(UpProb*CL76+DownProb*CL77)*StepDiscount)))</f>
        <v>0</v>
      </c>
      <c r="CL76" s="17">
        <f>IF(CL$3="","",IF(CL$3=Steps,MAX(IF(CallPut=1,UndTree!CL76-Strike,Strike-UndTree!CL76),0),MAX((2-AmEur)*IF(CallPut=1,UndTree!CL76-Strike,Strike-UndTree!CL76),(UpProb*CM76+DownProb*CM77)*StepDiscount)))</f>
        <v>0</v>
      </c>
      <c r="CM76" s="17">
        <f>IF(CM$3="","",IF(CM$3=Steps,MAX(IF(CallPut=1,UndTree!CM76-Strike,Strike-UndTree!CM76),0),MAX((2-AmEur)*IF(CallPut=1,UndTree!CM76-Strike,Strike-UndTree!CM76),(UpProb*CN76+DownProb*CN77)*StepDiscount)))</f>
        <v>0</v>
      </c>
      <c r="CN76" s="17">
        <f>IF(CN$3="","",IF(CN$3=Steps,MAX(IF(CallPut=1,UndTree!CN76-Strike,Strike-UndTree!CN76),0),MAX((2-AmEur)*IF(CallPut=1,UndTree!CN76-Strike,Strike-UndTree!CN76),(UpProb*CO76+DownProb*CO77)*StepDiscount)))</f>
        <v>0</v>
      </c>
      <c r="CO76" s="17">
        <f>IF(CO$3="","",IF(CO$3=Steps,MAX(IF(CallPut=1,UndTree!CO76-Strike,Strike-UndTree!CO76),0),MAX((2-AmEur)*IF(CallPut=1,UndTree!CO76-Strike,Strike-UndTree!CO76),(UpProb*CP76+DownProb*CP77)*StepDiscount)))</f>
        <v>0</v>
      </c>
      <c r="CP76" s="17">
        <f>IF(CP$3="","",IF(CP$3=Steps,MAX(IF(CallPut=1,UndTree!CP76-Strike,Strike-UndTree!CP76),0),MAX((2-AmEur)*IF(CallPut=1,UndTree!CP76-Strike,Strike-UndTree!CP76),(UpProb*CQ76+DownProb*CQ77)*StepDiscount)))</f>
        <v>0</v>
      </c>
      <c r="CQ76" s="17">
        <f>IF(CQ$3="","",IF(CQ$3=Steps,MAX(IF(CallPut=1,UndTree!CQ76-Strike,Strike-UndTree!CQ76),0),MAX((2-AmEur)*IF(CallPut=1,UndTree!CQ76-Strike,Strike-UndTree!CQ76),(UpProb*CR76+DownProb*CR77)*StepDiscount)))</f>
        <v>0</v>
      </c>
      <c r="CR76" s="17">
        <f>IF(CR$3="","",IF(CR$3=Steps,MAX(IF(CallPut=1,UndTree!CR76-Strike,Strike-UndTree!CR76),0),MAX((2-AmEur)*IF(CallPut=1,UndTree!CR76-Strike,Strike-UndTree!CR76),(UpProb*CS76+DownProb*CS77)*StepDiscount)))</f>
        <v>0</v>
      </c>
      <c r="CS76" s="17">
        <f>IF(CS$3="","",IF(CS$3=Steps,MAX(IF(CallPut=1,UndTree!CS76-Strike,Strike-UndTree!CS76),0),MAX((2-AmEur)*IF(CallPut=1,UndTree!CS76-Strike,Strike-UndTree!CS76),(UpProb*CT76+DownProb*CT77)*StepDiscount)))</f>
        <v>0</v>
      </c>
      <c r="CT76" s="17">
        <f>IF(CT$3="","",IF(CT$3=Steps,MAX(IF(CallPut=1,UndTree!CT76-Strike,Strike-UndTree!CT76),0),MAX((2-AmEur)*IF(CallPut=1,UndTree!CT76-Strike,Strike-UndTree!CT76),(UpProb*CU76+DownProb*CU77)*StepDiscount)))</f>
        <v>0</v>
      </c>
      <c r="CU76" s="17">
        <f>IF(CU$3="","",IF(CU$3=Steps,MAX(IF(CallPut=1,UndTree!CU76-Strike,Strike-UndTree!CU76),0),MAX((2-AmEur)*IF(CallPut=1,UndTree!CU76-Strike,Strike-UndTree!CU76),(UpProb*CV76+DownProb*CV77)*StepDiscount)))</f>
        <v>0</v>
      </c>
      <c r="CV76" s="17">
        <f>IF(CV$3="","",IF(CV$3=Steps,MAX(IF(CallPut=1,UndTree!CV76-Strike,Strike-UndTree!CV76),0),MAX((2-AmEur)*IF(CallPut=1,UndTree!CV76-Strike,Strike-UndTree!CV76),(UpProb*CW76+DownProb*CW77)*StepDiscount)))</f>
        <v>0</v>
      </c>
      <c r="CW76" s="17">
        <f>IF(CW$3="","",IF(CW$3=Steps,MAX(IF(CallPut=1,UndTree!CW76-Strike,Strike-UndTree!CW76),0),MAX((2-AmEur)*IF(CallPut=1,UndTree!CW76-Strike,Strike-UndTree!CW76),(UpProb*CX76+DownProb*CX77)*StepDiscount)))</f>
        <v>0</v>
      </c>
      <c r="CX76" s="17">
        <f>IF(CX$3="","",IF(CX$3=Steps,MAX(IF(CallPut=1,UndTree!CX76-Strike,Strike-UndTree!CX76),0),MAX((2-AmEur)*IF(CallPut=1,UndTree!CX76-Strike,Strike-UndTree!CX76),(UpProb*CY76+DownProb*CY77)*StepDiscount)))</f>
        <v>0</v>
      </c>
      <c r="CY76" s="17">
        <f>IF(CY$3="","",IF(CY$3=Steps,MAX(IF(CallPut=1,UndTree!CY76-Strike,Strike-UndTree!CY76),0),MAX((2-AmEur)*IF(CallPut=1,UndTree!CY76-Strike,Strike-UndTree!CY76),(UpProb*CZ76+DownProb*CZ77)*StepDiscount)))</f>
        <v>0</v>
      </c>
      <c r="CZ76" s="17">
        <f>IF(CZ$3="","",IF(CZ$3=Steps,MAX(IF(CallPut=1,UndTree!CZ76-Strike,Strike-UndTree!CZ76),0),MAX((2-AmEur)*IF(CallPut=1,UndTree!CZ76-Strike,Strike-UndTree!CZ76),(UpProb*DA76+DownProb*DA77)*StepDiscount)))</f>
        <v>0</v>
      </c>
      <c r="DA76" s="17">
        <f>IF(DA$3="","",IF(DA$3=Steps,MAX(IF(CallPut=1,UndTree!DA76-Strike,Strike-UndTree!DA76),0),MAX((2-AmEur)*IF(CallPut=1,UndTree!DA76-Strike,Strike-UndTree!DA76),(UpProb*DB76+DownProb*DB77)*StepDiscount)))</f>
        <v>0</v>
      </c>
      <c r="DB76" s="17">
        <f>IF(DB$3="","",IF(DB$3=Steps,MAX(IF(CallPut=1,UndTree!DB76-Strike,Strike-UndTree!DB76),0),MAX((2-AmEur)*IF(CallPut=1,UndTree!DB76-Strike,Strike-UndTree!DB76),(UpProb*DC76+DownProb*DC77)*StepDiscount)))</f>
        <v>0</v>
      </c>
    </row>
    <row r="77" spans="1:106" x14ac:dyDescent="0.2">
      <c r="A77">
        <f>ExDivTree!A77</f>
        <v>6.9161669028151688E+24</v>
      </c>
      <c r="B77" s="71">
        <f>ExDivTree!B77</f>
        <v>2.7279468418071878E-6</v>
      </c>
      <c r="C77" s="71">
        <f>ExDivTree!C77</f>
        <v>2.4203754691839002E-6</v>
      </c>
      <c r="D77" s="177">
        <f>ExDivTree!D77</f>
        <v>73</v>
      </c>
      <c r="BZ77" s="17">
        <f>IF(BZ$3="","",IF(BZ$3=Steps,MAX(IF(CallPut=1,UndTree!BZ77-Strike,Strike-UndTree!BZ77),0),MAX((2-AmEur)*IF(CallPut=1,UndTree!BZ77-Strike,Strike-UndTree!BZ77),(UpProb*CA77+DownProb*CA78)*StepDiscount)))</f>
        <v>0</v>
      </c>
      <c r="CA77" s="17">
        <f>IF(CA$3="","",IF(CA$3=Steps,MAX(IF(CallPut=1,UndTree!CA77-Strike,Strike-UndTree!CA77),0),MAX((2-AmEur)*IF(CallPut=1,UndTree!CA77-Strike,Strike-UndTree!CA77),(UpProb*CB77+DownProb*CB78)*StepDiscount)))</f>
        <v>0</v>
      </c>
      <c r="CB77" s="17">
        <f>IF(CB$3="","",IF(CB$3=Steps,MAX(IF(CallPut=1,UndTree!CB77-Strike,Strike-UndTree!CB77),0),MAX((2-AmEur)*IF(CallPut=1,UndTree!CB77-Strike,Strike-UndTree!CB77),(UpProb*CC77+DownProb*CC78)*StepDiscount)))</f>
        <v>0</v>
      </c>
      <c r="CC77" s="17">
        <f>IF(CC$3="","",IF(CC$3=Steps,MAX(IF(CallPut=1,UndTree!CC77-Strike,Strike-UndTree!CC77),0),MAX((2-AmEur)*IF(CallPut=1,UndTree!CC77-Strike,Strike-UndTree!CC77),(UpProb*CD77+DownProb*CD78)*StepDiscount)))</f>
        <v>0</v>
      </c>
      <c r="CD77" s="17">
        <f>IF(CD$3="","",IF(CD$3=Steps,MAX(IF(CallPut=1,UndTree!CD77-Strike,Strike-UndTree!CD77),0),MAX((2-AmEur)*IF(CallPut=1,UndTree!CD77-Strike,Strike-UndTree!CD77),(UpProb*CE77+DownProb*CE78)*StepDiscount)))</f>
        <v>0</v>
      </c>
      <c r="CE77" s="17">
        <f>IF(CE$3="","",IF(CE$3=Steps,MAX(IF(CallPut=1,UndTree!CE77-Strike,Strike-UndTree!CE77),0),MAX((2-AmEur)*IF(CallPut=1,UndTree!CE77-Strike,Strike-UndTree!CE77),(UpProb*CF77+DownProb*CF78)*StepDiscount)))</f>
        <v>0</v>
      </c>
      <c r="CF77" s="17">
        <f>IF(CF$3="","",IF(CF$3=Steps,MAX(IF(CallPut=1,UndTree!CF77-Strike,Strike-UndTree!CF77),0),MAX((2-AmEur)*IF(CallPut=1,UndTree!CF77-Strike,Strike-UndTree!CF77),(UpProb*CG77+DownProb*CG78)*StepDiscount)))</f>
        <v>0</v>
      </c>
      <c r="CG77" s="17">
        <f>IF(CG$3="","",IF(CG$3=Steps,MAX(IF(CallPut=1,UndTree!CG77-Strike,Strike-UndTree!CG77),0),MAX((2-AmEur)*IF(CallPut=1,UndTree!CG77-Strike,Strike-UndTree!CG77),(UpProb*CH77+DownProb*CH78)*StepDiscount)))</f>
        <v>0</v>
      </c>
      <c r="CH77" s="17">
        <f>IF(CH$3="","",IF(CH$3=Steps,MAX(IF(CallPut=1,UndTree!CH77-Strike,Strike-UndTree!CH77),0),MAX((2-AmEur)*IF(CallPut=1,UndTree!CH77-Strike,Strike-UndTree!CH77),(UpProb*CI77+DownProb*CI78)*StepDiscount)))</f>
        <v>0</v>
      </c>
      <c r="CI77" s="17">
        <f>IF(CI$3="","",IF(CI$3=Steps,MAX(IF(CallPut=1,UndTree!CI77-Strike,Strike-UndTree!CI77),0),MAX((2-AmEur)*IF(CallPut=1,UndTree!CI77-Strike,Strike-UndTree!CI77),(UpProb*CJ77+DownProb*CJ78)*StepDiscount)))</f>
        <v>0</v>
      </c>
      <c r="CJ77" s="17">
        <f>IF(CJ$3="","",IF(CJ$3=Steps,MAX(IF(CallPut=1,UndTree!CJ77-Strike,Strike-UndTree!CJ77),0),MAX((2-AmEur)*IF(CallPut=1,UndTree!CJ77-Strike,Strike-UndTree!CJ77),(UpProb*CK77+DownProb*CK78)*StepDiscount)))</f>
        <v>0</v>
      </c>
      <c r="CK77" s="17">
        <f>IF(CK$3="","",IF(CK$3=Steps,MAX(IF(CallPut=1,UndTree!CK77-Strike,Strike-UndTree!CK77),0),MAX((2-AmEur)*IF(CallPut=1,UndTree!CK77-Strike,Strike-UndTree!CK77),(UpProb*CL77+DownProb*CL78)*StepDiscount)))</f>
        <v>0</v>
      </c>
      <c r="CL77" s="17">
        <f>IF(CL$3="","",IF(CL$3=Steps,MAX(IF(CallPut=1,UndTree!CL77-Strike,Strike-UndTree!CL77),0),MAX((2-AmEur)*IF(CallPut=1,UndTree!CL77-Strike,Strike-UndTree!CL77),(UpProb*CM77+DownProb*CM78)*StepDiscount)))</f>
        <v>0</v>
      </c>
      <c r="CM77" s="17">
        <f>IF(CM$3="","",IF(CM$3=Steps,MAX(IF(CallPut=1,UndTree!CM77-Strike,Strike-UndTree!CM77),0),MAX((2-AmEur)*IF(CallPut=1,UndTree!CM77-Strike,Strike-UndTree!CM77),(UpProb*CN77+DownProb*CN78)*StepDiscount)))</f>
        <v>0</v>
      </c>
      <c r="CN77" s="17">
        <f>IF(CN$3="","",IF(CN$3=Steps,MAX(IF(CallPut=1,UndTree!CN77-Strike,Strike-UndTree!CN77),0),MAX((2-AmEur)*IF(CallPut=1,UndTree!CN77-Strike,Strike-UndTree!CN77),(UpProb*CO77+DownProb*CO78)*StepDiscount)))</f>
        <v>0</v>
      </c>
      <c r="CO77" s="17">
        <f>IF(CO$3="","",IF(CO$3=Steps,MAX(IF(CallPut=1,UndTree!CO77-Strike,Strike-UndTree!CO77),0),MAX((2-AmEur)*IF(CallPut=1,UndTree!CO77-Strike,Strike-UndTree!CO77),(UpProb*CP77+DownProb*CP78)*StepDiscount)))</f>
        <v>0</v>
      </c>
      <c r="CP77" s="17">
        <f>IF(CP$3="","",IF(CP$3=Steps,MAX(IF(CallPut=1,UndTree!CP77-Strike,Strike-UndTree!CP77),0),MAX((2-AmEur)*IF(CallPut=1,UndTree!CP77-Strike,Strike-UndTree!CP77),(UpProb*CQ77+DownProb*CQ78)*StepDiscount)))</f>
        <v>0</v>
      </c>
      <c r="CQ77" s="17">
        <f>IF(CQ$3="","",IF(CQ$3=Steps,MAX(IF(CallPut=1,UndTree!CQ77-Strike,Strike-UndTree!CQ77),0),MAX((2-AmEur)*IF(CallPut=1,UndTree!CQ77-Strike,Strike-UndTree!CQ77),(UpProb*CR77+DownProb*CR78)*StepDiscount)))</f>
        <v>0</v>
      </c>
      <c r="CR77" s="17">
        <f>IF(CR$3="","",IF(CR$3=Steps,MAX(IF(CallPut=1,UndTree!CR77-Strike,Strike-UndTree!CR77),0),MAX((2-AmEur)*IF(CallPut=1,UndTree!CR77-Strike,Strike-UndTree!CR77),(UpProb*CS77+DownProb*CS78)*StepDiscount)))</f>
        <v>0</v>
      </c>
      <c r="CS77" s="17">
        <f>IF(CS$3="","",IF(CS$3=Steps,MAX(IF(CallPut=1,UndTree!CS77-Strike,Strike-UndTree!CS77),0),MAX((2-AmEur)*IF(CallPut=1,UndTree!CS77-Strike,Strike-UndTree!CS77),(UpProb*CT77+DownProb*CT78)*StepDiscount)))</f>
        <v>0</v>
      </c>
      <c r="CT77" s="17">
        <f>IF(CT$3="","",IF(CT$3=Steps,MAX(IF(CallPut=1,UndTree!CT77-Strike,Strike-UndTree!CT77),0),MAX((2-AmEur)*IF(CallPut=1,UndTree!CT77-Strike,Strike-UndTree!CT77),(UpProb*CU77+DownProb*CU78)*StepDiscount)))</f>
        <v>0</v>
      </c>
      <c r="CU77" s="17">
        <f>IF(CU$3="","",IF(CU$3=Steps,MAX(IF(CallPut=1,UndTree!CU77-Strike,Strike-UndTree!CU77),0),MAX((2-AmEur)*IF(CallPut=1,UndTree!CU77-Strike,Strike-UndTree!CU77),(UpProb*CV77+DownProb*CV78)*StepDiscount)))</f>
        <v>0</v>
      </c>
      <c r="CV77" s="17">
        <f>IF(CV$3="","",IF(CV$3=Steps,MAX(IF(CallPut=1,UndTree!CV77-Strike,Strike-UndTree!CV77),0),MAX((2-AmEur)*IF(CallPut=1,UndTree!CV77-Strike,Strike-UndTree!CV77),(UpProb*CW77+DownProb*CW78)*StepDiscount)))</f>
        <v>0</v>
      </c>
      <c r="CW77" s="17">
        <f>IF(CW$3="","",IF(CW$3=Steps,MAX(IF(CallPut=1,UndTree!CW77-Strike,Strike-UndTree!CW77),0),MAX((2-AmEur)*IF(CallPut=1,UndTree!CW77-Strike,Strike-UndTree!CW77),(UpProb*CX77+DownProb*CX78)*StepDiscount)))</f>
        <v>0</v>
      </c>
      <c r="CX77" s="17">
        <f>IF(CX$3="","",IF(CX$3=Steps,MAX(IF(CallPut=1,UndTree!CX77-Strike,Strike-UndTree!CX77),0),MAX((2-AmEur)*IF(CallPut=1,UndTree!CX77-Strike,Strike-UndTree!CX77),(UpProb*CY77+DownProb*CY78)*StepDiscount)))</f>
        <v>0</v>
      </c>
      <c r="CY77" s="17">
        <f>IF(CY$3="","",IF(CY$3=Steps,MAX(IF(CallPut=1,UndTree!CY77-Strike,Strike-UndTree!CY77),0),MAX((2-AmEur)*IF(CallPut=1,UndTree!CY77-Strike,Strike-UndTree!CY77),(UpProb*CZ77+DownProb*CZ78)*StepDiscount)))</f>
        <v>0</v>
      </c>
      <c r="CZ77" s="17">
        <f>IF(CZ$3="","",IF(CZ$3=Steps,MAX(IF(CallPut=1,UndTree!CZ77-Strike,Strike-UndTree!CZ77),0),MAX((2-AmEur)*IF(CallPut=1,UndTree!CZ77-Strike,Strike-UndTree!CZ77),(UpProb*DA77+DownProb*DA78)*StepDiscount)))</f>
        <v>0</v>
      </c>
      <c r="DA77" s="17">
        <f>IF(DA$3="","",IF(DA$3=Steps,MAX(IF(CallPut=1,UndTree!DA77-Strike,Strike-UndTree!DA77),0),MAX((2-AmEur)*IF(CallPut=1,UndTree!DA77-Strike,Strike-UndTree!DA77),(UpProb*DB77+DownProb*DB78)*StepDiscount)))</f>
        <v>0</v>
      </c>
      <c r="DB77" s="17">
        <f>IF(DB$3="","",IF(DB$3=Steps,MAX(IF(CallPut=1,UndTree!DB77-Strike,Strike-UndTree!DB77),0),MAX((2-AmEur)*IF(CallPut=1,UndTree!DB77-Strike,Strike-UndTree!DB77),(UpProb*DC77+DownProb*DC78)*StepDiscount)))</f>
        <v>0</v>
      </c>
    </row>
    <row r="78" spans="1:106" x14ac:dyDescent="0.2">
      <c r="A78">
        <f>ExDivTree!A78</f>
        <v>2.6169280172814157E+24</v>
      </c>
      <c r="B78" s="71">
        <f>ExDivTree!B78</f>
        <v>1.0321961023054226E-6</v>
      </c>
      <c r="C78" s="71">
        <f>ExDivTree!C78</f>
        <v>9.1097586807906784E-7</v>
      </c>
      <c r="D78" s="177">
        <f>ExDivTree!D78</f>
        <v>74</v>
      </c>
      <c r="CA78" s="17">
        <f>IF(CA$3="","",IF(CA$3=Steps,MAX(IF(CallPut=1,UndTree!CA78-Strike,Strike-UndTree!CA78),0),MAX((2-AmEur)*IF(CallPut=1,UndTree!CA78-Strike,Strike-UndTree!CA78),(UpProb*CB78+DownProb*CB79)*StepDiscount)))</f>
        <v>0</v>
      </c>
      <c r="CB78" s="17">
        <f>IF(CB$3="","",IF(CB$3=Steps,MAX(IF(CallPut=1,UndTree!CB78-Strike,Strike-UndTree!CB78),0),MAX((2-AmEur)*IF(CallPut=1,UndTree!CB78-Strike,Strike-UndTree!CB78),(UpProb*CC78+DownProb*CC79)*StepDiscount)))</f>
        <v>0</v>
      </c>
      <c r="CC78" s="17">
        <f>IF(CC$3="","",IF(CC$3=Steps,MAX(IF(CallPut=1,UndTree!CC78-Strike,Strike-UndTree!CC78),0),MAX((2-AmEur)*IF(CallPut=1,UndTree!CC78-Strike,Strike-UndTree!CC78),(UpProb*CD78+DownProb*CD79)*StepDiscount)))</f>
        <v>0</v>
      </c>
      <c r="CD78" s="17">
        <f>IF(CD$3="","",IF(CD$3=Steps,MAX(IF(CallPut=1,UndTree!CD78-Strike,Strike-UndTree!CD78),0),MAX((2-AmEur)*IF(CallPut=1,UndTree!CD78-Strike,Strike-UndTree!CD78),(UpProb*CE78+DownProb*CE79)*StepDiscount)))</f>
        <v>0</v>
      </c>
      <c r="CE78" s="17">
        <f>IF(CE$3="","",IF(CE$3=Steps,MAX(IF(CallPut=1,UndTree!CE78-Strike,Strike-UndTree!CE78),0),MAX((2-AmEur)*IF(CallPut=1,UndTree!CE78-Strike,Strike-UndTree!CE78),(UpProb*CF78+DownProb*CF79)*StepDiscount)))</f>
        <v>0</v>
      </c>
      <c r="CF78" s="17">
        <f>IF(CF$3="","",IF(CF$3=Steps,MAX(IF(CallPut=1,UndTree!CF78-Strike,Strike-UndTree!CF78),0),MAX((2-AmEur)*IF(CallPut=1,UndTree!CF78-Strike,Strike-UndTree!CF78),(UpProb*CG78+DownProb*CG79)*StepDiscount)))</f>
        <v>0</v>
      </c>
      <c r="CG78" s="17">
        <f>IF(CG$3="","",IF(CG$3=Steps,MAX(IF(CallPut=1,UndTree!CG78-Strike,Strike-UndTree!CG78),0),MAX((2-AmEur)*IF(CallPut=1,UndTree!CG78-Strike,Strike-UndTree!CG78),(UpProb*CH78+DownProb*CH79)*StepDiscount)))</f>
        <v>0</v>
      </c>
      <c r="CH78" s="17">
        <f>IF(CH$3="","",IF(CH$3=Steps,MAX(IF(CallPut=1,UndTree!CH78-Strike,Strike-UndTree!CH78),0),MAX((2-AmEur)*IF(CallPut=1,UndTree!CH78-Strike,Strike-UndTree!CH78),(UpProb*CI78+DownProb*CI79)*StepDiscount)))</f>
        <v>0</v>
      </c>
      <c r="CI78" s="17">
        <f>IF(CI$3="","",IF(CI$3=Steps,MAX(IF(CallPut=1,UndTree!CI78-Strike,Strike-UndTree!CI78),0),MAX((2-AmEur)*IF(CallPut=1,UndTree!CI78-Strike,Strike-UndTree!CI78),(UpProb*CJ78+DownProb*CJ79)*StepDiscount)))</f>
        <v>0</v>
      </c>
      <c r="CJ78" s="17">
        <f>IF(CJ$3="","",IF(CJ$3=Steps,MAX(IF(CallPut=1,UndTree!CJ78-Strike,Strike-UndTree!CJ78),0),MAX((2-AmEur)*IF(CallPut=1,UndTree!CJ78-Strike,Strike-UndTree!CJ78),(UpProb*CK78+DownProb*CK79)*StepDiscount)))</f>
        <v>0</v>
      </c>
      <c r="CK78" s="17">
        <f>IF(CK$3="","",IF(CK$3=Steps,MAX(IF(CallPut=1,UndTree!CK78-Strike,Strike-UndTree!CK78),0),MAX((2-AmEur)*IF(CallPut=1,UndTree!CK78-Strike,Strike-UndTree!CK78),(UpProb*CL78+DownProb*CL79)*StepDiscount)))</f>
        <v>0</v>
      </c>
      <c r="CL78" s="17">
        <f>IF(CL$3="","",IF(CL$3=Steps,MAX(IF(CallPut=1,UndTree!CL78-Strike,Strike-UndTree!CL78),0),MAX((2-AmEur)*IF(CallPut=1,UndTree!CL78-Strike,Strike-UndTree!CL78),(UpProb*CM78+DownProb*CM79)*StepDiscount)))</f>
        <v>0</v>
      </c>
      <c r="CM78" s="17">
        <f>IF(CM$3="","",IF(CM$3=Steps,MAX(IF(CallPut=1,UndTree!CM78-Strike,Strike-UndTree!CM78),0),MAX((2-AmEur)*IF(CallPut=1,UndTree!CM78-Strike,Strike-UndTree!CM78),(UpProb*CN78+DownProb*CN79)*StepDiscount)))</f>
        <v>0</v>
      </c>
      <c r="CN78" s="17">
        <f>IF(CN$3="","",IF(CN$3=Steps,MAX(IF(CallPut=1,UndTree!CN78-Strike,Strike-UndTree!CN78),0),MAX((2-AmEur)*IF(CallPut=1,UndTree!CN78-Strike,Strike-UndTree!CN78),(UpProb*CO78+DownProb*CO79)*StepDiscount)))</f>
        <v>0</v>
      </c>
      <c r="CO78" s="17">
        <f>IF(CO$3="","",IF(CO$3=Steps,MAX(IF(CallPut=1,UndTree!CO78-Strike,Strike-UndTree!CO78),0),MAX((2-AmEur)*IF(CallPut=1,UndTree!CO78-Strike,Strike-UndTree!CO78),(UpProb*CP78+DownProb*CP79)*StepDiscount)))</f>
        <v>0</v>
      </c>
      <c r="CP78" s="17">
        <f>IF(CP$3="","",IF(CP$3=Steps,MAX(IF(CallPut=1,UndTree!CP78-Strike,Strike-UndTree!CP78),0),MAX((2-AmEur)*IF(CallPut=1,UndTree!CP78-Strike,Strike-UndTree!CP78),(UpProb*CQ78+DownProb*CQ79)*StepDiscount)))</f>
        <v>0</v>
      </c>
      <c r="CQ78" s="17">
        <f>IF(CQ$3="","",IF(CQ$3=Steps,MAX(IF(CallPut=1,UndTree!CQ78-Strike,Strike-UndTree!CQ78),0),MAX((2-AmEur)*IF(CallPut=1,UndTree!CQ78-Strike,Strike-UndTree!CQ78),(UpProb*CR78+DownProb*CR79)*StepDiscount)))</f>
        <v>0</v>
      </c>
      <c r="CR78" s="17">
        <f>IF(CR$3="","",IF(CR$3=Steps,MAX(IF(CallPut=1,UndTree!CR78-Strike,Strike-UndTree!CR78),0),MAX((2-AmEur)*IF(CallPut=1,UndTree!CR78-Strike,Strike-UndTree!CR78),(UpProb*CS78+DownProb*CS79)*StepDiscount)))</f>
        <v>0</v>
      </c>
      <c r="CS78" s="17">
        <f>IF(CS$3="","",IF(CS$3=Steps,MAX(IF(CallPut=1,UndTree!CS78-Strike,Strike-UndTree!CS78),0),MAX((2-AmEur)*IF(CallPut=1,UndTree!CS78-Strike,Strike-UndTree!CS78),(UpProb*CT78+DownProb*CT79)*StepDiscount)))</f>
        <v>0</v>
      </c>
      <c r="CT78" s="17">
        <f>IF(CT$3="","",IF(CT$3=Steps,MAX(IF(CallPut=1,UndTree!CT78-Strike,Strike-UndTree!CT78),0),MAX((2-AmEur)*IF(CallPut=1,UndTree!CT78-Strike,Strike-UndTree!CT78),(UpProb*CU78+DownProb*CU79)*StepDiscount)))</f>
        <v>0</v>
      </c>
      <c r="CU78" s="17">
        <f>IF(CU$3="","",IF(CU$3=Steps,MAX(IF(CallPut=1,UndTree!CU78-Strike,Strike-UndTree!CU78),0),MAX((2-AmEur)*IF(CallPut=1,UndTree!CU78-Strike,Strike-UndTree!CU78),(UpProb*CV78+DownProb*CV79)*StepDiscount)))</f>
        <v>0</v>
      </c>
      <c r="CV78" s="17">
        <f>IF(CV$3="","",IF(CV$3=Steps,MAX(IF(CallPut=1,UndTree!CV78-Strike,Strike-UndTree!CV78),0),MAX((2-AmEur)*IF(CallPut=1,UndTree!CV78-Strike,Strike-UndTree!CV78),(UpProb*CW78+DownProb*CW79)*StepDiscount)))</f>
        <v>0</v>
      </c>
      <c r="CW78" s="17">
        <f>IF(CW$3="","",IF(CW$3=Steps,MAX(IF(CallPut=1,UndTree!CW78-Strike,Strike-UndTree!CW78),0),MAX((2-AmEur)*IF(CallPut=1,UndTree!CW78-Strike,Strike-UndTree!CW78),(UpProb*CX78+DownProb*CX79)*StepDiscount)))</f>
        <v>0</v>
      </c>
      <c r="CX78" s="17">
        <f>IF(CX$3="","",IF(CX$3=Steps,MAX(IF(CallPut=1,UndTree!CX78-Strike,Strike-UndTree!CX78),0),MAX((2-AmEur)*IF(CallPut=1,UndTree!CX78-Strike,Strike-UndTree!CX78),(UpProb*CY78+DownProb*CY79)*StepDiscount)))</f>
        <v>0</v>
      </c>
      <c r="CY78" s="17">
        <f>IF(CY$3="","",IF(CY$3=Steps,MAX(IF(CallPut=1,UndTree!CY78-Strike,Strike-UndTree!CY78),0),MAX((2-AmEur)*IF(CallPut=1,UndTree!CY78-Strike,Strike-UndTree!CY78),(UpProb*CZ78+DownProb*CZ79)*StepDiscount)))</f>
        <v>0</v>
      </c>
      <c r="CZ78" s="17">
        <f>IF(CZ$3="","",IF(CZ$3=Steps,MAX(IF(CallPut=1,UndTree!CZ78-Strike,Strike-UndTree!CZ78),0),MAX((2-AmEur)*IF(CallPut=1,UndTree!CZ78-Strike,Strike-UndTree!CZ78),(UpProb*DA78+DownProb*DA79)*StepDiscount)))</f>
        <v>0</v>
      </c>
      <c r="DA78" s="17">
        <f>IF(DA$3="","",IF(DA$3=Steps,MAX(IF(CallPut=1,UndTree!DA78-Strike,Strike-UndTree!DA78),0),MAX((2-AmEur)*IF(CallPut=1,UndTree!DA78-Strike,Strike-UndTree!DA78),(UpProb*DB78+DownProb*DB79)*StepDiscount)))</f>
        <v>0</v>
      </c>
      <c r="DB78" s="17">
        <f>IF(DB$3="","",IF(DB$3=Steps,MAX(IF(CallPut=1,UndTree!DB78-Strike,Strike-UndTree!DB78),0),MAX((2-AmEur)*IF(CallPut=1,UndTree!DB78-Strike,Strike-UndTree!DB78),(UpProb*DC78+DownProb*DC79)*StepDiscount)))</f>
        <v>0</v>
      </c>
    </row>
    <row r="79" spans="1:106" x14ac:dyDescent="0.2">
      <c r="A79">
        <f>ExDivTree!A79</f>
        <v>9.4209408622130929E+23</v>
      </c>
      <c r="B79" s="71">
        <f>ExDivTree!B79</f>
        <v>3.71590596829952E-7</v>
      </c>
      <c r="C79" s="71">
        <f>ExDivTree!C79</f>
        <v>3.2621745232568246E-7</v>
      </c>
      <c r="D79" s="177">
        <f>ExDivTree!D79</f>
        <v>75</v>
      </c>
      <c r="CB79" s="17">
        <f>IF(CB$3="","",IF(CB$3=Steps,MAX(IF(CallPut=1,UndTree!CB79-Strike,Strike-UndTree!CB79),0),MAX((2-AmEur)*IF(CallPut=1,UndTree!CB79-Strike,Strike-UndTree!CB79),(UpProb*CC79+DownProb*CC80)*StepDiscount)))</f>
        <v>0</v>
      </c>
      <c r="CC79" s="17">
        <f>IF(CC$3="","",IF(CC$3=Steps,MAX(IF(CallPut=1,UndTree!CC79-Strike,Strike-UndTree!CC79),0),MAX((2-AmEur)*IF(CallPut=1,UndTree!CC79-Strike,Strike-UndTree!CC79),(UpProb*CD79+DownProb*CD80)*StepDiscount)))</f>
        <v>0</v>
      </c>
      <c r="CD79" s="17">
        <f>IF(CD$3="","",IF(CD$3=Steps,MAX(IF(CallPut=1,UndTree!CD79-Strike,Strike-UndTree!CD79),0),MAX((2-AmEur)*IF(CallPut=1,UndTree!CD79-Strike,Strike-UndTree!CD79),(UpProb*CE79+DownProb*CE80)*StepDiscount)))</f>
        <v>0</v>
      </c>
      <c r="CE79" s="17">
        <f>IF(CE$3="","",IF(CE$3=Steps,MAX(IF(CallPut=1,UndTree!CE79-Strike,Strike-UndTree!CE79),0),MAX((2-AmEur)*IF(CallPut=1,UndTree!CE79-Strike,Strike-UndTree!CE79),(UpProb*CF79+DownProb*CF80)*StepDiscount)))</f>
        <v>0</v>
      </c>
      <c r="CF79" s="17">
        <f>IF(CF$3="","",IF(CF$3=Steps,MAX(IF(CallPut=1,UndTree!CF79-Strike,Strike-UndTree!CF79),0),MAX((2-AmEur)*IF(CallPut=1,UndTree!CF79-Strike,Strike-UndTree!CF79),(UpProb*CG79+DownProb*CG80)*StepDiscount)))</f>
        <v>0</v>
      </c>
      <c r="CG79" s="17">
        <f>IF(CG$3="","",IF(CG$3=Steps,MAX(IF(CallPut=1,UndTree!CG79-Strike,Strike-UndTree!CG79),0),MAX((2-AmEur)*IF(CallPut=1,UndTree!CG79-Strike,Strike-UndTree!CG79),(UpProb*CH79+DownProb*CH80)*StepDiscount)))</f>
        <v>0</v>
      </c>
      <c r="CH79" s="17">
        <f>IF(CH$3="","",IF(CH$3=Steps,MAX(IF(CallPut=1,UndTree!CH79-Strike,Strike-UndTree!CH79),0),MAX((2-AmEur)*IF(CallPut=1,UndTree!CH79-Strike,Strike-UndTree!CH79),(UpProb*CI79+DownProb*CI80)*StepDiscount)))</f>
        <v>0</v>
      </c>
      <c r="CI79" s="17">
        <f>IF(CI$3="","",IF(CI$3=Steps,MAX(IF(CallPut=1,UndTree!CI79-Strike,Strike-UndTree!CI79),0),MAX((2-AmEur)*IF(CallPut=1,UndTree!CI79-Strike,Strike-UndTree!CI79),(UpProb*CJ79+DownProb*CJ80)*StepDiscount)))</f>
        <v>0</v>
      </c>
      <c r="CJ79" s="17">
        <f>IF(CJ$3="","",IF(CJ$3=Steps,MAX(IF(CallPut=1,UndTree!CJ79-Strike,Strike-UndTree!CJ79),0),MAX((2-AmEur)*IF(CallPut=1,UndTree!CJ79-Strike,Strike-UndTree!CJ79),(UpProb*CK79+DownProb*CK80)*StepDiscount)))</f>
        <v>0</v>
      </c>
      <c r="CK79" s="17">
        <f>IF(CK$3="","",IF(CK$3=Steps,MAX(IF(CallPut=1,UndTree!CK79-Strike,Strike-UndTree!CK79),0),MAX((2-AmEur)*IF(CallPut=1,UndTree!CK79-Strike,Strike-UndTree!CK79),(UpProb*CL79+DownProb*CL80)*StepDiscount)))</f>
        <v>0</v>
      </c>
      <c r="CL79" s="17">
        <f>IF(CL$3="","",IF(CL$3=Steps,MAX(IF(CallPut=1,UndTree!CL79-Strike,Strike-UndTree!CL79),0),MAX((2-AmEur)*IF(CallPut=1,UndTree!CL79-Strike,Strike-UndTree!CL79),(UpProb*CM79+DownProb*CM80)*StepDiscount)))</f>
        <v>0</v>
      </c>
      <c r="CM79" s="17">
        <f>IF(CM$3="","",IF(CM$3=Steps,MAX(IF(CallPut=1,UndTree!CM79-Strike,Strike-UndTree!CM79),0),MAX((2-AmEur)*IF(CallPut=1,UndTree!CM79-Strike,Strike-UndTree!CM79),(UpProb*CN79+DownProb*CN80)*StepDiscount)))</f>
        <v>0</v>
      </c>
      <c r="CN79" s="17">
        <f>IF(CN$3="","",IF(CN$3=Steps,MAX(IF(CallPut=1,UndTree!CN79-Strike,Strike-UndTree!CN79),0),MAX((2-AmEur)*IF(CallPut=1,UndTree!CN79-Strike,Strike-UndTree!CN79),(UpProb*CO79+DownProb*CO80)*StepDiscount)))</f>
        <v>0</v>
      </c>
      <c r="CO79" s="17">
        <f>IF(CO$3="","",IF(CO$3=Steps,MAX(IF(CallPut=1,UndTree!CO79-Strike,Strike-UndTree!CO79),0),MAX((2-AmEur)*IF(CallPut=1,UndTree!CO79-Strike,Strike-UndTree!CO79),(UpProb*CP79+DownProb*CP80)*StepDiscount)))</f>
        <v>0</v>
      </c>
      <c r="CP79" s="17">
        <f>IF(CP$3="","",IF(CP$3=Steps,MAX(IF(CallPut=1,UndTree!CP79-Strike,Strike-UndTree!CP79),0),MAX((2-AmEur)*IF(CallPut=1,UndTree!CP79-Strike,Strike-UndTree!CP79),(UpProb*CQ79+DownProb*CQ80)*StepDiscount)))</f>
        <v>0</v>
      </c>
      <c r="CQ79" s="17">
        <f>IF(CQ$3="","",IF(CQ$3=Steps,MAX(IF(CallPut=1,UndTree!CQ79-Strike,Strike-UndTree!CQ79),0),MAX((2-AmEur)*IF(CallPut=1,UndTree!CQ79-Strike,Strike-UndTree!CQ79),(UpProb*CR79+DownProb*CR80)*StepDiscount)))</f>
        <v>0</v>
      </c>
      <c r="CR79" s="17">
        <f>IF(CR$3="","",IF(CR$3=Steps,MAX(IF(CallPut=1,UndTree!CR79-Strike,Strike-UndTree!CR79),0),MAX((2-AmEur)*IF(CallPut=1,UndTree!CR79-Strike,Strike-UndTree!CR79),(UpProb*CS79+DownProb*CS80)*StepDiscount)))</f>
        <v>0</v>
      </c>
      <c r="CS79" s="17">
        <f>IF(CS$3="","",IF(CS$3=Steps,MAX(IF(CallPut=1,UndTree!CS79-Strike,Strike-UndTree!CS79),0),MAX((2-AmEur)*IF(CallPut=1,UndTree!CS79-Strike,Strike-UndTree!CS79),(UpProb*CT79+DownProb*CT80)*StepDiscount)))</f>
        <v>0</v>
      </c>
      <c r="CT79" s="17">
        <f>IF(CT$3="","",IF(CT$3=Steps,MAX(IF(CallPut=1,UndTree!CT79-Strike,Strike-UndTree!CT79),0),MAX((2-AmEur)*IF(CallPut=1,UndTree!CT79-Strike,Strike-UndTree!CT79),(UpProb*CU79+DownProb*CU80)*StepDiscount)))</f>
        <v>0</v>
      </c>
      <c r="CU79" s="17">
        <f>IF(CU$3="","",IF(CU$3=Steps,MAX(IF(CallPut=1,UndTree!CU79-Strike,Strike-UndTree!CU79),0),MAX((2-AmEur)*IF(CallPut=1,UndTree!CU79-Strike,Strike-UndTree!CU79),(UpProb*CV79+DownProb*CV80)*StepDiscount)))</f>
        <v>0</v>
      </c>
      <c r="CV79" s="17">
        <f>IF(CV$3="","",IF(CV$3=Steps,MAX(IF(CallPut=1,UndTree!CV79-Strike,Strike-UndTree!CV79),0),MAX((2-AmEur)*IF(CallPut=1,UndTree!CV79-Strike,Strike-UndTree!CV79),(UpProb*CW79+DownProb*CW80)*StepDiscount)))</f>
        <v>0</v>
      </c>
      <c r="CW79" s="17">
        <f>IF(CW$3="","",IF(CW$3=Steps,MAX(IF(CallPut=1,UndTree!CW79-Strike,Strike-UndTree!CW79),0),MAX((2-AmEur)*IF(CallPut=1,UndTree!CW79-Strike,Strike-UndTree!CW79),(UpProb*CX79+DownProb*CX80)*StepDiscount)))</f>
        <v>0</v>
      </c>
      <c r="CX79" s="17">
        <f>IF(CX$3="","",IF(CX$3=Steps,MAX(IF(CallPut=1,UndTree!CX79-Strike,Strike-UndTree!CX79),0),MAX((2-AmEur)*IF(CallPut=1,UndTree!CX79-Strike,Strike-UndTree!CX79),(UpProb*CY79+DownProb*CY80)*StepDiscount)))</f>
        <v>0</v>
      </c>
      <c r="CY79" s="17">
        <f>IF(CY$3="","",IF(CY$3=Steps,MAX(IF(CallPut=1,UndTree!CY79-Strike,Strike-UndTree!CY79),0),MAX((2-AmEur)*IF(CallPut=1,UndTree!CY79-Strike,Strike-UndTree!CY79),(UpProb*CZ79+DownProb*CZ80)*StepDiscount)))</f>
        <v>0</v>
      </c>
      <c r="CZ79" s="17">
        <f>IF(CZ$3="","",IF(CZ$3=Steps,MAX(IF(CallPut=1,UndTree!CZ79-Strike,Strike-UndTree!CZ79),0),MAX((2-AmEur)*IF(CallPut=1,UndTree!CZ79-Strike,Strike-UndTree!CZ79),(UpProb*DA79+DownProb*DA80)*StepDiscount)))</f>
        <v>0</v>
      </c>
      <c r="DA79" s="17">
        <f>IF(DA$3="","",IF(DA$3=Steps,MAX(IF(CallPut=1,UndTree!DA79-Strike,Strike-UndTree!DA79),0),MAX((2-AmEur)*IF(CallPut=1,UndTree!DA79-Strike,Strike-UndTree!DA79),(UpProb*DB79+DownProb*DB80)*StepDiscount)))</f>
        <v>0</v>
      </c>
      <c r="DB79" s="17">
        <f>IF(DB$3="","",IF(DB$3=Steps,MAX(IF(CallPut=1,UndTree!DB79-Strike,Strike-UndTree!DB79),0),MAX((2-AmEur)*IF(CallPut=1,UndTree!DB79-Strike,Strike-UndTree!DB79),(UpProb*DC79+DownProb*DC80)*StepDiscount)))</f>
        <v>0</v>
      </c>
    </row>
    <row r="80" spans="1:106" x14ac:dyDescent="0.2">
      <c r="A80">
        <f>ExDivTree!A80</f>
        <v>3.2229534528623754E+23</v>
      </c>
      <c r="B80" s="71">
        <f>ExDivTree!B80</f>
        <v>1.2712309891550995E-7</v>
      </c>
      <c r="C80" s="71">
        <f>ExDivTree!C80</f>
        <v>1.1101068069833828E-7</v>
      </c>
      <c r="D80" s="177">
        <f>ExDivTree!D80</f>
        <v>76</v>
      </c>
      <c r="CC80" s="17">
        <f>IF(CC$3="","",IF(CC$3=Steps,MAX(IF(CallPut=1,UndTree!CC80-Strike,Strike-UndTree!CC80),0),MAX((2-AmEur)*IF(CallPut=1,UndTree!CC80-Strike,Strike-UndTree!CC80),(UpProb*CD80+DownProb*CD81)*StepDiscount)))</f>
        <v>0</v>
      </c>
      <c r="CD80" s="17">
        <f>IF(CD$3="","",IF(CD$3=Steps,MAX(IF(CallPut=1,UndTree!CD80-Strike,Strike-UndTree!CD80),0),MAX((2-AmEur)*IF(CallPut=1,UndTree!CD80-Strike,Strike-UndTree!CD80),(UpProb*CE80+DownProb*CE81)*StepDiscount)))</f>
        <v>0</v>
      </c>
      <c r="CE80" s="17">
        <f>IF(CE$3="","",IF(CE$3=Steps,MAX(IF(CallPut=1,UndTree!CE80-Strike,Strike-UndTree!CE80),0),MAX((2-AmEur)*IF(CallPut=1,UndTree!CE80-Strike,Strike-UndTree!CE80),(UpProb*CF80+DownProb*CF81)*StepDiscount)))</f>
        <v>0</v>
      </c>
      <c r="CF80" s="17">
        <f>IF(CF$3="","",IF(CF$3=Steps,MAX(IF(CallPut=1,UndTree!CF80-Strike,Strike-UndTree!CF80),0),MAX((2-AmEur)*IF(CallPut=1,UndTree!CF80-Strike,Strike-UndTree!CF80),(UpProb*CG80+DownProb*CG81)*StepDiscount)))</f>
        <v>0</v>
      </c>
      <c r="CG80" s="17">
        <f>IF(CG$3="","",IF(CG$3=Steps,MAX(IF(CallPut=1,UndTree!CG80-Strike,Strike-UndTree!CG80),0),MAX((2-AmEur)*IF(CallPut=1,UndTree!CG80-Strike,Strike-UndTree!CG80),(UpProb*CH80+DownProb*CH81)*StepDiscount)))</f>
        <v>0</v>
      </c>
      <c r="CH80" s="17">
        <f>IF(CH$3="","",IF(CH$3=Steps,MAX(IF(CallPut=1,UndTree!CH80-Strike,Strike-UndTree!CH80),0),MAX((2-AmEur)*IF(CallPut=1,UndTree!CH80-Strike,Strike-UndTree!CH80),(UpProb*CI80+DownProb*CI81)*StepDiscount)))</f>
        <v>0</v>
      </c>
      <c r="CI80" s="17">
        <f>IF(CI$3="","",IF(CI$3=Steps,MAX(IF(CallPut=1,UndTree!CI80-Strike,Strike-UndTree!CI80),0),MAX((2-AmEur)*IF(CallPut=1,UndTree!CI80-Strike,Strike-UndTree!CI80),(UpProb*CJ80+DownProb*CJ81)*StepDiscount)))</f>
        <v>0</v>
      </c>
      <c r="CJ80" s="17">
        <f>IF(CJ$3="","",IF(CJ$3=Steps,MAX(IF(CallPut=1,UndTree!CJ80-Strike,Strike-UndTree!CJ80),0),MAX((2-AmEur)*IF(CallPut=1,UndTree!CJ80-Strike,Strike-UndTree!CJ80),(UpProb*CK80+DownProb*CK81)*StepDiscount)))</f>
        <v>0</v>
      </c>
      <c r="CK80" s="17">
        <f>IF(CK$3="","",IF(CK$3=Steps,MAX(IF(CallPut=1,UndTree!CK80-Strike,Strike-UndTree!CK80),0),MAX((2-AmEur)*IF(CallPut=1,UndTree!CK80-Strike,Strike-UndTree!CK80),(UpProb*CL80+DownProb*CL81)*StepDiscount)))</f>
        <v>0</v>
      </c>
      <c r="CL80" s="17">
        <f>IF(CL$3="","",IF(CL$3=Steps,MAX(IF(CallPut=1,UndTree!CL80-Strike,Strike-UndTree!CL80),0),MAX((2-AmEur)*IF(CallPut=1,UndTree!CL80-Strike,Strike-UndTree!CL80),(UpProb*CM80+DownProb*CM81)*StepDiscount)))</f>
        <v>0</v>
      </c>
      <c r="CM80" s="17">
        <f>IF(CM$3="","",IF(CM$3=Steps,MAX(IF(CallPut=1,UndTree!CM80-Strike,Strike-UndTree!CM80),0),MAX((2-AmEur)*IF(CallPut=1,UndTree!CM80-Strike,Strike-UndTree!CM80),(UpProb*CN80+DownProb*CN81)*StepDiscount)))</f>
        <v>0</v>
      </c>
      <c r="CN80" s="17">
        <f>IF(CN$3="","",IF(CN$3=Steps,MAX(IF(CallPut=1,UndTree!CN80-Strike,Strike-UndTree!CN80),0),MAX((2-AmEur)*IF(CallPut=1,UndTree!CN80-Strike,Strike-UndTree!CN80),(UpProb*CO80+DownProb*CO81)*StepDiscount)))</f>
        <v>0</v>
      </c>
      <c r="CO80" s="17">
        <f>IF(CO$3="","",IF(CO$3=Steps,MAX(IF(CallPut=1,UndTree!CO80-Strike,Strike-UndTree!CO80),0),MAX((2-AmEur)*IF(CallPut=1,UndTree!CO80-Strike,Strike-UndTree!CO80),(UpProb*CP80+DownProb*CP81)*StepDiscount)))</f>
        <v>0</v>
      </c>
      <c r="CP80" s="17">
        <f>IF(CP$3="","",IF(CP$3=Steps,MAX(IF(CallPut=1,UndTree!CP80-Strike,Strike-UndTree!CP80),0),MAX((2-AmEur)*IF(CallPut=1,UndTree!CP80-Strike,Strike-UndTree!CP80),(UpProb*CQ80+DownProb*CQ81)*StepDiscount)))</f>
        <v>0</v>
      </c>
      <c r="CQ80" s="17">
        <f>IF(CQ$3="","",IF(CQ$3=Steps,MAX(IF(CallPut=1,UndTree!CQ80-Strike,Strike-UndTree!CQ80),0),MAX((2-AmEur)*IF(CallPut=1,UndTree!CQ80-Strike,Strike-UndTree!CQ80),(UpProb*CR80+DownProb*CR81)*StepDiscount)))</f>
        <v>0</v>
      </c>
      <c r="CR80" s="17">
        <f>IF(CR$3="","",IF(CR$3=Steps,MAX(IF(CallPut=1,UndTree!CR80-Strike,Strike-UndTree!CR80),0),MAX((2-AmEur)*IF(CallPut=1,UndTree!CR80-Strike,Strike-UndTree!CR80),(UpProb*CS80+DownProb*CS81)*StepDiscount)))</f>
        <v>0</v>
      </c>
      <c r="CS80" s="17">
        <f>IF(CS$3="","",IF(CS$3=Steps,MAX(IF(CallPut=1,UndTree!CS80-Strike,Strike-UndTree!CS80),0),MAX((2-AmEur)*IF(CallPut=1,UndTree!CS80-Strike,Strike-UndTree!CS80),(UpProb*CT80+DownProb*CT81)*StepDiscount)))</f>
        <v>0</v>
      </c>
      <c r="CT80" s="17">
        <f>IF(CT$3="","",IF(CT$3=Steps,MAX(IF(CallPut=1,UndTree!CT80-Strike,Strike-UndTree!CT80),0),MAX((2-AmEur)*IF(CallPut=1,UndTree!CT80-Strike,Strike-UndTree!CT80),(UpProb*CU80+DownProb*CU81)*StepDiscount)))</f>
        <v>0</v>
      </c>
      <c r="CU80" s="17">
        <f>IF(CU$3="","",IF(CU$3=Steps,MAX(IF(CallPut=1,UndTree!CU80-Strike,Strike-UndTree!CU80),0),MAX((2-AmEur)*IF(CallPut=1,UndTree!CU80-Strike,Strike-UndTree!CU80),(UpProb*CV80+DownProb*CV81)*StepDiscount)))</f>
        <v>0</v>
      </c>
      <c r="CV80" s="17">
        <f>IF(CV$3="","",IF(CV$3=Steps,MAX(IF(CallPut=1,UndTree!CV80-Strike,Strike-UndTree!CV80),0),MAX((2-AmEur)*IF(CallPut=1,UndTree!CV80-Strike,Strike-UndTree!CV80),(UpProb*CW80+DownProb*CW81)*StepDiscount)))</f>
        <v>0</v>
      </c>
      <c r="CW80" s="17">
        <f>IF(CW$3="","",IF(CW$3=Steps,MAX(IF(CallPut=1,UndTree!CW80-Strike,Strike-UndTree!CW80),0),MAX((2-AmEur)*IF(CallPut=1,UndTree!CW80-Strike,Strike-UndTree!CW80),(UpProb*CX80+DownProb*CX81)*StepDiscount)))</f>
        <v>0</v>
      </c>
      <c r="CX80" s="17">
        <f>IF(CX$3="","",IF(CX$3=Steps,MAX(IF(CallPut=1,UndTree!CX80-Strike,Strike-UndTree!CX80),0),MAX((2-AmEur)*IF(CallPut=1,UndTree!CX80-Strike,Strike-UndTree!CX80),(UpProb*CY80+DownProb*CY81)*StepDiscount)))</f>
        <v>0</v>
      </c>
      <c r="CY80" s="17">
        <f>IF(CY$3="","",IF(CY$3=Steps,MAX(IF(CallPut=1,UndTree!CY80-Strike,Strike-UndTree!CY80),0),MAX((2-AmEur)*IF(CallPut=1,UndTree!CY80-Strike,Strike-UndTree!CY80),(UpProb*CZ80+DownProb*CZ81)*StepDiscount)))</f>
        <v>0</v>
      </c>
      <c r="CZ80" s="17">
        <f>IF(CZ$3="","",IF(CZ$3=Steps,MAX(IF(CallPut=1,UndTree!CZ80-Strike,Strike-UndTree!CZ80),0),MAX((2-AmEur)*IF(CallPut=1,UndTree!CZ80-Strike,Strike-UndTree!CZ80),(UpProb*DA80+DownProb*DA81)*StepDiscount)))</f>
        <v>0</v>
      </c>
      <c r="DA80" s="17">
        <f>IF(DA$3="","",IF(DA$3=Steps,MAX(IF(CallPut=1,UndTree!DA80-Strike,Strike-UndTree!DA80),0),MAX((2-AmEur)*IF(CallPut=1,UndTree!DA80-Strike,Strike-UndTree!DA80),(UpProb*DB80+DownProb*DB81)*StepDiscount)))</f>
        <v>0</v>
      </c>
      <c r="DB80" s="17">
        <f>IF(DB$3="","",IF(DB$3=Steps,MAX(IF(CallPut=1,UndTree!DB80-Strike,Strike-UndTree!DB80),0),MAX((2-AmEur)*IF(CallPut=1,UndTree!DB80-Strike,Strike-UndTree!DB80),(UpProb*DC80+DownProb*DC81)*StepDiscount)))</f>
        <v>0</v>
      </c>
    </row>
    <row r="81" spans="1:106" x14ac:dyDescent="0.2">
      <c r="A81">
        <f>ExDivTree!A81</f>
        <v>1.0464134587215499E+23</v>
      </c>
      <c r="B81" s="71">
        <f>ExDivTree!B81</f>
        <v>4.1273733414126584E-8</v>
      </c>
      <c r="C81" s="71">
        <f>ExDivTree!C81</f>
        <v>3.5851874500007309E-8</v>
      </c>
      <c r="D81" s="177">
        <f>ExDivTree!D81</f>
        <v>77</v>
      </c>
      <c r="CD81" s="17">
        <f>IF(CD$3="","",IF(CD$3=Steps,MAX(IF(CallPut=1,UndTree!CD81-Strike,Strike-UndTree!CD81),0),MAX((2-AmEur)*IF(CallPut=1,UndTree!CD81-Strike,Strike-UndTree!CD81),(UpProb*CE81+DownProb*CE82)*StepDiscount)))</f>
        <v>0</v>
      </c>
      <c r="CE81" s="17">
        <f>IF(CE$3="","",IF(CE$3=Steps,MAX(IF(CallPut=1,UndTree!CE81-Strike,Strike-UndTree!CE81),0),MAX((2-AmEur)*IF(CallPut=1,UndTree!CE81-Strike,Strike-UndTree!CE81),(UpProb*CF81+DownProb*CF82)*StepDiscount)))</f>
        <v>0</v>
      </c>
      <c r="CF81" s="17">
        <f>IF(CF$3="","",IF(CF$3=Steps,MAX(IF(CallPut=1,UndTree!CF81-Strike,Strike-UndTree!CF81),0),MAX((2-AmEur)*IF(CallPut=1,UndTree!CF81-Strike,Strike-UndTree!CF81),(UpProb*CG81+DownProb*CG82)*StepDiscount)))</f>
        <v>0</v>
      </c>
      <c r="CG81" s="17">
        <f>IF(CG$3="","",IF(CG$3=Steps,MAX(IF(CallPut=1,UndTree!CG81-Strike,Strike-UndTree!CG81),0),MAX((2-AmEur)*IF(CallPut=1,UndTree!CG81-Strike,Strike-UndTree!CG81),(UpProb*CH81+DownProb*CH82)*StepDiscount)))</f>
        <v>0</v>
      </c>
      <c r="CH81" s="17">
        <f>IF(CH$3="","",IF(CH$3=Steps,MAX(IF(CallPut=1,UndTree!CH81-Strike,Strike-UndTree!CH81),0),MAX((2-AmEur)*IF(CallPut=1,UndTree!CH81-Strike,Strike-UndTree!CH81),(UpProb*CI81+DownProb*CI82)*StepDiscount)))</f>
        <v>0</v>
      </c>
      <c r="CI81" s="17">
        <f>IF(CI$3="","",IF(CI$3=Steps,MAX(IF(CallPut=1,UndTree!CI81-Strike,Strike-UndTree!CI81),0),MAX((2-AmEur)*IF(CallPut=1,UndTree!CI81-Strike,Strike-UndTree!CI81),(UpProb*CJ81+DownProb*CJ82)*StepDiscount)))</f>
        <v>0</v>
      </c>
      <c r="CJ81" s="17">
        <f>IF(CJ$3="","",IF(CJ$3=Steps,MAX(IF(CallPut=1,UndTree!CJ81-Strike,Strike-UndTree!CJ81),0),MAX((2-AmEur)*IF(CallPut=1,UndTree!CJ81-Strike,Strike-UndTree!CJ81),(UpProb*CK81+DownProb*CK82)*StepDiscount)))</f>
        <v>0</v>
      </c>
      <c r="CK81" s="17">
        <f>IF(CK$3="","",IF(CK$3=Steps,MAX(IF(CallPut=1,UndTree!CK81-Strike,Strike-UndTree!CK81),0),MAX((2-AmEur)*IF(CallPut=1,UndTree!CK81-Strike,Strike-UndTree!CK81),(UpProb*CL81+DownProb*CL82)*StepDiscount)))</f>
        <v>0</v>
      </c>
      <c r="CL81" s="17">
        <f>IF(CL$3="","",IF(CL$3=Steps,MAX(IF(CallPut=1,UndTree!CL81-Strike,Strike-UndTree!CL81),0),MAX((2-AmEur)*IF(CallPut=1,UndTree!CL81-Strike,Strike-UndTree!CL81),(UpProb*CM81+DownProb*CM82)*StepDiscount)))</f>
        <v>0</v>
      </c>
      <c r="CM81" s="17">
        <f>IF(CM$3="","",IF(CM$3=Steps,MAX(IF(CallPut=1,UndTree!CM81-Strike,Strike-UndTree!CM81),0),MAX((2-AmEur)*IF(CallPut=1,UndTree!CM81-Strike,Strike-UndTree!CM81),(UpProb*CN81+DownProb*CN82)*StepDiscount)))</f>
        <v>0</v>
      </c>
      <c r="CN81" s="17">
        <f>IF(CN$3="","",IF(CN$3=Steps,MAX(IF(CallPut=1,UndTree!CN81-Strike,Strike-UndTree!CN81),0),MAX((2-AmEur)*IF(CallPut=1,UndTree!CN81-Strike,Strike-UndTree!CN81),(UpProb*CO81+DownProb*CO82)*StepDiscount)))</f>
        <v>0</v>
      </c>
      <c r="CO81" s="17">
        <f>IF(CO$3="","",IF(CO$3=Steps,MAX(IF(CallPut=1,UndTree!CO81-Strike,Strike-UndTree!CO81),0),MAX((2-AmEur)*IF(CallPut=1,UndTree!CO81-Strike,Strike-UndTree!CO81),(UpProb*CP81+DownProb*CP82)*StepDiscount)))</f>
        <v>0</v>
      </c>
      <c r="CP81" s="17">
        <f>IF(CP$3="","",IF(CP$3=Steps,MAX(IF(CallPut=1,UndTree!CP81-Strike,Strike-UndTree!CP81),0),MAX((2-AmEur)*IF(CallPut=1,UndTree!CP81-Strike,Strike-UndTree!CP81),(UpProb*CQ81+DownProb*CQ82)*StepDiscount)))</f>
        <v>0</v>
      </c>
      <c r="CQ81" s="17">
        <f>IF(CQ$3="","",IF(CQ$3=Steps,MAX(IF(CallPut=1,UndTree!CQ81-Strike,Strike-UndTree!CQ81),0),MAX((2-AmEur)*IF(CallPut=1,UndTree!CQ81-Strike,Strike-UndTree!CQ81),(UpProb*CR81+DownProb*CR82)*StepDiscount)))</f>
        <v>0</v>
      </c>
      <c r="CR81" s="17">
        <f>IF(CR$3="","",IF(CR$3=Steps,MAX(IF(CallPut=1,UndTree!CR81-Strike,Strike-UndTree!CR81),0),MAX((2-AmEur)*IF(CallPut=1,UndTree!CR81-Strike,Strike-UndTree!CR81),(UpProb*CS81+DownProb*CS82)*StepDiscount)))</f>
        <v>0</v>
      </c>
      <c r="CS81" s="17">
        <f>IF(CS$3="","",IF(CS$3=Steps,MAX(IF(CallPut=1,UndTree!CS81-Strike,Strike-UndTree!CS81),0),MAX((2-AmEur)*IF(CallPut=1,UndTree!CS81-Strike,Strike-UndTree!CS81),(UpProb*CT81+DownProb*CT82)*StepDiscount)))</f>
        <v>0</v>
      </c>
      <c r="CT81" s="17">
        <f>IF(CT$3="","",IF(CT$3=Steps,MAX(IF(CallPut=1,UndTree!CT81-Strike,Strike-UndTree!CT81),0),MAX((2-AmEur)*IF(CallPut=1,UndTree!CT81-Strike,Strike-UndTree!CT81),(UpProb*CU81+DownProb*CU82)*StepDiscount)))</f>
        <v>0</v>
      </c>
      <c r="CU81" s="17">
        <f>IF(CU$3="","",IF(CU$3=Steps,MAX(IF(CallPut=1,UndTree!CU81-Strike,Strike-UndTree!CU81),0),MAX((2-AmEur)*IF(CallPut=1,UndTree!CU81-Strike,Strike-UndTree!CU81),(UpProb*CV81+DownProb*CV82)*StepDiscount)))</f>
        <v>0</v>
      </c>
      <c r="CV81" s="17">
        <f>IF(CV$3="","",IF(CV$3=Steps,MAX(IF(CallPut=1,UndTree!CV81-Strike,Strike-UndTree!CV81),0),MAX((2-AmEur)*IF(CallPut=1,UndTree!CV81-Strike,Strike-UndTree!CV81),(UpProb*CW81+DownProb*CW82)*StepDiscount)))</f>
        <v>0</v>
      </c>
      <c r="CW81" s="17">
        <f>IF(CW$3="","",IF(CW$3=Steps,MAX(IF(CallPut=1,UndTree!CW81-Strike,Strike-UndTree!CW81),0),MAX((2-AmEur)*IF(CallPut=1,UndTree!CW81-Strike,Strike-UndTree!CW81),(UpProb*CX81+DownProb*CX82)*StepDiscount)))</f>
        <v>0</v>
      </c>
      <c r="CX81" s="17">
        <f>IF(CX$3="","",IF(CX$3=Steps,MAX(IF(CallPut=1,UndTree!CX81-Strike,Strike-UndTree!CX81),0),MAX((2-AmEur)*IF(CallPut=1,UndTree!CX81-Strike,Strike-UndTree!CX81),(UpProb*CY81+DownProb*CY82)*StepDiscount)))</f>
        <v>0</v>
      </c>
      <c r="CY81" s="17">
        <f>IF(CY$3="","",IF(CY$3=Steps,MAX(IF(CallPut=1,UndTree!CY81-Strike,Strike-UndTree!CY81),0),MAX((2-AmEur)*IF(CallPut=1,UndTree!CY81-Strike,Strike-UndTree!CY81),(UpProb*CZ81+DownProb*CZ82)*StepDiscount)))</f>
        <v>0</v>
      </c>
      <c r="CZ81" s="17">
        <f>IF(CZ$3="","",IF(CZ$3=Steps,MAX(IF(CallPut=1,UndTree!CZ81-Strike,Strike-UndTree!CZ81),0),MAX((2-AmEur)*IF(CallPut=1,UndTree!CZ81-Strike,Strike-UndTree!CZ81),(UpProb*DA81+DownProb*DA82)*StepDiscount)))</f>
        <v>0</v>
      </c>
      <c r="DA81" s="17">
        <f>IF(DA$3="","",IF(DA$3=Steps,MAX(IF(CallPut=1,UndTree!DA81-Strike,Strike-UndTree!DA81),0),MAX((2-AmEur)*IF(CallPut=1,UndTree!DA81-Strike,Strike-UndTree!DA81),(UpProb*DB81+DownProb*DB82)*StepDiscount)))</f>
        <v>0</v>
      </c>
      <c r="DB81" s="17">
        <f>IF(DB$3="","",IF(DB$3=Steps,MAX(IF(CallPut=1,UndTree!DB81-Strike,Strike-UndTree!DB81),0),MAX((2-AmEur)*IF(CallPut=1,UndTree!DB81-Strike,Strike-UndTree!DB81),(UpProb*DC81+DownProb*DC82)*StepDiscount)))</f>
        <v>0</v>
      </c>
    </row>
    <row r="82" spans="1:106" x14ac:dyDescent="0.2">
      <c r="A82">
        <f>ExDivTree!A82</f>
        <v>3.2197337191432325E+22</v>
      </c>
      <c r="B82" s="71">
        <f>ExDivTree!B82</f>
        <v>1.2699610281269727E-8</v>
      </c>
      <c r="C82" s="71">
        <f>ExDivTree!C82</f>
        <v>1.0973023892840695E-8</v>
      </c>
      <c r="D82" s="177">
        <f>ExDivTree!D82</f>
        <v>78</v>
      </c>
      <c r="CE82" s="17">
        <f>IF(CE$3="","",IF(CE$3=Steps,MAX(IF(CallPut=1,UndTree!CE82-Strike,Strike-UndTree!CE82),0),MAX((2-AmEur)*IF(CallPut=1,UndTree!CE82-Strike,Strike-UndTree!CE82),(UpProb*CF82+DownProb*CF83)*StepDiscount)))</f>
        <v>0</v>
      </c>
      <c r="CF82" s="17">
        <f>IF(CF$3="","",IF(CF$3=Steps,MAX(IF(CallPut=1,UndTree!CF82-Strike,Strike-UndTree!CF82),0),MAX((2-AmEur)*IF(CallPut=1,UndTree!CF82-Strike,Strike-UndTree!CF82),(UpProb*CG82+DownProb*CG83)*StepDiscount)))</f>
        <v>0</v>
      </c>
      <c r="CG82" s="17">
        <f>IF(CG$3="","",IF(CG$3=Steps,MAX(IF(CallPut=1,UndTree!CG82-Strike,Strike-UndTree!CG82),0),MAX((2-AmEur)*IF(CallPut=1,UndTree!CG82-Strike,Strike-UndTree!CG82),(UpProb*CH82+DownProb*CH83)*StepDiscount)))</f>
        <v>0</v>
      </c>
      <c r="CH82" s="17">
        <f>IF(CH$3="","",IF(CH$3=Steps,MAX(IF(CallPut=1,UndTree!CH82-Strike,Strike-UndTree!CH82),0),MAX((2-AmEur)*IF(CallPut=1,UndTree!CH82-Strike,Strike-UndTree!CH82),(UpProb*CI82+DownProb*CI83)*StepDiscount)))</f>
        <v>0</v>
      </c>
      <c r="CI82" s="17">
        <f>IF(CI$3="","",IF(CI$3=Steps,MAX(IF(CallPut=1,UndTree!CI82-Strike,Strike-UndTree!CI82),0),MAX((2-AmEur)*IF(CallPut=1,UndTree!CI82-Strike,Strike-UndTree!CI82),(UpProb*CJ82+DownProb*CJ83)*StepDiscount)))</f>
        <v>0</v>
      </c>
      <c r="CJ82" s="17">
        <f>IF(CJ$3="","",IF(CJ$3=Steps,MAX(IF(CallPut=1,UndTree!CJ82-Strike,Strike-UndTree!CJ82),0),MAX((2-AmEur)*IF(CallPut=1,UndTree!CJ82-Strike,Strike-UndTree!CJ82),(UpProb*CK82+DownProb*CK83)*StepDiscount)))</f>
        <v>0</v>
      </c>
      <c r="CK82" s="17">
        <f>IF(CK$3="","",IF(CK$3=Steps,MAX(IF(CallPut=1,UndTree!CK82-Strike,Strike-UndTree!CK82),0),MAX((2-AmEur)*IF(CallPut=1,UndTree!CK82-Strike,Strike-UndTree!CK82),(UpProb*CL82+DownProb*CL83)*StepDiscount)))</f>
        <v>0</v>
      </c>
      <c r="CL82" s="17">
        <f>IF(CL$3="","",IF(CL$3=Steps,MAX(IF(CallPut=1,UndTree!CL82-Strike,Strike-UndTree!CL82),0),MAX((2-AmEur)*IF(CallPut=1,UndTree!CL82-Strike,Strike-UndTree!CL82),(UpProb*CM82+DownProb*CM83)*StepDiscount)))</f>
        <v>0</v>
      </c>
      <c r="CM82" s="17">
        <f>IF(CM$3="","",IF(CM$3=Steps,MAX(IF(CallPut=1,UndTree!CM82-Strike,Strike-UndTree!CM82),0),MAX((2-AmEur)*IF(CallPut=1,UndTree!CM82-Strike,Strike-UndTree!CM82),(UpProb*CN82+DownProb*CN83)*StepDiscount)))</f>
        <v>0</v>
      </c>
      <c r="CN82" s="17">
        <f>IF(CN$3="","",IF(CN$3=Steps,MAX(IF(CallPut=1,UndTree!CN82-Strike,Strike-UndTree!CN82),0),MAX((2-AmEur)*IF(CallPut=1,UndTree!CN82-Strike,Strike-UndTree!CN82),(UpProb*CO82+DownProb*CO83)*StepDiscount)))</f>
        <v>0</v>
      </c>
      <c r="CO82" s="17">
        <f>IF(CO$3="","",IF(CO$3=Steps,MAX(IF(CallPut=1,UndTree!CO82-Strike,Strike-UndTree!CO82),0),MAX((2-AmEur)*IF(CallPut=1,UndTree!CO82-Strike,Strike-UndTree!CO82),(UpProb*CP82+DownProb*CP83)*StepDiscount)))</f>
        <v>0</v>
      </c>
      <c r="CP82" s="17">
        <f>IF(CP$3="","",IF(CP$3=Steps,MAX(IF(CallPut=1,UndTree!CP82-Strike,Strike-UndTree!CP82),0),MAX((2-AmEur)*IF(CallPut=1,UndTree!CP82-Strike,Strike-UndTree!CP82),(UpProb*CQ82+DownProb*CQ83)*StepDiscount)))</f>
        <v>0</v>
      </c>
      <c r="CQ82" s="17">
        <f>IF(CQ$3="","",IF(CQ$3=Steps,MAX(IF(CallPut=1,UndTree!CQ82-Strike,Strike-UndTree!CQ82),0),MAX((2-AmEur)*IF(CallPut=1,UndTree!CQ82-Strike,Strike-UndTree!CQ82),(UpProb*CR82+DownProb*CR83)*StepDiscount)))</f>
        <v>0</v>
      </c>
      <c r="CR82" s="17">
        <f>IF(CR$3="","",IF(CR$3=Steps,MAX(IF(CallPut=1,UndTree!CR82-Strike,Strike-UndTree!CR82),0),MAX((2-AmEur)*IF(CallPut=1,UndTree!CR82-Strike,Strike-UndTree!CR82),(UpProb*CS82+DownProb*CS83)*StepDiscount)))</f>
        <v>0</v>
      </c>
      <c r="CS82" s="17">
        <f>IF(CS$3="","",IF(CS$3=Steps,MAX(IF(CallPut=1,UndTree!CS82-Strike,Strike-UndTree!CS82),0),MAX((2-AmEur)*IF(CallPut=1,UndTree!CS82-Strike,Strike-UndTree!CS82),(UpProb*CT82+DownProb*CT83)*StepDiscount)))</f>
        <v>0</v>
      </c>
      <c r="CT82" s="17">
        <f>IF(CT$3="","",IF(CT$3=Steps,MAX(IF(CallPut=1,UndTree!CT82-Strike,Strike-UndTree!CT82),0),MAX((2-AmEur)*IF(CallPut=1,UndTree!CT82-Strike,Strike-UndTree!CT82),(UpProb*CU82+DownProb*CU83)*StepDiscount)))</f>
        <v>0</v>
      </c>
      <c r="CU82" s="17">
        <f>IF(CU$3="","",IF(CU$3=Steps,MAX(IF(CallPut=1,UndTree!CU82-Strike,Strike-UndTree!CU82),0),MAX((2-AmEur)*IF(CallPut=1,UndTree!CU82-Strike,Strike-UndTree!CU82),(UpProb*CV82+DownProb*CV83)*StepDiscount)))</f>
        <v>0</v>
      </c>
      <c r="CV82" s="17">
        <f>IF(CV$3="","",IF(CV$3=Steps,MAX(IF(CallPut=1,UndTree!CV82-Strike,Strike-UndTree!CV82),0),MAX((2-AmEur)*IF(CallPut=1,UndTree!CV82-Strike,Strike-UndTree!CV82),(UpProb*CW82+DownProb*CW83)*StepDiscount)))</f>
        <v>0</v>
      </c>
      <c r="CW82" s="17">
        <f>IF(CW$3="","",IF(CW$3=Steps,MAX(IF(CallPut=1,UndTree!CW82-Strike,Strike-UndTree!CW82),0),MAX((2-AmEur)*IF(CallPut=1,UndTree!CW82-Strike,Strike-UndTree!CW82),(UpProb*CX82+DownProb*CX83)*StepDiscount)))</f>
        <v>0</v>
      </c>
      <c r="CX82" s="17">
        <f>IF(CX$3="","",IF(CX$3=Steps,MAX(IF(CallPut=1,UndTree!CX82-Strike,Strike-UndTree!CX82),0),MAX((2-AmEur)*IF(CallPut=1,UndTree!CX82-Strike,Strike-UndTree!CX82),(UpProb*CY82+DownProb*CY83)*StepDiscount)))</f>
        <v>0</v>
      </c>
      <c r="CY82" s="17">
        <f>IF(CY$3="","",IF(CY$3=Steps,MAX(IF(CallPut=1,UndTree!CY82-Strike,Strike-UndTree!CY82),0),MAX((2-AmEur)*IF(CallPut=1,UndTree!CY82-Strike,Strike-UndTree!CY82),(UpProb*CZ82+DownProb*CZ83)*StepDiscount)))</f>
        <v>0</v>
      </c>
      <c r="CZ82" s="17">
        <f>IF(CZ$3="","",IF(CZ$3=Steps,MAX(IF(CallPut=1,UndTree!CZ82-Strike,Strike-UndTree!CZ82),0),MAX((2-AmEur)*IF(CallPut=1,UndTree!CZ82-Strike,Strike-UndTree!CZ82),(UpProb*DA82+DownProb*DA83)*StepDiscount)))</f>
        <v>0</v>
      </c>
      <c r="DA82" s="17">
        <f>IF(DA$3="","",IF(DA$3=Steps,MAX(IF(CallPut=1,UndTree!DA82-Strike,Strike-UndTree!DA82),0),MAX((2-AmEur)*IF(CallPut=1,UndTree!DA82-Strike,Strike-UndTree!DA82),(UpProb*DB82+DownProb*DB83)*StepDiscount)))</f>
        <v>0</v>
      </c>
      <c r="DB82" s="17">
        <f>IF(DB$3="","",IF(DB$3=Steps,MAX(IF(CallPut=1,UndTree!DB82-Strike,Strike-UndTree!DB82),0),MAX((2-AmEur)*IF(CallPut=1,UndTree!DB82-Strike,Strike-UndTree!DB82),(UpProb*DC82+DownProb*DC83)*StepDiscount)))</f>
        <v>0</v>
      </c>
    </row>
    <row r="83" spans="1:106" x14ac:dyDescent="0.2">
      <c r="A83">
        <f>ExDivTree!A83</f>
        <v>9.3739082962397928E+21</v>
      </c>
      <c r="B83" s="71">
        <f>ExDivTree!B83</f>
        <v>3.6973548920152377E-9</v>
      </c>
      <c r="C83" s="71">
        <f>ExDivTree!C83</f>
        <v>3.1777877597707072E-9</v>
      </c>
      <c r="D83" s="177">
        <f>ExDivTree!D83</f>
        <v>79</v>
      </c>
      <c r="CF83" s="17">
        <f>IF(CF$3="","",IF(CF$3=Steps,MAX(IF(CallPut=1,UndTree!CF83-Strike,Strike-UndTree!CF83),0),MAX((2-AmEur)*IF(CallPut=1,UndTree!CF83-Strike,Strike-UndTree!CF83),(UpProb*CG83+DownProb*CG84)*StepDiscount)))</f>
        <v>0</v>
      </c>
      <c r="CG83" s="17">
        <f>IF(CG$3="","",IF(CG$3=Steps,MAX(IF(CallPut=1,UndTree!CG83-Strike,Strike-UndTree!CG83),0),MAX((2-AmEur)*IF(CallPut=1,UndTree!CG83-Strike,Strike-UndTree!CG83),(UpProb*CH83+DownProb*CH84)*StepDiscount)))</f>
        <v>0</v>
      </c>
      <c r="CH83" s="17">
        <f>IF(CH$3="","",IF(CH$3=Steps,MAX(IF(CallPut=1,UndTree!CH83-Strike,Strike-UndTree!CH83),0),MAX((2-AmEur)*IF(CallPut=1,UndTree!CH83-Strike,Strike-UndTree!CH83),(UpProb*CI83+DownProb*CI84)*StepDiscount)))</f>
        <v>0</v>
      </c>
      <c r="CI83" s="17">
        <f>IF(CI$3="","",IF(CI$3=Steps,MAX(IF(CallPut=1,UndTree!CI83-Strike,Strike-UndTree!CI83),0),MAX((2-AmEur)*IF(CallPut=1,UndTree!CI83-Strike,Strike-UndTree!CI83),(UpProb*CJ83+DownProb*CJ84)*StepDiscount)))</f>
        <v>0</v>
      </c>
      <c r="CJ83" s="17">
        <f>IF(CJ$3="","",IF(CJ$3=Steps,MAX(IF(CallPut=1,UndTree!CJ83-Strike,Strike-UndTree!CJ83),0),MAX((2-AmEur)*IF(CallPut=1,UndTree!CJ83-Strike,Strike-UndTree!CJ83),(UpProb*CK83+DownProb*CK84)*StepDiscount)))</f>
        <v>0</v>
      </c>
      <c r="CK83" s="17">
        <f>IF(CK$3="","",IF(CK$3=Steps,MAX(IF(CallPut=1,UndTree!CK83-Strike,Strike-UndTree!CK83),0),MAX((2-AmEur)*IF(CallPut=1,UndTree!CK83-Strike,Strike-UndTree!CK83),(UpProb*CL83+DownProb*CL84)*StepDiscount)))</f>
        <v>0</v>
      </c>
      <c r="CL83" s="17">
        <f>IF(CL$3="","",IF(CL$3=Steps,MAX(IF(CallPut=1,UndTree!CL83-Strike,Strike-UndTree!CL83),0),MAX((2-AmEur)*IF(CallPut=1,UndTree!CL83-Strike,Strike-UndTree!CL83),(UpProb*CM83+DownProb*CM84)*StepDiscount)))</f>
        <v>0</v>
      </c>
      <c r="CM83" s="17">
        <f>IF(CM$3="","",IF(CM$3=Steps,MAX(IF(CallPut=1,UndTree!CM83-Strike,Strike-UndTree!CM83),0),MAX((2-AmEur)*IF(CallPut=1,UndTree!CM83-Strike,Strike-UndTree!CM83),(UpProb*CN83+DownProb*CN84)*StepDiscount)))</f>
        <v>0</v>
      </c>
      <c r="CN83" s="17">
        <f>IF(CN$3="","",IF(CN$3=Steps,MAX(IF(CallPut=1,UndTree!CN83-Strike,Strike-UndTree!CN83),0),MAX((2-AmEur)*IF(CallPut=1,UndTree!CN83-Strike,Strike-UndTree!CN83),(UpProb*CO83+DownProb*CO84)*StepDiscount)))</f>
        <v>0</v>
      </c>
      <c r="CO83" s="17">
        <f>IF(CO$3="","",IF(CO$3=Steps,MAX(IF(CallPut=1,UndTree!CO83-Strike,Strike-UndTree!CO83),0),MAX((2-AmEur)*IF(CallPut=1,UndTree!CO83-Strike,Strike-UndTree!CO83),(UpProb*CP83+DownProb*CP84)*StepDiscount)))</f>
        <v>0</v>
      </c>
      <c r="CP83" s="17">
        <f>IF(CP$3="","",IF(CP$3=Steps,MAX(IF(CallPut=1,UndTree!CP83-Strike,Strike-UndTree!CP83),0),MAX((2-AmEur)*IF(CallPut=1,UndTree!CP83-Strike,Strike-UndTree!CP83),(UpProb*CQ83+DownProb*CQ84)*StepDiscount)))</f>
        <v>0</v>
      </c>
      <c r="CQ83" s="17">
        <f>IF(CQ$3="","",IF(CQ$3=Steps,MAX(IF(CallPut=1,UndTree!CQ83-Strike,Strike-UndTree!CQ83),0),MAX((2-AmEur)*IF(CallPut=1,UndTree!CQ83-Strike,Strike-UndTree!CQ83),(UpProb*CR83+DownProb*CR84)*StepDiscount)))</f>
        <v>0</v>
      </c>
      <c r="CR83" s="17">
        <f>IF(CR$3="","",IF(CR$3=Steps,MAX(IF(CallPut=1,UndTree!CR83-Strike,Strike-UndTree!CR83),0),MAX((2-AmEur)*IF(CallPut=1,UndTree!CR83-Strike,Strike-UndTree!CR83),(UpProb*CS83+DownProb*CS84)*StepDiscount)))</f>
        <v>0</v>
      </c>
      <c r="CS83" s="17">
        <f>IF(CS$3="","",IF(CS$3=Steps,MAX(IF(CallPut=1,UndTree!CS83-Strike,Strike-UndTree!CS83),0),MAX((2-AmEur)*IF(CallPut=1,UndTree!CS83-Strike,Strike-UndTree!CS83),(UpProb*CT83+DownProb*CT84)*StepDiscount)))</f>
        <v>0</v>
      </c>
      <c r="CT83" s="17">
        <f>IF(CT$3="","",IF(CT$3=Steps,MAX(IF(CallPut=1,UndTree!CT83-Strike,Strike-UndTree!CT83),0),MAX((2-AmEur)*IF(CallPut=1,UndTree!CT83-Strike,Strike-UndTree!CT83),(UpProb*CU83+DownProb*CU84)*StepDiscount)))</f>
        <v>0</v>
      </c>
      <c r="CU83" s="17">
        <f>IF(CU$3="","",IF(CU$3=Steps,MAX(IF(CallPut=1,UndTree!CU83-Strike,Strike-UndTree!CU83),0),MAX((2-AmEur)*IF(CallPut=1,UndTree!CU83-Strike,Strike-UndTree!CU83),(UpProb*CV83+DownProb*CV84)*StepDiscount)))</f>
        <v>0</v>
      </c>
      <c r="CV83" s="17">
        <f>IF(CV$3="","",IF(CV$3=Steps,MAX(IF(CallPut=1,UndTree!CV83-Strike,Strike-UndTree!CV83),0),MAX((2-AmEur)*IF(CallPut=1,UndTree!CV83-Strike,Strike-UndTree!CV83),(UpProb*CW83+DownProb*CW84)*StepDiscount)))</f>
        <v>0</v>
      </c>
      <c r="CW83" s="17">
        <f>IF(CW$3="","",IF(CW$3=Steps,MAX(IF(CallPut=1,UndTree!CW83-Strike,Strike-UndTree!CW83),0),MAX((2-AmEur)*IF(CallPut=1,UndTree!CW83-Strike,Strike-UndTree!CW83),(UpProb*CX83+DownProb*CX84)*StepDiscount)))</f>
        <v>0</v>
      </c>
      <c r="CX83" s="17">
        <f>IF(CX$3="","",IF(CX$3=Steps,MAX(IF(CallPut=1,UndTree!CX83-Strike,Strike-UndTree!CX83),0),MAX((2-AmEur)*IF(CallPut=1,UndTree!CX83-Strike,Strike-UndTree!CX83),(UpProb*CY83+DownProb*CY84)*StepDiscount)))</f>
        <v>0</v>
      </c>
      <c r="CY83" s="17">
        <f>IF(CY$3="","",IF(CY$3=Steps,MAX(IF(CallPut=1,UndTree!CY83-Strike,Strike-UndTree!CY83),0),MAX((2-AmEur)*IF(CallPut=1,UndTree!CY83-Strike,Strike-UndTree!CY83),(UpProb*CZ83+DownProb*CZ84)*StepDiscount)))</f>
        <v>0</v>
      </c>
      <c r="CZ83" s="17">
        <f>IF(CZ$3="","",IF(CZ$3=Steps,MAX(IF(CallPut=1,UndTree!CZ83-Strike,Strike-UndTree!CZ83),0),MAX((2-AmEur)*IF(CallPut=1,UndTree!CZ83-Strike,Strike-UndTree!CZ83),(UpProb*DA83+DownProb*DA84)*StepDiscount)))</f>
        <v>0</v>
      </c>
      <c r="DA83" s="17">
        <f>IF(DA$3="","",IF(DA$3=Steps,MAX(IF(CallPut=1,UndTree!DA83-Strike,Strike-UndTree!DA83),0),MAX((2-AmEur)*IF(CallPut=1,UndTree!DA83-Strike,Strike-UndTree!DA83),(UpProb*DB83+DownProb*DB84)*StepDiscount)))</f>
        <v>0</v>
      </c>
      <c r="DB83" s="17">
        <f>IF(DB$3="","",IF(DB$3=Steps,MAX(IF(CallPut=1,UndTree!DB83-Strike,Strike-UndTree!DB83),0),MAX((2-AmEur)*IF(CallPut=1,UndTree!DB83-Strike,Strike-UndTree!DB83),(UpProb*DC83+DownProb*DC84)*StepDiscount)))</f>
        <v>0</v>
      </c>
    </row>
    <row r="84" spans="1:106" x14ac:dyDescent="0.2">
      <c r="A84">
        <f>ExDivTree!A84</f>
        <v>2.5778247814659425E+21</v>
      </c>
      <c r="B84" s="71">
        <f>ExDivTree!B84</f>
        <v>1.0167725953041902E-9</v>
      </c>
      <c r="C84" s="71">
        <f>ExDivTree!C84</f>
        <v>8.6927141791597537E-10</v>
      </c>
      <c r="D84" s="177">
        <f>ExDivTree!D84</f>
        <v>80</v>
      </c>
      <c r="CG84" s="17">
        <f>IF(CG$3="","",IF(CG$3=Steps,MAX(IF(CallPut=1,UndTree!CG84-Strike,Strike-UndTree!CG84),0),MAX((2-AmEur)*IF(CallPut=1,UndTree!CG84-Strike,Strike-UndTree!CG84),(UpProb*CH84+DownProb*CH85)*StepDiscount)))</f>
        <v>0</v>
      </c>
      <c r="CH84" s="17">
        <f>IF(CH$3="","",IF(CH$3=Steps,MAX(IF(CallPut=1,UndTree!CH84-Strike,Strike-UndTree!CH84),0),MAX((2-AmEur)*IF(CallPut=1,UndTree!CH84-Strike,Strike-UndTree!CH84),(UpProb*CI84+DownProb*CI85)*StepDiscount)))</f>
        <v>0</v>
      </c>
      <c r="CI84" s="17">
        <f>IF(CI$3="","",IF(CI$3=Steps,MAX(IF(CallPut=1,UndTree!CI84-Strike,Strike-UndTree!CI84),0),MAX((2-AmEur)*IF(CallPut=1,UndTree!CI84-Strike,Strike-UndTree!CI84),(UpProb*CJ84+DownProb*CJ85)*StepDiscount)))</f>
        <v>0</v>
      </c>
      <c r="CJ84" s="17">
        <f>IF(CJ$3="","",IF(CJ$3=Steps,MAX(IF(CallPut=1,UndTree!CJ84-Strike,Strike-UndTree!CJ84),0),MAX((2-AmEur)*IF(CallPut=1,UndTree!CJ84-Strike,Strike-UndTree!CJ84),(UpProb*CK84+DownProb*CK85)*StepDiscount)))</f>
        <v>0</v>
      </c>
      <c r="CK84" s="17">
        <f>IF(CK$3="","",IF(CK$3=Steps,MAX(IF(CallPut=1,UndTree!CK84-Strike,Strike-UndTree!CK84),0),MAX((2-AmEur)*IF(CallPut=1,UndTree!CK84-Strike,Strike-UndTree!CK84),(UpProb*CL84+DownProb*CL85)*StepDiscount)))</f>
        <v>0</v>
      </c>
      <c r="CL84" s="17">
        <f>IF(CL$3="","",IF(CL$3=Steps,MAX(IF(CallPut=1,UndTree!CL84-Strike,Strike-UndTree!CL84),0),MAX((2-AmEur)*IF(CallPut=1,UndTree!CL84-Strike,Strike-UndTree!CL84),(UpProb*CM84+DownProb*CM85)*StepDiscount)))</f>
        <v>0</v>
      </c>
      <c r="CM84" s="17">
        <f>IF(CM$3="","",IF(CM$3=Steps,MAX(IF(CallPut=1,UndTree!CM84-Strike,Strike-UndTree!CM84),0),MAX((2-AmEur)*IF(CallPut=1,UndTree!CM84-Strike,Strike-UndTree!CM84),(UpProb*CN84+DownProb*CN85)*StepDiscount)))</f>
        <v>0</v>
      </c>
      <c r="CN84" s="17">
        <f>IF(CN$3="","",IF(CN$3=Steps,MAX(IF(CallPut=1,UndTree!CN84-Strike,Strike-UndTree!CN84),0),MAX((2-AmEur)*IF(CallPut=1,UndTree!CN84-Strike,Strike-UndTree!CN84),(UpProb*CO84+DownProb*CO85)*StepDiscount)))</f>
        <v>0</v>
      </c>
      <c r="CO84" s="17">
        <f>IF(CO$3="","",IF(CO$3=Steps,MAX(IF(CallPut=1,UndTree!CO84-Strike,Strike-UndTree!CO84),0),MAX((2-AmEur)*IF(CallPut=1,UndTree!CO84-Strike,Strike-UndTree!CO84),(UpProb*CP84+DownProb*CP85)*StepDiscount)))</f>
        <v>0</v>
      </c>
      <c r="CP84" s="17">
        <f>IF(CP$3="","",IF(CP$3=Steps,MAX(IF(CallPut=1,UndTree!CP84-Strike,Strike-UndTree!CP84),0),MAX((2-AmEur)*IF(CallPut=1,UndTree!CP84-Strike,Strike-UndTree!CP84),(UpProb*CQ84+DownProb*CQ85)*StepDiscount)))</f>
        <v>0</v>
      </c>
      <c r="CQ84" s="17">
        <f>IF(CQ$3="","",IF(CQ$3=Steps,MAX(IF(CallPut=1,UndTree!CQ84-Strike,Strike-UndTree!CQ84),0),MAX((2-AmEur)*IF(CallPut=1,UndTree!CQ84-Strike,Strike-UndTree!CQ84),(UpProb*CR84+DownProb*CR85)*StepDiscount)))</f>
        <v>0</v>
      </c>
      <c r="CR84" s="17">
        <f>IF(CR$3="","",IF(CR$3=Steps,MAX(IF(CallPut=1,UndTree!CR84-Strike,Strike-UndTree!CR84),0),MAX((2-AmEur)*IF(CallPut=1,UndTree!CR84-Strike,Strike-UndTree!CR84),(UpProb*CS84+DownProb*CS85)*StepDiscount)))</f>
        <v>0</v>
      </c>
      <c r="CS84" s="17">
        <f>IF(CS$3="","",IF(CS$3=Steps,MAX(IF(CallPut=1,UndTree!CS84-Strike,Strike-UndTree!CS84),0),MAX((2-AmEur)*IF(CallPut=1,UndTree!CS84-Strike,Strike-UndTree!CS84),(UpProb*CT84+DownProb*CT85)*StepDiscount)))</f>
        <v>0</v>
      </c>
      <c r="CT84" s="17">
        <f>IF(CT$3="","",IF(CT$3=Steps,MAX(IF(CallPut=1,UndTree!CT84-Strike,Strike-UndTree!CT84),0),MAX((2-AmEur)*IF(CallPut=1,UndTree!CT84-Strike,Strike-UndTree!CT84),(UpProb*CU84+DownProb*CU85)*StepDiscount)))</f>
        <v>0</v>
      </c>
      <c r="CU84" s="17">
        <f>IF(CU$3="","",IF(CU$3=Steps,MAX(IF(CallPut=1,UndTree!CU84-Strike,Strike-UndTree!CU84),0),MAX((2-AmEur)*IF(CallPut=1,UndTree!CU84-Strike,Strike-UndTree!CU84),(UpProb*CV84+DownProb*CV85)*StepDiscount)))</f>
        <v>0</v>
      </c>
      <c r="CV84" s="17">
        <f>IF(CV$3="","",IF(CV$3=Steps,MAX(IF(CallPut=1,UndTree!CV84-Strike,Strike-UndTree!CV84),0),MAX((2-AmEur)*IF(CallPut=1,UndTree!CV84-Strike,Strike-UndTree!CV84),(UpProb*CW84+DownProb*CW85)*StepDiscount)))</f>
        <v>0</v>
      </c>
      <c r="CW84" s="17">
        <f>IF(CW$3="","",IF(CW$3=Steps,MAX(IF(CallPut=1,UndTree!CW84-Strike,Strike-UndTree!CW84),0),MAX((2-AmEur)*IF(CallPut=1,UndTree!CW84-Strike,Strike-UndTree!CW84),(UpProb*CX84+DownProb*CX85)*StepDiscount)))</f>
        <v>0</v>
      </c>
      <c r="CX84" s="17">
        <f>IF(CX$3="","",IF(CX$3=Steps,MAX(IF(CallPut=1,UndTree!CX84-Strike,Strike-UndTree!CX84),0),MAX((2-AmEur)*IF(CallPut=1,UndTree!CX84-Strike,Strike-UndTree!CX84),(UpProb*CY84+DownProb*CY85)*StepDiscount)))</f>
        <v>0</v>
      </c>
      <c r="CY84" s="17">
        <f>IF(CY$3="","",IF(CY$3=Steps,MAX(IF(CallPut=1,UndTree!CY84-Strike,Strike-UndTree!CY84),0),MAX((2-AmEur)*IF(CallPut=1,UndTree!CY84-Strike,Strike-UndTree!CY84),(UpProb*CZ84+DownProb*CZ85)*StepDiscount)))</f>
        <v>0</v>
      </c>
      <c r="CZ84" s="17">
        <f>IF(CZ$3="","",IF(CZ$3=Steps,MAX(IF(CallPut=1,UndTree!CZ84-Strike,Strike-UndTree!CZ84),0),MAX((2-AmEur)*IF(CallPut=1,UndTree!CZ84-Strike,Strike-UndTree!CZ84),(UpProb*DA84+DownProb*DA85)*StepDiscount)))</f>
        <v>0</v>
      </c>
      <c r="DA84" s="17">
        <f>IF(DA$3="","",IF(DA$3=Steps,MAX(IF(CallPut=1,UndTree!DA84-Strike,Strike-UndTree!DA84),0),MAX((2-AmEur)*IF(CallPut=1,UndTree!DA84-Strike,Strike-UndTree!DA84),(UpProb*DB84+DownProb*DB85)*StepDiscount)))</f>
        <v>0</v>
      </c>
      <c r="DB84" s="17">
        <f>IF(DB$3="","",IF(DB$3=Steps,MAX(IF(CallPut=1,UndTree!DB84-Strike,Strike-UndTree!DB84),0),MAX((2-AmEur)*IF(CallPut=1,UndTree!DB84-Strike,Strike-UndTree!DB84),(UpProb*DC84+DownProb*DC85)*StepDiscount)))</f>
        <v>0</v>
      </c>
    </row>
    <row r="85" spans="1:106" x14ac:dyDescent="0.2">
      <c r="A85">
        <f>ExDivTree!A85</f>
        <v>6.6832494334302211E+20</v>
      </c>
      <c r="B85" s="71">
        <f>ExDivTree!B85</f>
        <v>2.6360770989367893E-10</v>
      </c>
      <c r="C85" s="71">
        <f>ExDivTree!C85</f>
        <v>2.2417516300091042E-10</v>
      </c>
      <c r="D85" s="177">
        <f>ExDivTree!D85</f>
        <v>81</v>
      </c>
      <c r="CH85" s="17">
        <f>IF(CH$3="","",IF(CH$3=Steps,MAX(IF(CallPut=1,UndTree!CH85-Strike,Strike-UndTree!CH85),0),MAX((2-AmEur)*IF(CallPut=1,UndTree!CH85-Strike,Strike-UndTree!CH85),(UpProb*CI85+DownProb*CI86)*StepDiscount)))</f>
        <v>0</v>
      </c>
      <c r="CI85" s="17">
        <f>IF(CI$3="","",IF(CI$3=Steps,MAX(IF(CallPut=1,UndTree!CI85-Strike,Strike-UndTree!CI85),0),MAX((2-AmEur)*IF(CallPut=1,UndTree!CI85-Strike,Strike-UndTree!CI85),(UpProb*CJ85+DownProb*CJ86)*StepDiscount)))</f>
        <v>0</v>
      </c>
      <c r="CJ85" s="17">
        <f>IF(CJ$3="","",IF(CJ$3=Steps,MAX(IF(CallPut=1,UndTree!CJ85-Strike,Strike-UndTree!CJ85),0),MAX((2-AmEur)*IF(CallPut=1,UndTree!CJ85-Strike,Strike-UndTree!CJ85),(UpProb*CK85+DownProb*CK86)*StepDiscount)))</f>
        <v>0</v>
      </c>
      <c r="CK85" s="17">
        <f>IF(CK$3="","",IF(CK$3=Steps,MAX(IF(CallPut=1,UndTree!CK85-Strike,Strike-UndTree!CK85),0),MAX((2-AmEur)*IF(CallPut=1,UndTree!CK85-Strike,Strike-UndTree!CK85),(UpProb*CL85+DownProb*CL86)*StepDiscount)))</f>
        <v>0</v>
      </c>
      <c r="CL85" s="17">
        <f>IF(CL$3="","",IF(CL$3=Steps,MAX(IF(CallPut=1,UndTree!CL85-Strike,Strike-UndTree!CL85),0),MAX((2-AmEur)*IF(CallPut=1,UndTree!CL85-Strike,Strike-UndTree!CL85),(UpProb*CM85+DownProb*CM86)*StepDiscount)))</f>
        <v>0</v>
      </c>
      <c r="CM85" s="17">
        <f>IF(CM$3="","",IF(CM$3=Steps,MAX(IF(CallPut=1,UndTree!CM85-Strike,Strike-UndTree!CM85),0),MAX((2-AmEur)*IF(CallPut=1,UndTree!CM85-Strike,Strike-UndTree!CM85),(UpProb*CN85+DownProb*CN86)*StepDiscount)))</f>
        <v>0</v>
      </c>
      <c r="CN85" s="17">
        <f>IF(CN$3="","",IF(CN$3=Steps,MAX(IF(CallPut=1,UndTree!CN85-Strike,Strike-UndTree!CN85),0),MAX((2-AmEur)*IF(CallPut=1,UndTree!CN85-Strike,Strike-UndTree!CN85),(UpProb*CO85+DownProb*CO86)*StepDiscount)))</f>
        <v>0</v>
      </c>
      <c r="CO85" s="17">
        <f>IF(CO$3="","",IF(CO$3=Steps,MAX(IF(CallPut=1,UndTree!CO85-Strike,Strike-UndTree!CO85),0),MAX((2-AmEur)*IF(CallPut=1,UndTree!CO85-Strike,Strike-UndTree!CO85),(UpProb*CP85+DownProb*CP86)*StepDiscount)))</f>
        <v>0</v>
      </c>
      <c r="CP85" s="17">
        <f>IF(CP$3="","",IF(CP$3=Steps,MAX(IF(CallPut=1,UndTree!CP85-Strike,Strike-UndTree!CP85),0),MAX((2-AmEur)*IF(CallPut=1,UndTree!CP85-Strike,Strike-UndTree!CP85),(UpProb*CQ85+DownProb*CQ86)*StepDiscount)))</f>
        <v>0</v>
      </c>
      <c r="CQ85" s="17">
        <f>IF(CQ$3="","",IF(CQ$3=Steps,MAX(IF(CallPut=1,UndTree!CQ85-Strike,Strike-UndTree!CQ85),0),MAX((2-AmEur)*IF(CallPut=1,UndTree!CQ85-Strike,Strike-UndTree!CQ85),(UpProb*CR85+DownProb*CR86)*StepDiscount)))</f>
        <v>0</v>
      </c>
      <c r="CR85" s="17">
        <f>IF(CR$3="","",IF(CR$3=Steps,MAX(IF(CallPut=1,UndTree!CR85-Strike,Strike-UndTree!CR85),0),MAX((2-AmEur)*IF(CallPut=1,UndTree!CR85-Strike,Strike-UndTree!CR85),(UpProb*CS85+DownProb*CS86)*StepDiscount)))</f>
        <v>0</v>
      </c>
      <c r="CS85" s="17">
        <f>IF(CS$3="","",IF(CS$3=Steps,MAX(IF(CallPut=1,UndTree!CS85-Strike,Strike-UndTree!CS85),0),MAX((2-AmEur)*IF(CallPut=1,UndTree!CS85-Strike,Strike-UndTree!CS85),(UpProb*CT85+DownProb*CT86)*StepDiscount)))</f>
        <v>0</v>
      </c>
      <c r="CT85" s="17">
        <f>IF(CT$3="","",IF(CT$3=Steps,MAX(IF(CallPut=1,UndTree!CT85-Strike,Strike-UndTree!CT85),0),MAX((2-AmEur)*IF(CallPut=1,UndTree!CT85-Strike,Strike-UndTree!CT85),(UpProb*CU85+DownProb*CU86)*StepDiscount)))</f>
        <v>0</v>
      </c>
      <c r="CU85" s="17">
        <f>IF(CU$3="","",IF(CU$3=Steps,MAX(IF(CallPut=1,UndTree!CU85-Strike,Strike-UndTree!CU85),0),MAX((2-AmEur)*IF(CallPut=1,UndTree!CU85-Strike,Strike-UndTree!CU85),(UpProb*CV85+DownProb*CV86)*StepDiscount)))</f>
        <v>0</v>
      </c>
      <c r="CV85" s="17">
        <f>IF(CV$3="","",IF(CV$3=Steps,MAX(IF(CallPut=1,UndTree!CV85-Strike,Strike-UndTree!CV85),0),MAX((2-AmEur)*IF(CallPut=1,UndTree!CV85-Strike,Strike-UndTree!CV85),(UpProb*CW85+DownProb*CW86)*StepDiscount)))</f>
        <v>0</v>
      </c>
      <c r="CW85" s="17">
        <f>IF(CW$3="","",IF(CW$3=Steps,MAX(IF(CallPut=1,UndTree!CW85-Strike,Strike-UndTree!CW85),0),MAX((2-AmEur)*IF(CallPut=1,UndTree!CW85-Strike,Strike-UndTree!CW85),(UpProb*CX85+DownProb*CX86)*StepDiscount)))</f>
        <v>0</v>
      </c>
      <c r="CX85" s="17">
        <f>IF(CX$3="","",IF(CX$3=Steps,MAX(IF(CallPut=1,UndTree!CX85-Strike,Strike-UndTree!CX85),0),MAX((2-AmEur)*IF(CallPut=1,UndTree!CX85-Strike,Strike-UndTree!CX85),(UpProb*CY85+DownProb*CY86)*StepDiscount)))</f>
        <v>0</v>
      </c>
      <c r="CY85" s="17">
        <f>IF(CY$3="","",IF(CY$3=Steps,MAX(IF(CallPut=1,UndTree!CY85-Strike,Strike-UndTree!CY85),0),MAX((2-AmEur)*IF(CallPut=1,UndTree!CY85-Strike,Strike-UndTree!CY85),(UpProb*CZ85+DownProb*CZ86)*StepDiscount)))</f>
        <v>0</v>
      </c>
      <c r="CZ85" s="17">
        <f>IF(CZ$3="","",IF(CZ$3=Steps,MAX(IF(CallPut=1,UndTree!CZ85-Strike,Strike-UndTree!CZ85),0),MAX((2-AmEur)*IF(CallPut=1,UndTree!CZ85-Strike,Strike-UndTree!CZ85),(UpProb*DA85+DownProb*DA86)*StepDiscount)))</f>
        <v>0</v>
      </c>
      <c r="DA85" s="17">
        <f>IF(DA$3="","",IF(DA$3=Steps,MAX(IF(CallPut=1,UndTree!DA85-Strike,Strike-UndTree!DA85),0),MAX((2-AmEur)*IF(CallPut=1,UndTree!DA85-Strike,Strike-UndTree!DA85),(UpProb*DB85+DownProb*DB86)*StepDiscount)))</f>
        <v>0</v>
      </c>
      <c r="DB85" s="17">
        <f>IF(DB$3="","",IF(DB$3=Steps,MAX(IF(CallPut=1,UndTree!DB85-Strike,Strike-UndTree!DB85),0),MAX((2-AmEur)*IF(CallPut=1,UndTree!DB85-Strike,Strike-UndTree!DB85),(UpProb*DC85+DownProb*DC86)*StepDiscount)))</f>
        <v>0</v>
      </c>
    </row>
    <row r="86" spans="1:106" x14ac:dyDescent="0.2">
      <c r="A86">
        <f>ExDivTree!A86</f>
        <v>1.6300608374220046E+20</v>
      </c>
      <c r="B86" s="71">
        <f>ExDivTree!B86</f>
        <v>6.4294563388702157E-11</v>
      </c>
      <c r="C86" s="71">
        <f>ExDivTree!C86</f>
        <v>5.4387795486848943E-11</v>
      </c>
      <c r="D86" s="177">
        <f>ExDivTree!D86</f>
        <v>82</v>
      </c>
      <c r="CI86" s="17">
        <f>IF(CI$3="","",IF(CI$3=Steps,MAX(IF(CallPut=1,UndTree!CI86-Strike,Strike-UndTree!CI86),0),MAX((2-AmEur)*IF(CallPut=1,UndTree!CI86-Strike,Strike-UndTree!CI86),(UpProb*CJ86+DownProb*CJ87)*StepDiscount)))</f>
        <v>0</v>
      </c>
      <c r="CJ86" s="17">
        <f>IF(CJ$3="","",IF(CJ$3=Steps,MAX(IF(CallPut=1,UndTree!CJ86-Strike,Strike-UndTree!CJ86),0),MAX((2-AmEur)*IF(CallPut=1,UndTree!CJ86-Strike,Strike-UndTree!CJ86),(UpProb*CK86+DownProb*CK87)*StepDiscount)))</f>
        <v>0</v>
      </c>
      <c r="CK86" s="17">
        <f>IF(CK$3="","",IF(CK$3=Steps,MAX(IF(CallPut=1,UndTree!CK86-Strike,Strike-UndTree!CK86),0),MAX((2-AmEur)*IF(CallPut=1,UndTree!CK86-Strike,Strike-UndTree!CK86),(UpProb*CL86+DownProb*CL87)*StepDiscount)))</f>
        <v>0</v>
      </c>
      <c r="CL86" s="17">
        <f>IF(CL$3="","",IF(CL$3=Steps,MAX(IF(CallPut=1,UndTree!CL86-Strike,Strike-UndTree!CL86),0),MAX((2-AmEur)*IF(CallPut=1,UndTree!CL86-Strike,Strike-UndTree!CL86),(UpProb*CM86+DownProb*CM87)*StepDiscount)))</f>
        <v>0</v>
      </c>
      <c r="CM86" s="17">
        <f>IF(CM$3="","",IF(CM$3=Steps,MAX(IF(CallPut=1,UndTree!CM86-Strike,Strike-UndTree!CM86),0),MAX((2-AmEur)*IF(CallPut=1,UndTree!CM86-Strike,Strike-UndTree!CM86),(UpProb*CN86+DownProb*CN87)*StepDiscount)))</f>
        <v>0</v>
      </c>
      <c r="CN86" s="17">
        <f>IF(CN$3="","",IF(CN$3=Steps,MAX(IF(CallPut=1,UndTree!CN86-Strike,Strike-UndTree!CN86),0),MAX((2-AmEur)*IF(CallPut=1,UndTree!CN86-Strike,Strike-UndTree!CN86),(UpProb*CO86+DownProb*CO87)*StepDiscount)))</f>
        <v>0</v>
      </c>
      <c r="CO86" s="17">
        <f>IF(CO$3="","",IF(CO$3=Steps,MAX(IF(CallPut=1,UndTree!CO86-Strike,Strike-UndTree!CO86),0),MAX((2-AmEur)*IF(CallPut=1,UndTree!CO86-Strike,Strike-UndTree!CO86),(UpProb*CP86+DownProb*CP87)*StepDiscount)))</f>
        <v>0</v>
      </c>
      <c r="CP86" s="17">
        <f>IF(CP$3="","",IF(CP$3=Steps,MAX(IF(CallPut=1,UndTree!CP86-Strike,Strike-UndTree!CP86),0),MAX((2-AmEur)*IF(CallPut=1,UndTree!CP86-Strike,Strike-UndTree!CP86),(UpProb*CQ86+DownProb*CQ87)*StepDiscount)))</f>
        <v>0</v>
      </c>
      <c r="CQ86" s="17">
        <f>IF(CQ$3="","",IF(CQ$3=Steps,MAX(IF(CallPut=1,UndTree!CQ86-Strike,Strike-UndTree!CQ86),0),MAX((2-AmEur)*IF(CallPut=1,UndTree!CQ86-Strike,Strike-UndTree!CQ86),(UpProb*CR86+DownProb*CR87)*StepDiscount)))</f>
        <v>0</v>
      </c>
      <c r="CR86" s="17">
        <f>IF(CR$3="","",IF(CR$3=Steps,MAX(IF(CallPut=1,UndTree!CR86-Strike,Strike-UndTree!CR86),0),MAX((2-AmEur)*IF(CallPut=1,UndTree!CR86-Strike,Strike-UndTree!CR86),(UpProb*CS86+DownProb*CS87)*StepDiscount)))</f>
        <v>0</v>
      </c>
      <c r="CS86" s="17">
        <f>IF(CS$3="","",IF(CS$3=Steps,MAX(IF(CallPut=1,UndTree!CS86-Strike,Strike-UndTree!CS86),0),MAX((2-AmEur)*IF(CallPut=1,UndTree!CS86-Strike,Strike-UndTree!CS86),(UpProb*CT86+DownProb*CT87)*StepDiscount)))</f>
        <v>0</v>
      </c>
      <c r="CT86" s="17">
        <f>IF(CT$3="","",IF(CT$3=Steps,MAX(IF(CallPut=1,UndTree!CT86-Strike,Strike-UndTree!CT86),0),MAX((2-AmEur)*IF(CallPut=1,UndTree!CT86-Strike,Strike-UndTree!CT86),(UpProb*CU86+DownProb*CU87)*StepDiscount)))</f>
        <v>0</v>
      </c>
      <c r="CU86" s="17">
        <f>IF(CU$3="","",IF(CU$3=Steps,MAX(IF(CallPut=1,UndTree!CU86-Strike,Strike-UndTree!CU86),0),MAX((2-AmEur)*IF(CallPut=1,UndTree!CU86-Strike,Strike-UndTree!CU86),(UpProb*CV86+DownProb*CV87)*StepDiscount)))</f>
        <v>0</v>
      </c>
      <c r="CV86" s="17">
        <f>IF(CV$3="","",IF(CV$3=Steps,MAX(IF(CallPut=1,UndTree!CV86-Strike,Strike-UndTree!CV86),0),MAX((2-AmEur)*IF(CallPut=1,UndTree!CV86-Strike,Strike-UndTree!CV86),(UpProb*CW86+DownProb*CW87)*StepDiscount)))</f>
        <v>0</v>
      </c>
      <c r="CW86" s="17">
        <f>IF(CW$3="","",IF(CW$3=Steps,MAX(IF(CallPut=1,UndTree!CW86-Strike,Strike-UndTree!CW86),0),MAX((2-AmEur)*IF(CallPut=1,UndTree!CW86-Strike,Strike-UndTree!CW86),(UpProb*CX86+DownProb*CX87)*StepDiscount)))</f>
        <v>0</v>
      </c>
      <c r="CX86" s="17">
        <f>IF(CX$3="","",IF(CX$3=Steps,MAX(IF(CallPut=1,UndTree!CX86-Strike,Strike-UndTree!CX86),0),MAX((2-AmEur)*IF(CallPut=1,UndTree!CX86-Strike,Strike-UndTree!CX86),(UpProb*CY86+DownProb*CY87)*StepDiscount)))</f>
        <v>0</v>
      </c>
      <c r="CY86" s="17">
        <f>IF(CY$3="","",IF(CY$3=Steps,MAX(IF(CallPut=1,UndTree!CY86-Strike,Strike-UndTree!CY86),0),MAX((2-AmEur)*IF(CallPut=1,UndTree!CY86-Strike,Strike-UndTree!CY86),(UpProb*CZ86+DownProb*CZ87)*StepDiscount)))</f>
        <v>0</v>
      </c>
      <c r="CZ86" s="17">
        <f>IF(CZ$3="","",IF(CZ$3=Steps,MAX(IF(CallPut=1,UndTree!CZ86-Strike,Strike-UndTree!CZ86),0),MAX((2-AmEur)*IF(CallPut=1,UndTree!CZ86-Strike,Strike-UndTree!CZ86),(UpProb*DA86+DownProb*DA87)*StepDiscount)))</f>
        <v>0</v>
      </c>
      <c r="DA86" s="17">
        <f>IF(DA$3="","",IF(DA$3=Steps,MAX(IF(CallPut=1,UndTree!DA86-Strike,Strike-UndTree!DA86),0),MAX((2-AmEur)*IF(CallPut=1,UndTree!DA86-Strike,Strike-UndTree!DA86),(UpProb*DB86+DownProb*DB87)*StepDiscount)))</f>
        <v>0</v>
      </c>
      <c r="DB86" s="17">
        <f>IF(DB$3="","",IF(DB$3=Steps,MAX(IF(CallPut=1,UndTree!DB86-Strike,Strike-UndTree!DB86),0),MAX((2-AmEur)*IF(CallPut=1,UndTree!DB86-Strike,Strike-UndTree!DB86),(UpProb*DC86+DownProb*DC87)*StepDiscount)))</f>
        <v>0</v>
      </c>
    </row>
    <row r="87" spans="1:106" x14ac:dyDescent="0.2">
      <c r="A87">
        <f>ExDivTree!A87</f>
        <v>3.7314645675925398E+19</v>
      </c>
      <c r="B87" s="71">
        <f>ExDivTree!B87</f>
        <v>1.4718032582955911E-11</v>
      </c>
      <c r="C87" s="71">
        <f>ExDivTree!C87</f>
        <v>1.2384394638897007E-11</v>
      </c>
      <c r="D87" s="177">
        <f>ExDivTree!D87</f>
        <v>83</v>
      </c>
      <c r="CJ87" s="17">
        <f>IF(CJ$3="","",IF(CJ$3=Steps,MAX(IF(CallPut=1,UndTree!CJ87-Strike,Strike-UndTree!CJ87),0),MAX((2-AmEur)*IF(CallPut=1,UndTree!CJ87-Strike,Strike-UndTree!CJ87),(UpProb*CK87+DownProb*CK88)*StepDiscount)))</f>
        <v>0</v>
      </c>
      <c r="CK87" s="17">
        <f>IF(CK$3="","",IF(CK$3=Steps,MAX(IF(CallPut=1,UndTree!CK87-Strike,Strike-UndTree!CK87),0),MAX((2-AmEur)*IF(CallPut=1,UndTree!CK87-Strike,Strike-UndTree!CK87),(UpProb*CL87+DownProb*CL88)*StepDiscount)))</f>
        <v>0</v>
      </c>
      <c r="CL87" s="17">
        <f>IF(CL$3="","",IF(CL$3=Steps,MAX(IF(CallPut=1,UndTree!CL87-Strike,Strike-UndTree!CL87),0),MAX((2-AmEur)*IF(CallPut=1,UndTree!CL87-Strike,Strike-UndTree!CL87),(UpProb*CM87+DownProb*CM88)*StepDiscount)))</f>
        <v>0</v>
      </c>
      <c r="CM87" s="17">
        <f>IF(CM$3="","",IF(CM$3=Steps,MAX(IF(CallPut=1,UndTree!CM87-Strike,Strike-UndTree!CM87),0),MAX((2-AmEur)*IF(CallPut=1,UndTree!CM87-Strike,Strike-UndTree!CM87),(UpProb*CN87+DownProb*CN88)*StepDiscount)))</f>
        <v>0</v>
      </c>
      <c r="CN87" s="17">
        <f>IF(CN$3="","",IF(CN$3=Steps,MAX(IF(CallPut=1,UndTree!CN87-Strike,Strike-UndTree!CN87),0),MAX((2-AmEur)*IF(CallPut=1,UndTree!CN87-Strike,Strike-UndTree!CN87),(UpProb*CO87+DownProb*CO88)*StepDiscount)))</f>
        <v>0</v>
      </c>
      <c r="CO87" s="17">
        <f>IF(CO$3="","",IF(CO$3=Steps,MAX(IF(CallPut=1,UndTree!CO87-Strike,Strike-UndTree!CO87),0),MAX((2-AmEur)*IF(CallPut=1,UndTree!CO87-Strike,Strike-UndTree!CO87),(UpProb*CP87+DownProb*CP88)*StepDiscount)))</f>
        <v>0</v>
      </c>
      <c r="CP87" s="17">
        <f>IF(CP$3="","",IF(CP$3=Steps,MAX(IF(CallPut=1,UndTree!CP87-Strike,Strike-UndTree!CP87),0),MAX((2-AmEur)*IF(CallPut=1,UndTree!CP87-Strike,Strike-UndTree!CP87),(UpProb*CQ87+DownProb*CQ88)*StepDiscount)))</f>
        <v>0</v>
      </c>
      <c r="CQ87" s="17">
        <f>IF(CQ$3="","",IF(CQ$3=Steps,MAX(IF(CallPut=1,UndTree!CQ87-Strike,Strike-UndTree!CQ87),0),MAX((2-AmEur)*IF(CallPut=1,UndTree!CQ87-Strike,Strike-UndTree!CQ87),(UpProb*CR87+DownProb*CR88)*StepDiscount)))</f>
        <v>0</v>
      </c>
      <c r="CR87" s="17">
        <f>IF(CR$3="","",IF(CR$3=Steps,MAX(IF(CallPut=1,UndTree!CR87-Strike,Strike-UndTree!CR87),0),MAX((2-AmEur)*IF(CallPut=1,UndTree!CR87-Strike,Strike-UndTree!CR87),(UpProb*CS87+DownProb*CS88)*StepDiscount)))</f>
        <v>0</v>
      </c>
      <c r="CS87" s="17">
        <f>IF(CS$3="","",IF(CS$3=Steps,MAX(IF(CallPut=1,UndTree!CS87-Strike,Strike-UndTree!CS87),0),MAX((2-AmEur)*IF(CallPut=1,UndTree!CS87-Strike,Strike-UndTree!CS87),(UpProb*CT87+DownProb*CT88)*StepDiscount)))</f>
        <v>0</v>
      </c>
      <c r="CT87" s="17">
        <f>IF(CT$3="","",IF(CT$3=Steps,MAX(IF(CallPut=1,UndTree!CT87-Strike,Strike-UndTree!CT87),0),MAX((2-AmEur)*IF(CallPut=1,UndTree!CT87-Strike,Strike-UndTree!CT87),(UpProb*CU87+DownProb*CU88)*StepDiscount)))</f>
        <v>0</v>
      </c>
      <c r="CU87" s="17">
        <f>IF(CU$3="","",IF(CU$3=Steps,MAX(IF(CallPut=1,UndTree!CU87-Strike,Strike-UndTree!CU87),0),MAX((2-AmEur)*IF(CallPut=1,UndTree!CU87-Strike,Strike-UndTree!CU87),(UpProb*CV87+DownProb*CV88)*StepDiscount)))</f>
        <v>0</v>
      </c>
      <c r="CV87" s="17">
        <f>IF(CV$3="","",IF(CV$3=Steps,MAX(IF(CallPut=1,UndTree!CV87-Strike,Strike-UndTree!CV87),0),MAX((2-AmEur)*IF(CallPut=1,UndTree!CV87-Strike,Strike-UndTree!CV87),(UpProb*CW87+DownProb*CW88)*StepDiscount)))</f>
        <v>0</v>
      </c>
      <c r="CW87" s="17">
        <f>IF(CW$3="","",IF(CW$3=Steps,MAX(IF(CallPut=1,UndTree!CW87-Strike,Strike-UndTree!CW87),0),MAX((2-AmEur)*IF(CallPut=1,UndTree!CW87-Strike,Strike-UndTree!CW87),(UpProb*CX87+DownProb*CX88)*StepDiscount)))</f>
        <v>0</v>
      </c>
      <c r="CX87" s="17">
        <f>IF(CX$3="","",IF(CX$3=Steps,MAX(IF(CallPut=1,UndTree!CX87-Strike,Strike-UndTree!CX87),0),MAX((2-AmEur)*IF(CallPut=1,UndTree!CX87-Strike,Strike-UndTree!CX87),(UpProb*CY87+DownProb*CY88)*StepDiscount)))</f>
        <v>0</v>
      </c>
      <c r="CY87" s="17">
        <f>IF(CY$3="","",IF(CY$3=Steps,MAX(IF(CallPut=1,UndTree!CY87-Strike,Strike-UndTree!CY87),0),MAX((2-AmEur)*IF(CallPut=1,UndTree!CY87-Strike,Strike-UndTree!CY87),(UpProb*CZ87+DownProb*CZ88)*StepDiscount)))</f>
        <v>0</v>
      </c>
      <c r="CZ87" s="17">
        <f>IF(CZ$3="","",IF(CZ$3=Steps,MAX(IF(CallPut=1,UndTree!CZ87-Strike,Strike-UndTree!CZ87),0),MAX((2-AmEur)*IF(CallPut=1,UndTree!CZ87-Strike,Strike-UndTree!CZ87),(UpProb*DA87+DownProb*DA88)*StepDiscount)))</f>
        <v>0</v>
      </c>
      <c r="DA87" s="17">
        <f>IF(DA$3="","",IF(DA$3=Steps,MAX(IF(CallPut=1,UndTree!DA87-Strike,Strike-UndTree!DA87),0),MAX((2-AmEur)*IF(CallPut=1,UndTree!DA87-Strike,Strike-UndTree!DA87),(UpProb*DB87+DownProb*DB88)*StepDiscount)))</f>
        <v>0</v>
      </c>
      <c r="DB87" s="17">
        <f>IF(DB$3="","",IF(DB$3=Steps,MAX(IF(CallPut=1,UndTree!DB87-Strike,Strike-UndTree!DB87),0),MAX((2-AmEur)*IF(CallPut=1,UndTree!DB87-Strike,Strike-UndTree!DB87),(UpProb*DC87+DownProb*DC88)*StepDiscount)))</f>
        <v>0</v>
      </c>
    </row>
    <row r="88" spans="1:106" x14ac:dyDescent="0.2">
      <c r="A88">
        <f>ExDivTree!A88</f>
        <v>7.9959955019840215E+18</v>
      </c>
      <c r="B88" s="71">
        <f>ExDivTree!B88</f>
        <v>3.153864124919127E-12</v>
      </c>
      <c r="C88" s="71">
        <f>ExDivTree!C88</f>
        <v>2.6397683656119068E-12</v>
      </c>
      <c r="D88" s="177">
        <f>ExDivTree!D88</f>
        <v>84</v>
      </c>
      <c r="CK88" s="17">
        <f>IF(CK$3="","",IF(CK$3=Steps,MAX(IF(CallPut=1,UndTree!CK88-Strike,Strike-UndTree!CK88),0),MAX((2-AmEur)*IF(CallPut=1,UndTree!CK88-Strike,Strike-UndTree!CK88),(UpProb*CL88+DownProb*CL89)*StepDiscount)))</f>
        <v>0</v>
      </c>
      <c r="CL88" s="17">
        <f>IF(CL$3="","",IF(CL$3=Steps,MAX(IF(CallPut=1,UndTree!CL88-Strike,Strike-UndTree!CL88),0),MAX((2-AmEur)*IF(CallPut=1,UndTree!CL88-Strike,Strike-UndTree!CL88),(UpProb*CM88+DownProb*CM89)*StepDiscount)))</f>
        <v>0</v>
      </c>
      <c r="CM88" s="17">
        <f>IF(CM$3="","",IF(CM$3=Steps,MAX(IF(CallPut=1,UndTree!CM88-Strike,Strike-UndTree!CM88),0),MAX((2-AmEur)*IF(CallPut=1,UndTree!CM88-Strike,Strike-UndTree!CM88),(UpProb*CN88+DownProb*CN89)*StepDiscount)))</f>
        <v>0</v>
      </c>
      <c r="CN88" s="17">
        <f>IF(CN$3="","",IF(CN$3=Steps,MAX(IF(CallPut=1,UndTree!CN88-Strike,Strike-UndTree!CN88),0),MAX((2-AmEur)*IF(CallPut=1,UndTree!CN88-Strike,Strike-UndTree!CN88),(UpProb*CO88+DownProb*CO89)*StepDiscount)))</f>
        <v>0</v>
      </c>
      <c r="CO88" s="17">
        <f>IF(CO$3="","",IF(CO$3=Steps,MAX(IF(CallPut=1,UndTree!CO88-Strike,Strike-UndTree!CO88),0),MAX((2-AmEur)*IF(CallPut=1,UndTree!CO88-Strike,Strike-UndTree!CO88),(UpProb*CP88+DownProb*CP89)*StepDiscount)))</f>
        <v>0</v>
      </c>
      <c r="CP88" s="17">
        <f>IF(CP$3="","",IF(CP$3=Steps,MAX(IF(CallPut=1,UndTree!CP88-Strike,Strike-UndTree!CP88),0),MAX((2-AmEur)*IF(CallPut=1,UndTree!CP88-Strike,Strike-UndTree!CP88),(UpProb*CQ88+DownProb*CQ89)*StepDiscount)))</f>
        <v>0</v>
      </c>
      <c r="CQ88" s="17">
        <f>IF(CQ$3="","",IF(CQ$3=Steps,MAX(IF(CallPut=1,UndTree!CQ88-Strike,Strike-UndTree!CQ88),0),MAX((2-AmEur)*IF(CallPut=1,UndTree!CQ88-Strike,Strike-UndTree!CQ88),(UpProb*CR88+DownProb*CR89)*StepDiscount)))</f>
        <v>0</v>
      </c>
      <c r="CR88" s="17">
        <f>IF(CR$3="","",IF(CR$3=Steps,MAX(IF(CallPut=1,UndTree!CR88-Strike,Strike-UndTree!CR88),0),MAX((2-AmEur)*IF(CallPut=1,UndTree!CR88-Strike,Strike-UndTree!CR88),(UpProb*CS88+DownProb*CS89)*StepDiscount)))</f>
        <v>0</v>
      </c>
      <c r="CS88" s="17">
        <f>IF(CS$3="","",IF(CS$3=Steps,MAX(IF(CallPut=1,UndTree!CS88-Strike,Strike-UndTree!CS88),0),MAX((2-AmEur)*IF(CallPut=1,UndTree!CS88-Strike,Strike-UndTree!CS88),(UpProb*CT88+DownProb*CT89)*StepDiscount)))</f>
        <v>0</v>
      </c>
      <c r="CT88" s="17">
        <f>IF(CT$3="","",IF(CT$3=Steps,MAX(IF(CallPut=1,UndTree!CT88-Strike,Strike-UndTree!CT88),0),MAX((2-AmEur)*IF(CallPut=1,UndTree!CT88-Strike,Strike-UndTree!CT88),(UpProb*CU88+DownProb*CU89)*StepDiscount)))</f>
        <v>0</v>
      </c>
      <c r="CU88" s="17">
        <f>IF(CU$3="","",IF(CU$3=Steps,MAX(IF(CallPut=1,UndTree!CU88-Strike,Strike-UndTree!CU88),0),MAX((2-AmEur)*IF(CallPut=1,UndTree!CU88-Strike,Strike-UndTree!CU88),(UpProb*CV88+DownProb*CV89)*StepDiscount)))</f>
        <v>0</v>
      </c>
      <c r="CV88" s="17">
        <f>IF(CV$3="","",IF(CV$3=Steps,MAX(IF(CallPut=1,UndTree!CV88-Strike,Strike-UndTree!CV88),0),MAX((2-AmEur)*IF(CallPut=1,UndTree!CV88-Strike,Strike-UndTree!CV88),(UpProb*CW88+DownProb*CW89)*StepDiscount)))</f>
        <v>0</v>
      </c>
      <c r="CW88" s="17">
        <f>IF(CW$3="","",IF(CW$3=Steps,MAX(IF(CallPut=1,UndTree!CW88-Strike,Strike-UndTree!CW88),0),MAX((2-AmEur)*IF(CallPut=1,UndTree!CW88-Strike,Strike-UndTree!CW88),(UpProb*CX88+DownProb*CX89)*StepDiscount)))</f>
        <v>0</v>
      </c>
      <c r="CX88" s="17">
        <f>IF(CX$3="","",IF(CX$3=Steps,MAX(IF(CallPut=1,UndTree!CX88-Strike,Strike-UndTree!CX88),0),MAX((2-AmEur)*IF(CallPut=1,UndTree!CX88-Strike,Strike-UndTree!CX88),(UpProb*CY88+DownProb*CY89)*StepDiscount)))</f>
        <v>0</v>
      </c>
      <c r="CY88" s="17">
        <f>IF(CY$3="","",IF(CY$3=Steps,MAX(IF(CallPut=1,UndTree!CY88-Strike,Strike-UndTree!CY88),0),MAX((2-AmEur)*IF(CallPut=1,UndTree!CY88-Strike,Strike-UndTree!CY88),(UpProb*CZ88+DownProb*CZ89)*StepDiscount)))</f>
        <v>0</v>
      </c>
      <c r="CZ88" s="17">
        <f>IF(CZ$3="","",IF(CZ$3=Steps,MAX(IF(CallPut=1,UndTree!CZ88-Strike,Strike-UndTree!CZ88),0),MAX((2-AmEur)*IF(CallPut=1,UndTree!CZ88-Strike,Strike-UndTree!CZ88),(UpProb*DA88+DownProb*DA89)*StepDiscount)))</f>
        <v>0</v>
      </c>
      <c r="DA88" s="17">
        <f>IF(DA$3="","",IF(DA$3=Steps,MAX(IF(CallPut=1,UndTree!DA88-Strike,Strike-UndTree!DA88),0),MAX((2-AmEur)*IF(CallPut=1,UndTree!DA88-Strike,Strike-UndTree!DA88),(UpProb*DB88+DownProb*DB89)*StepDiscount)))</f>
        <v>0</v>
      </c>
      <c r="DB88" s="17">
        <f>IF(DB$3="","",IF(DB$3=Steps,MAX(IF(CallPut=1,UndTree!DB88-Strike,Strike-UndTree!DB88),0),MAX((2-AmEur)*IF(CallPut=1,UndTree!DB88-Strike,Strike-UndTree!DB88),(UpProb*DC88+DownProb*DC89)*StepDiscount)))</f>
        <v>0</v>
      </c>
    </row>
    <row r="89" spans="1:106" x14ac:dyDescent="0.2">
      <c r="A89">
        <f>ExDivTree!A89</f>
        <v>1.5991991003968033E+18</v>
      </c>
      <c r="B89" s="71">
        <f>ExDivTree!B89</f>
        <v>6.3077282498382501E-13</v>
      </c>
      <c r="C89" s="71">
        <f>ExDivTree!C89</f>
        <v>5.2516241168427777E-13</v>
      </c>
      <c r="D89" s="177">
        <f>ExDivTree!D89</f>
        <v>85</v>
      </c>
      <c r="CL89" s="17">
        <f>IF(CL$3="","",IF(CL$3=Steps,MAX(IF(CallPut=1,UndTree!CL89-Strike,Strike-UndTree!CL89),0),MAX((2-AmEur)*IF(CallPut=1,UndTree!CL89-Strike,Strike-UndTree!CL89),(UpProb*CM89+DownProb*CM90)*StepDiscount)))</f>
        <v>0</v>
      </c>
      <c r="CM89" s="17">
        <f>IF(CM$3="","",IF(CM$3=Steps,MAX(IF(CallPut=1,UndTree!CM89-Strike,Strike-UndTree!CM89),0),MAX((2-AmEur)*IF(CallPut=1,UndTree!CM89-Strike,Strike-UndTree!CM89),(UpProb*CN89+DownProb*CN90)*StepDiscount)))</f>
        <v>0</v>
      </c>
      <c r="CN89" s="17">
        <f>IF(CN$3="","",IF(CN$3=Steps,MAX(IF(CallPut=1,UndTree!CN89-Strike,Strike-UndTree!CN89),0),MAX((2-AmEur)*IF(CallPut=1,UndTree!CN89-Strike,Strike-UndTree!CN89),(UpProb*CO89+DownProb*CO90)*StepDiscount)))</f>
        <v>0</v>
      </c>
      <c r="CO89" s="17">
        <f>IF(CO$3="","",IF(CO$3=Steps,MAX(IF(CallPut=1,UndTree!CO89-Strike,Strike-UndTree!CO89),0),MAX((2-AmEur)*IF(CallPut=1,UndTree!CO89-Strike,Strike-UndTree!CO89),(UpProb*CP89+DownProb*CP90)*StepDiscount)))</f>
        <v>0</v>
      </c>
      <c r="CP89" s="17">
        <f>IF(CP$3="","",IF(CP$3=Steps,MAX(IF(CallPut=1,UndTree!CP89-Strike,Strike-UndTree!CP89),0),MAX((2-AmEur)*IF(CallPut=1,UndTree!CP89-Strike,Strike-UndTree!CP89),(UpProb*CQ89+DownProb*CQ90)*StepDiscount)))</f>
        <v>0</v>
      </c>
      <c r="CQ89" s="17">
        <f>IF(CQ$3="","",IF(CQ$3=Steps,MAX(IF(CallPut=1,UndTree!CQ89-Strike,Strike-UndTree!CQ89),0),MAX((2-AmEur)*IF(CallPut=1,UndTree!CQ89-Strike,Strike-UndTree!CQ89),(UpProb*CR89+DownProb*CR90)*StepDiscount)))</f>
        <v>0</v>
      </c>
      <c r="CR89" s="17">
        <f>IF(CR$3="","",IF(CR$3=Steps,MAX(IF(CallPut=1,UndTree!CR89-Strike,Strike-UndTree!CR89),0),MAX((2-AmEur)*IF(CallPut=1,UndTree!CR89-Strike,Strike-UndTree!CR89),(UpProb*CS89+DownProb*CS90)*StepDiscount)))</f>
        <v>0</v>
      </c>
      <c r="CS89" s="17">
        <f>IF(CS$3="","",IF(CS$3=Steps,MAX(IF(CallPut=1,UndTree!CS89-Strike,Strike-UndTree!CS89),0),MAX((2-AmEur)*IF(CallPut=1,UndTree!CS89-Strike,Strike-UndTree!CS89),(UpProb*CT89+DownProb*CT90)*StepDiscount)))</f>
        <v>0</v>
      </c>
      <c r="CT89" s="17">
        <f>IF(CT$3="","",IF(CT$3=Steps,MAX(IF(CallPut=1,UndTree!CT89-Strike,Strike-UndTree!CT89),0),MAX((2-AmEur)*IF(CallPut=1,UndTree!CT89-Strike,Strike-UndTree!CT89),(UpProb*CU89+DownProb*CU90)*StepDiscount)))</f>
        <v>0</v>
      </c>
      <c r="CU89" s="17">
        <f>IF(CU$3="","",IF(CU$3=Steps,MAX(IF(CallPut=1,UndTree!CU89-Strike,Strike-UndTree!CU89),0),MAX((2-AmEur)*IF(CallPut=1,UndTree!CU89-Strike,Strike-UndTree!CU89),(UpProb*CV89+DownProb*CV90)*StepDiscount)))</f>
        <v>0</v>
      </c>
      <c r="CV89" s="17">
        <f>IF(CV$3="","",IF(CV$3=Steps,MAX(IF(CallPut=1,UndTree!CV89-Strike,Strike-UndTree!CV89),0),MAX((2-AmEur)*IF(CallPut=1,UndTree!CV89-Strike,Strike-UndTree!CV89),(UpProb*CW89+DownProb*CW90)*StepDiscount)))</f>
        <v>0</v>
      </c>
      <c r="CW89" s="17">
        <f>IF(CW$3="","",IF(CW$3=Steps,MAX(IF(CallPut=1,UndTree!CW89-Strike,Strike-UndTree!CW89),0),MAX((2-AmEur)*IF(CallPut=1,UndTree!CW89-Strike,Strike-UndTree!CW89),(UpProb*CX89+DownProb*CX90)*StepDiscount)))</f>
        <v>0</v>
      </c>
      <c r="CX89" s="17">
        <f>IF(CX$3="","",IF(CX$3=Steps,MAX(IF(CallPut=1,UndTree!CX89-Strike,Strike-UndTree!CX89),0),MAX((2-AmEur)*IF(CallPut=1,UndTree!CX89-Strike,Strike-UndTree!CX89),(UpProb*CY89+DownProb*CY90)*StepDiscount)))</f>
        <v>0</v>
      </c>
      <c r="CY89" s="17">
        <f>IF(CY$3="","",IF(CY$3=Steps,MAX(IF(CallPut=1,UndTree!CY89-Strike,Strike-UndTree!CY89),0),MAX((2-AmEur)*IF(CallPut=1,UndTree!CY89-Strike,Strike-UndTree!CY89),(UpProb*CZ89+DownProb*CZ90)*StepDiscount)))</f>
        <v>0</v>
      </c>
      <c r="CZ89" s="17">
        <f>IF(CZ$3="","",IF(CZ$3=Steps,MAX(IF(CallPut=1,UndTree!CZ89-Strike,Strike-UndTree!CZ89),0),MAX((2-AmEur)*IF(CallPut=1,UndTree!CZ89-Strike,Strike-UndTree!CZ89),(UpProb*DA89+DownProb*DA90)*StepDiscount)))</f>
        <v>0</v>
      </c>
      <c r="DA89" s="17">
        <f>IF(DA$3="","",IF(DA$3=Steps,MAX(IF(CallPut=1,UndTree!DA89-Strike,Strike-UndTree!DA89),0),MAX((2-AmEur)*IF(CallPut=1,UndTree!DA89-Strike,Strike-UndTree!DA89),(UpProb*DB89+DownProb*DB90)*StepDiscount)))</f>
        <v>0</v>
      </c>
      <c r="DB89" s="17">
        <f>IF(DB$3="","",IF(DB$3=Steps,MAX(IF(CallPut=1,UndTree!DB89-Strike,Strike-UndTree!DB89),0),MAX((2-AmEur)*IF(CallPut=1,UndTree!DB89-Strike,Strike-UndTree!DB89),(UpProb*DC89+DownProb*DC90)*StepDiscount)))</f>
        <v>0</v>
      </c>
    </row>
    <row r="90" spans="1:106" x14ac:dyDescent="0.2">
      <c r="A90">
        <f>ExDivTree!A90</f>
        <v>2.9752541402731226E+17</v>
      </c>
      <c r="B90" s="71">
        <f>ExDivTree!B90</f>
        <v>1.1735308371792093E-13</v>
      </c>
      <c r="C90" s="71">
        <f>ExDivTree!C90</f>
        <v>9.718807581185793E-14</v>
      </c>
      <c r="D90" s="177">
        <f>ExDivTree!D90</f>
        <v>86</v>
      </c>
      <c r="CM90" s="17">
        <f>IF(CM$3="","",IF(CM$3=Steps,MAX(IF(CallPut=1,UndTree!CM90-Strike,Strike-UndTree!CM90),0),MAX((2-AmEur)*IF(CallPut=1,UndTree!CM90-Strike,Strike-UndTree!CM90),(UpProb*CN90+DownProb*CN91)*StepDiscount)))</f>
        <v>0</v>
      </c>
      <c r="CN90" s="17">
        <f>IF(CN$3="","",IF(CN$3=Steps,MAX(IF(CallPut=1,UndTree!CN90-Strike,Strike-UndTree!CN90),0),MAX((2-AmEur)*IF(CallPut=1,UndTree!CN90-Strike,Strike-UndTree!CN90),(UpProb*CO90+DownProb*CO91)*StepDiscount)))</f>
        <v>0</v>
      </c>
      <c r="CO90" s="17">
        <f>IF(CO$3="","",IF(CO$3=Steps,MAX(IF(CallPut=1,UndTree!CO90-Strike,Strike-UndTree!CO90),0),MAX((2-AmEur)*IF(CallPut=1,UndTree!CO90-Strike,Strike-UndTree!CO90),(UpProb*CP90+DownProb*CP91)*StepDiscount)))</f>
        <v>0</v>
      </c>
      <c r="CP90" s="17">
        <f>IF(CP$3="","",IF(CP$3=Steps,MAX(IF(CallPut=1,UndTree!CP90-Strike,Strike-UndTree!CP90),0),MAX((2-AmEur)*IF(CallPut=1,UndTree!CP90-Strike,Strike-UndTree!CP90),(UpProb*CQ90+DownProb*CQ91)*StepDiscount)))</f>
        <v>0</v>
      </c>
      <c r="CQ90" s="17">
        <f>IF(CQ$3="","",IF(CQ$3=Steps,MAX(IF(CallPut=1,UndTree!CQ90-Strike,Strike-UndTree!CQ90),0),MAX((2-AmEur)*IF(CallPut=1,UndTree!CQ90-Strike,Strike-UndTree!CQ90),(UpProb*CR90+DownProb*CR91)*StepDiscount)))</f>
        <v>0</v>
      </c>
      <c r="CR90" s="17">
        <f>IF(CR$3="","",IF(CR$3=Steps,MAX(IF(CallPut=1,UndTree!CR90-Strike,Strike-UndTree!CR90),0),MAX((2-AmEur)*IF(CallPut=1,UndTree!CR90-Strike,Strike-UndTree!CR90),(UpProb*CS90+DownProb*CS91)*StepDiscount)))</f>
        <v>0</v>
      </c>
      <c r="CS90" s="17">
        <f>IF(CS$3="","",IF(CS$3=Steps,MAX(IF(CallPut=1,UndTree!CS90-Strike,Strike-UndTree!CS90),0),MAX((2-AmEur)*IF(CallPut=1,UndTree!CS90-Strike,Strike-UndTree!CS90),(UpProb*CT90+DownProb*CT91)*StepDiscount)))</f>
        <v>0</v>
      </c>
      <c r="CT90" s="17">
        <f>IF(CT$3="","",IF(CT$3=Steps,MAX(IF(CallPut=1,UndTree!CT90-Strike,Strike-UndTree!CT90),0),MAX((2-AmEur)*IF(CallPut=1,UndTree!CT90-Strike,Strike-UndTree!CT90),(UpProb*CU90+DownProb*CU91)*StepDiscount)))</f>
        <v>0</v>
      </c>
      <c r="CU90" s="17">
        <f>IF(CU$3="","",IF(CU$3=Steps,MAX(IF(CallPut=1,UndTree!CU90-Strike,Strike-UndTree!CU90),0),MAX((2-AmEur)*IF(CallPut=1,UndTree!CU90-Strike,Strike-UndTree!CU90),(UpProb*CV90+DownProb*CV91)*StepDiscount)))</f>
        <v>0</v>
      </c>
      <c r="CV90" s="17">
        <f>IF(CV$3="","",IF(CV$3=Steps,MAX(IF(CallPut=1,UndTree!CV90-Strike,Strike-UndTree!CV90),0),MAX((2-AmEur)*IF(CallPut=1,UndTree!CV90-Strike,Strike-UndTree!CV90),(UpProb*CW90+DownProb*CW91)*StepDiscount)))</f>
        <v>0</v>
      </c>
      <c r="CW90" s="17">
        <f>IF(CW$3="","",IF(CW$3=Steps,MAX(IF(CallPut=1,UndTree!CW90-Strike,Strike-UndTree!CW90),0),MAX((2-AmEur)*IF(CallPut=1,UndTree!CW90-Strike,Strike-UndTree!CW90),(UpProb*CX90+DownProb*CX91)*StepDiscount)))</f>
        <v>0</v>
      </c>
      <c r="CX90" s="17">
        <f>IF(CX$3="","",IF(CX$3=Steps,MAX(IF(CallPut=1,UndTree!CX90-Strike,Strike-UndTree!CX90),0),MAX((2-AmEur)*IF(CallPut=1,UndTree!CX90-Strike,Strike-UndTree!CX90),(UpProb*CY90+DownProb*CY91)*StepDiscount)))</f>
        <v>0</v>
      </c>
      <c r="CY90" s="17">
        <f>IF(CY$3="","",IF(CY$3=Steps,MAX(IF(CallPut=1,UndTree!CY90-Strike,Strike-UndTree!CY90),0),MAX((2-AmEur)*IF(CallPut=1,UndTree!CY90-Strike,Strike-UndTree!CY90),(UpProb*CZ90+DownProb*CZ91)*StepDiscount)))</f>
        <v>0</v>
      </c>
      <c r="CZ90" s="17">
        <f>IF(CZ$3="","",IF(CZ$3=Steps,MAX(IF(CallPut=1,UndTree!CZ90-Strike,Strike-UndTree!CZ90),0),MAX((2-AmEur)*IF(CallPut=1,UndTree!CZ90-Strike,Strike-UndTree!CZ90),(UpProb*DA90+DownProb*DA91)*StepDiscount)))</f>
        <v>0</v>
      </c>
      <c r="DA90" s="17">
        <f>IF(DA$3="","",IF(DA$3=Steps,MAX(IF(CallPut=1,UndTree!DA90-Strike,Strike-UndTree!DA90),0),MAX((2-AmEur)*IF(CallPut=1,UndTree!DA90-Strike,Strike-UndTree!DA90),(UpProb*DB90+DownProb*DB91)*StepDiscount)))</f>
        <v>0</v>
      </c>
      <c r="DB90" s="17">
        <f>IF(DB$3="","",IF(DB$3=Steps,MAX(IF(CallPut=1,UndTree!DB90-Strike,Strike-UndTree!DB90),0),MAX((2-AmEur)*IF(CallPut=1,UndTree!DB90-Strike,Strike-UndTree!DB90),(UpProb*DC90+DownProb*DC91)*StepDiscount)))</f>
        <v>0</v>
      </c>
    </row>
    <row r="91" spans="1:106" x14ac:dyDescent="0.2">
      <c r="A91">
        <f>ExDivTree!A91</f>
        <v>5.1297485177122792E+16</v>
      </c>
      <c r="B91" s="71">
        <f>ExDivTree!B91</f>
        <v>2.023329029619326E-14</v>
      </c>
      <c r="C91" s="71">
        <f>ExDivTree!C91</f>
        <v>1.6667973777547522E-14</v>
      </c>
      <c r="D91" s="177">
        <f>ExDivTree!D91</f>
        <v>87</v>
      </c>
      <c r="CN91" s="17">
        <f>IF(CN$3="","",IF(CN$3=Steps,MAX(IF(CallPut=1,UndTree!CN91-Strike,Strike-UndTree!CN91),0),MAX((2-AmEur)*IF(CallPut=1,UndTree!CN91-Strike,Strike-UndTree!CN91),(UpProb*CO91+DownProb*CO92)*StepDiscount)))</f>
        <v>0</v>
      </c>
      <c r="CO91" s="17">
        <f>IF(CO$3="","",IF(CO$3=Steps,MAX(IF(CallPut=1,UndTree!CO91-Strike,Strike-UndTree!CO91),0),MAX((2-AmEur)*IF(CallPut=1,UndTree!CO91-Strike,Strike-UndTree!CO91),(UpProb*CP91+DownProb*CP92)*StepDiscount)))</f>
        <v>0</v>
      </c>
      <c r="CP91" s="17">
        <f>IF(CP$3="","",IF(CP$3=Steps,MAX(IF(CallPut=1,UndTree!CP91-Strike,Strike-UndTree!CP91),0),MAX((2-AmEur)*IF(CallPut=1,UndTree!CP91-Strike,Strike-UndTree!CP91),(UpProb*CQ91+DownProb*CQ92)*StepDiscount)))</f>
        <v>0</v>
      </c>
      <c r="CQ91" s="17">
        <f>IF(CQ$3="","",IF(CQ$3=Steps,MAX(IF(CallPut=1,UndTree!CQ91-Strike,Strike-UndTree!CQ91),0),MAX((2-AmEur)*IF(CallPut=1,UndTree!CQ91-Strike,Strike-UndTree!CQ91),(UpProb*CR91+DownProb*CR92)*StepDiscount)))</f>
        <v>0</v>
      </c>
      <c r="CR91" s="17">
        <f>IF(CR$3="","",IF(CR$3=Steps,MAX(IF(CallPut=1,UndTree!CR91-Strike,Strike-UndTree!CR91),0),MAX((2-AmEur)*IF(CallPut=1,UndTree!CR91-Strike,Strike-UndTree!CR91),(UpProb*CS91+DownProb*CS92)*StepDiscount)))</f>
        <v>0</v>
      </c>
      <c r="CS91" s="17">
        <f>IF(CS$3="","",IF(CS$3=Steps,MAX(IF(CallPut=1,UndTree!CS91-Strike,Strike-UndTree!CS91),0),MAX((2-AmEur)*IF(CallPut=1,UndTree!CS91-Strike,Strike-UndTree!CS91),(UpProb*CT91+DownProb*CT92)*StepDiscount)))</f>
        <v>0</v>
      </c>
      <c r="CT91" s="17">
        <f>IF(CT$3="","",IF(CT$3=Steps,MAX(IF(CallPut=1,UndTree!CT91-Strike,Strike-UndTree!CT91),0),MAX((2-AmEur)*IF(CallPut=1,UndTree!CT91-Strike,Strike-UndTree!CT91),(UpProb*CU91+DownProb*CU92)*StepDiscount)))</f>
        <v>0</v>
      </c>
      <c r="CU91" s="17">
        <f>IF(CU$3="","",IF(CU$3=Steps,MAX(IF(CallPut=1,UndTree!CU91-Strike,Strike-UndTree!CU91),0),MAX((2-AmEur)*IF(CallPut=1,UndTree!CU91-Strike,Strike-UndTree!CU91),(UpProb*CV91+DownProb*CV92)*StepDiscount)))</f>
        <v>0</v>
      </c>
      <c r="CV91" s="17">
        <f>IF(CV$3="","",IF(CV$3=Steps,MAX(IF(CallPut=1,UndTree!CV91-Strike,Strike-UndTree!CV91),0),MAX((2-AmEur)*IF(CallPut=1,UndTree!CV91-Strike,Strike-UndTree!CV91),(UpProb*CW91+DownProb*CW92)*StepDiscount)))</f>
        <v>0</v>
      </c>
      <c r="CW91" s="17">
        <f>IF(CW$3="","",IF(CW$3=Steps,MAX(IF(CallPut=1,UndTree!CW91-Strike,Strike-UndTree!CW91),0),MAX((2-AmEur)*IF(CallPut=1,UndTree!CW91-Strike,Strike-UndTree!CW91),(UpProb*CX91+DownProb*CX92)*StepDiscount)))</f>
        <v>0</v>
      </c>
      <c r="CX91" s="17">
        <f>IF(CX$3="","",IF(CX$3=Steps,MAX(IF(CallPut=1,UndTree!CX91-Strike,Strike-UndTree!CX91),0),MAX((2-AmEur)*IF(CallPut=1,UndTree!CX91-Strike,Strike-UndTree!CX91),(UpProb*CY91+DownProb*CY92)*StepDiscount)))</f>
        <v>0</v>
      </c>
      <c r="CY91" s="17">
        <f>IF(CY$3="","",IF(CY$3=Steps,MAX(IF(CallPut=1,UndTree!CY91-Strike,Strike-UndTree!CY91),0),MAX((2-AmEur)*IF(CallPut=1,UndTree!CY91-Strike,Strike-UndTree!CY91),(UpProb*CZ91+DownProb*CZ92)*StepDiscount)))</f>
        <v>0</v>
      </c>
      <c r="CZ91" s="17">
        <f>IF(CZ$3="","",IF(CZ$3=Steps,MAX(IF(CallPut=1,UndTree!CZ91-Strike,Strike-UndTree!CZ91),0),MAX((2-AmEur)*IF(CallPut=1,UndTree!CZ91-Strike,Strike-UndTree!CZ91),(UpProb*DA91+DownProb*DA92)*StepDiscount)))</f>
        <v>0</v>
      </c>
      <c r="DA91" s="17">
        <f>IF(DA$3="","",IF(DA$3=Steps,MAX(IF(CallPut=1,UndTree!DA91-Strike,Strike-UndTree!DA91),0),MAX((2-AmEur)*IF(CallPut=1,UndTree!DA91-Strike,Strike-UndTree!DA91),(UpProb*DB91+DownProb*DB92)*StepDiscount)))</f>
        <v>0</v>
      </c>
      <c r="DB91" s="17">
        <f>IF(DB$3="","",IF(DB$3=Steps,MAX(IF(CallPut=1,UndTree!DB91-Strike,Strike-UndTree!DB91),0),MAX((2-AmEur)*IF(CallPut=1,UndTree!DB91-Strike,Strike-UndTree!DB91),(UpProb*DC91+DownProb*DC92)*StepDiscount)))</f>
        <v>0</v>
      </c>
    </row>
    <row r="92" spans="1:106" x14ac:dyDescent="0.2">
      <c r="A92">
        <f>ExDivTree!A92</f>
        <v>8160963550905900</v>
      </c>
      <c r="B92" s="71">
        <f>ExDivTree!B92</f>
        <v>3.2189325471216556E-15</v>
      </c>
      <c r="C92" s="71">
        <f>ExDivTree!C92</f>
        <v>2.6377035897680631E-15</v>
      </c>
      <c r="D92" s="177">
        <f>ExDivTree!D92</f>
        <v>88</v>
      </c>
      <c r="CO92" s="17">
        <f>IF(CO$3="","",IF(CO$3=Steps,MAX(IF(CallPut=1,UndTree!CO92-Strike,Strike-UndTree!CO92),0),MAX((2-AmEur)*IF(CallPut=1,UndTree!CO92-Strike,Strike-UndTree!CO92),(UpProb*CP92+DownProb*CP93)*StepDiscount)))</f>
        <v>0</v>
      </c>
      <c r="CP92" s="17">
        <f>IF(CP$3="","",IF(CP$3=Steps,MAX(IF(CallPut=1,UndTree!CP92-Strike,Strike-UndTree!CP92),0),MAX((2-AmEur)*IF(CallPut=1,UndTree!CP92-Strike,Strike-UndTree!CP92),(UpProb*CQ92+DownProb*CQ93)*StepDiscount)))</f>
        <v>0</v>
      </c>
      <c r="CQ92" s="17">
        <f>IF(CQ$3="","",IF(CQ$3=Steps,MAX(IF(CallPut=1,UndTree!CQ92-Strike,Strike-UndTree!CQ92),0),MAX((2-AmEur)*IF(CallPut=1,UndTree!CQ92-Strike,Strike-UndTree!CQ92),(UpProb*CR92+DownProb*CR93)*StepDiscount)))</f>
        <v>0</v>
      </c>
      <c r="CR92" s="17">
        <f>IF(CR$3="","",IF(CR$3=Steps,MAX(IF(CallPut=1,UndTree!CR92-Strike,Strike-UndTree!CR92),0),MAX((2-AmEur)*IF(CallPut=1,UndTree!CR92-Strike,Strike-UndTree!CR92),(UpProb*CS92+DownProb*CS93)*StepDiscount)))</f>
        <v>0</v>
      </c>
      <c r="CS92" s="17">
        <f>IF(CS$3="","",IF(CS$3=Steps,MAX(IF(CallPut=1,UndTree!CS92-Strike,Strike-UndTree!CS92),0),MAX((2-AmEur)*IF(CallPut=1,UndTree!CS92-Strike,Strike-UndTree!CS92),(UpProb*CT92+DownProb*CT93)*StepDiscount)))</f>
        <v>0</v>
      </c>
      <c r="CT92" s="17">
        <f>IF(CT$3="","",IF(CT$3=Steps,MAX(IF(CallPut=1,UndTree!CT92-Strike,Strike-UndTree!CT92),0),MAX((2-AmEur)*IF(CallPut=1,UndTree!CT92-Strike,Strike-UndTree!CT92),(UpProb*CU92+DownProb*CU93)*StepDiscount)))</f>
        <v>0</v>
      </c>
      <c r="CU92" s="17">
        <f>IF(CU$3="","",IF(CU$3=Steps,MAX(IF(CallPut=1,UndTree!CU92-Strike,Strike-UndTree!CU92),0),MAX((2-AmEur)*IF(CallPut=1,UndTree!CU92-Strike,Strike-UndTree!CU92),(UpProb*CV92+DownProb*CV93)*StepDiscount)))</f>
        <v>0</v>
      </c>
      <c r="CV92" s="17">
        <f>IF(CV$3="","",IF(CV$3=Steps,MAX(IF(CallPut=1,UndTree!CV92-Strike,Strike-UndTree!CV92),0),MAX((2-AmEur)*IF(CallPut=1,UndTree!CV92-Strike,Strike-UndTree!CV92),(UpProb*CW92+DownProb*CW93)*StepDiscount)))</f>
        <v>0</v>
      </c>
      <c r="CW92" s="17">
        <f>IF(CW$3="","",IF(CW$3=Steps,MAX(IF(CallPut=1,UndTree!CW92-Strike,Strike-UndTree!CW92),0),MAX((2-AmEur)*IF(CallPut=1,UndTree!CW92-Strike,Strike-UndTree!CW92),(UpProb*CX92+DownProb*CX93)*StepDiscount)))</f>
        <v>0</v>
      </c>
      <c r="CX92" s="17">
        <f>IF(CX$3="","",IF(CX$3=Steps,MAX(IF(CallPut=1,UndTree!CX92-Strike,Strike-UndTree!CX92),0),MAX((2-AmEur)*IF(CallPut=1,UndTree!CX92-Strike,Strike-UndTree!CX92),(UpProb*CY92+DownProb*CY93)*StepDiscount)))</f>
        <v>0</v>
      </c>
      <c r="CY92" s="17">
        <f>IF(CY$3="","",IF(CY$3=Steps,MAX(IF(CallPut=1,UndTree!CY92-Strike,Strike-UndTree!CY92),0),MAX((2-AmEur)*IF(CallPut=1,UndTree!CY92-Strike,Strike-UndTree!CY92),(UpProb*CZ92+DownProb*CZ93)*StepDiscount)))</f>
        <v>0</v>
      </c>
      <c r="CZ92" s="17">
        <f>IF(CZ$3="","",IF(CZ$3=Steps,MAX(IF(CallPut=1,UndTree!CZ92-Strike,Strike-UndTree!CZ92),0),MAX((2-AmEur)*IF(CallPut=1,UndTree!CZ92-Strike,Strike-UndTree!CZ92),(UpProb*DA92+DownProb*DA93)*StepDiscount)))</f>
        <v>0</v>
      </c>
      <c r="DA92" s="17">
        <f>IF(DA$3="","",IF(DA$3=Steps,MAX(IF(CallPut=1,UndTree!DA92-Strike,Strike-UndTree!DA92),0),MAX((2-AmEur)*IF(CallPut=1,UndTree!DA92-Strike,Strike-UndTree!DA92),(UpProb*DB92+DownProb*DB93)*StepDiscount)))</f>
        <v>0</v>
      </c>
      <c r="DB92" s="17">
        <f>IF(DB$3="","",IF(DB$3=Steps,MAX(IF(CallPut=1,UndTree!DB92-Strike,Strike-UndTree!DB92),0),MAX((2-AmEur)*IF(CallPut=1,UndTree!DB92-Strike,Strike-UndTree!DB92),(UpProb*DC92+DownProb*DC93)*StepDiscount)))</f>
        <v>0</v>
      </c>
    </row>
    <row r="93" spans="1:106" x14ac:dyDescent="0.2">
      <c r="A93">
        <f>ExDivTree!A93</f>
        <v>1192050855750300.2</v>
      </c>
      <c r="B93" s="71">
        <f>ExDivTree!B93</f>
        <v>4.7018115856833181E-16</v>
      </c>
      <c r="C93" s="71">
        <f>ExDivTree!C93</f>
        <v>3.832455796192146E-16</v>
      </c>
      <c r="D93" s="177">
        <f>ExDivTree!D93</f>
        <v>89</v>
      </c>
      <c r="CP93" s="17">
        <f>IF(CP$3="","",IF(CP$3=Steps,MAX(IF(CallPut=1,UndTree!CP93-Strike,Strike-UndTree!CP93),0),MAX((2-AmEur)*IF(CallPut=1,UndTree!CP93-Strike,Strike-UndTree!CP93),(UpProb*CQ93+DownProb*CQ94)*StepDiscount)))</f>
        <v>0</v>
      </c>
      <c r="CQ93" s="17">
        <f>IF(CQ$3="","",IF(CQ$3=Steps,MAX(IF(CallPut=1,UndTree!CQ93-Strike,Strike-UndTree!CQ93),0),MAX((2-AmEur)*IF(CallPut=1,UndTree!CQ93-Strike,Strike-UndTree!CQ93),(UpProb*CR93+DownProb*CR94)*StepDiscount)))</f>
        <v>0</v>
      </c>
      <c r="CR93" s="17">
        <f>IF(CR$3="","",IF(CR$3=Steps,MAX(IF(CallPut=1,UndTree!CR93-Strike,Strike-UndTree!CR93),0),MAX((2-AmEur)*IF(CallPut=1,UndTree!CR93-Strike,Strike-UndTree!CR93),(UpProb*CS93+DownProb*CS94)*StepDiscount)))</f>
        <v>0</v>
      </c>
      <c r="CS93" s="17">
        <f>IF(CS$3="","",IF(CS$3=Steps,MAX(IF(CallPut=1,UndTree!CS93-Strike,Strike-UndTree!CS93),0),MAX((2-AmEur)*IF(CallPut=1,UndTree!CS93-Strike,Strike-UndTree!CS93),(UpProb*CT93+DownProb*CT94)*StepDiscount)))</f>
        <v>0</v>
      </c>
      <c r="CT93" s="17">
        <f>IF(CT$3="","",IF(CT$3=Steps,MAX(IF(CallPut=1,UndTree!CT93-Strike,Strike-UndTree!CT93),0),MAX((2-AmEur)*IF(CallPut=1,UndTree!CT93-Strike,Strike-UndTree!CT93),(UpProb*CU93+DownProb*CU94)*StepDiscount)))</f>
        <v>0</v>
      </c>
      <c r="CU93" s="17">
        <f>IF(CU$3="","",IF(CU$3=Steps,MAX(IF(CallPut=1,UndTree!CU93-Strike,Strike-UndTree!CU93),0),MAX((2-AmEur)*IF(CallPut=1,UndTree!CU93-Strike,Strike-UndTree!CU93),(UpProb*CV93+DownProb*CV94)*StepDiscount)))</f>
        <v>0</v>
      </c>
      <c r="CV93" s="17">
        <f>IF(CV$3="","",IF(CV$3=Steps,MAX(IF(CallPut=1,UndTree!CV93-Strike,Strike-UndTree!CV93),0),MAX((2-AmEur)*IF(CallPut=1,UndTree!CV93-Strike,Strike-UndTree!CV93),(UpProb*CW93+DownProb*CW94)*StepDiscount)))</f>
        <v>0</v>
      </c>
      <c r="CW93" s="17">
        <f>IF(CW$3="","",IF(CW$3=Steps,MAX(IF(CallPut=1,UndTree!CW93-Strike,Strike-UndTree!CW93),0),MAX((2-AmEur)*IF(CallPut=1,UndTree!CW93-Strike,Strike-UndTree!CW93),(UpProb*CX93+DownProb*CX94)*StepDiscount)))</f>
        <v>0</v>
      </c>
      <c r="CX93" s="17">
        <f>IF(CX$3="","",IF(CX$3=Steps,MAX(IF(CallPut=1,UndTree!CX93-Strike,Strike-UndTree!CX93),0),MAX((2-AmEur)*IF(CallPut=1,UndTree!CX93-Strike,Strike-UndTree!CX93),(UpProb*CY93+DownProb*CY94)*StepDiscount)))</f>
        <v>0</v>
      </c>
      <c r="CY93" s="17">
        <f>IF(CY$3="","",IF(CY$3=Steps,MAX(IF(CallPut=1,UndTree!CY93-Strike,Strike-UndTree!CY93),0),MAX((2-AmEur)*IF(CallPut=1,UndTree!CY93-Strike,Strike-UndTree!CY93),(UpProb*CZ93+DownProb*CZ94)*StepDiscount)))</f>
        <v>0</v>
      </c>
      <c r="CZ93" s="17">
        <f>IF(CZ$3="","",IF(CZ$3=Steps,MAX(IF(CallPut=1,UndTree!CZ93-Strike,Strike-UndTree!CZ93),0),MAX((2-AmEur)*IF(CallPut=1,UndTree!CZ93-Strike,Strike-UndTree!CZ93),(UpProb*DA93+DownProb*DA94)*StepDiscount)))</f>
        <v>0</v>
      </c>
      <c r="DA93" s="17">
        <f>IF(DA$3="","",IF(DA$3=Steps,MAX(IF(CallPut=1,UndTree!DA93-Strike,Strike-UndTree!DA93),0),MAX((2-AmEur)*IF(CallPut=1,UndTree!DA93-Strike,Strike-UndTree!DA93),(UpProb*DB93+DownProb*DB94)*StepDiscount)))</f>
        <v>0</v>
      </c>
      <c r="DB93" s="17">
        <f>IF(DB$3="","",IF(DB$3=Steps,MAX(IF(CallPut=1,UndTree!DB93-Strike,Strike-UndTree!DB93),0),MAX((2-AmEur)*IF(CallPut=1,UndTree!DB93-Strike,Strike-UndTree!DB93),(UpProb*DC93+DownProb*DC94)*StepDiscount)))</f>
        <v>0</v>
      </c>
    </row>
    <row r="94" spans="1:106" x14ac:dyDescent="0.2">
      <c r="A94">
        <f>ExDivTree!A94</f>
        <v>158940114100040.06</v>
      </c>
      <c r="B94" s="71">
        <f>ExDivTree!B94</f>
        <v>6.2690821142444253E-17</v>
      </c>
      <c r="C94" s="71">
        <f>ExDivTree!C94</f>
        <v>5.0829250899952012E-17</v>
      </c>
      <c r="D94" s="177">
        <f>ExDivTree!D94</f>
        <v>90</v>
      </c>
      <c r="CQ94" s="17">
        <f>IF(CQ$3="","",IF(CQ$3=Steps,MAX(IF(CallPut=1,UndTree!CQ94-Strike,Strike-UndTree!CQ94),0),MAX((2-AmEur)*IF(CallPut=1,UndTree!CQ94-Strike,Strike-UndTree!CQ94),(UpProb*CR94+DownProb*CR95)*StepDiscount)))</f>
        <v>0</v>
      </c>
      <c r="CR94" s="17">
        <f>IF(CR$3="","",IF(CR$3=Steps,MAX(IF(CallPut=1,UndTree!CR94-Strike,Strike-UndTree!CR94),0),MAX((2-AmEur)*IF(CallPut=1,UndTree!CR94-Strike,Strike-UndTree!CR94),(UpProb*CS94+DownProb*CS95)*StepDiscount)))</f>
        <v>0</v>
      </c>
      <c r="CS94" s="17">
        <f>IF(CS$3="","",IF(CS$3=Steps,MAX(IF(CallPut=1,UndTree!CS94-Strike,Strike-UndTree!CS94),0),MAX((2-AmEur)*IF(CallPut=1,UndTree!CS94-Strike,Strike-UndTree!CS94),(UpProb*CT94+DownProb*CT95)*StepDiscount)))</f>
        <v>0</v>
      </c>
      <c r="CT94" s="17">
        <f>IF(CT$3="","",IF(CT$3=Steps,MAX(IF(CallPut=1,UndTree!CT94-Strike,Strike-UndTree!CT94),0),MAX((2-AmEur)*IF(CallPut=1,UndTree!CT94-Strike,Strike-UndTree!CT94),(UpProb*CU94+DownProb*CU95)*StepDiscount)))</f>
        <v>0</v>
      </c>
      <c r="CU94" s="17">
        <f>IF(CU$3="","",IF(CU$3=Steps,MAX(IF(CallPut=1,UndTree!CU94-Strike,Strike-UndTree!CU94),0),MAX((2-AmEur)*IF(CallPut=1,UndTree!CU94-Strike,Strike-UndTree!CU94),(UpProb*CV94+DownProb*CV95)*StepDiscount)))</f>
        <v>0</v>
      </c>
      <c r="CV94" s="17">
        <f>IF(CV$3="","",IF(CV$3=Steps,MAX(IF(CallPut=1,UndTree!CV94-Strike,Strike-UndTree!CV94),0),MAX((2-AmEur)*IF(CallPut=1,UndTree!CV94-Strike,Strike-UndTree!CV94),(UpProb*CW94+DownProb*CW95)*StepDiscount)))</f>
        <v>0</v>
      </c>
      <c r="CW94" s="17">
        <f>IF(CW$3="","",IF(CW$3=Steps,MAX(IF(CallPut=1,UndTree!CW94-Strike,Strike-UndTree!CW94),0),MAX((2-AmEur)*IF(CallPut=1,UndTree!CW94-Strike,Strike-UndTree!CW94),(UpProb*CX94+DownProb*CX95)*StepDiscount)))</f>
        <v>0</v>
      </c>
      <c r="CX94" s="17">
        <f>IF(CX$3="","",IF(CX$3=Steps,MAX(IF(CallPut=1,UndTree!CX94-Strike,Strike-UndTree!CX94),0),MAX((2-AmEur)*IF(CallPut=1,UndTree!CX94-Strike,Strike-UndTree!CX94),(UpProb*CY94+DownProb*CY95)*StepDiscount)))</f>
        <v>0</v>
      </c>
      <c r="CY94" s="17">
        <f>IF(CY$3="","",IF(CY$3=Steps,MAX(IF(CallPut=1,UndTree!CY94-Strike,Strike-UndTree!CY94),0),MAX((2-AmEur)*IF(CallPut=1,UndTree!CY94-Strike,Strike-UndTree!CY94),(UpProb*CZ94+DownProb*CZ95)*StepDiscount)))</f>
        <v>0</v>
      </c>
      <c r="CZ94" s="17">
        <f>IF(CZ$3="","",IF(CZ$3=Steps,MAX(IF(CallPut=1,UndTree!CZ94-Strike,Strike-UndTree!CZ94),0),MAX((2-AmEur)*IF(CallPut=1,UndTree!CZ94-Strike,Strike-UndTree!CZ94),(UpProb*DA94+DownProb*DA95)*StepDiscount)))</f>
        <v>0</v>
      </c>
      <c r="DA94" s="17">
        <f>IF(DA$3="","",IF(DA$3=Steps,MAX(IF(CallPut=1,UndTree!DA94-Strike,Strike-UndTree!DA94),0),MAX((2-AmEur)*IF(CallPut=1,UndTree!DA94-Strike,Strike-UndTree!DA94),(UpProb*DB94+DownProb*DB95)*StepDiscount)))</f>
        <v>0</v>
      </c>
      <c r="DB94" s="17">
        <f>IF(DB$3="","",IF(DB$3=Steps,MAX(IF(CallPut=1,UndTree!DB94-Strike,Strike-UndTree!DB94),0),MAX((2-AmEur)*IF(CallPut=1,UndTree!DB94-Strike,Strike-UndTree!DB94),(UpProb*DC94+DownProb*DC95)*StepDiscount)))</f>
        <v>0</v>
      </c>
    </row>
    <row r="95" spans="1:106" x14ac:dyDescent="0.2">
      <c r="A95">
        <f>ExDivTree!A95</f>
        <v>19212541264840</v>
      </c>
      <c r="B95" s="71">
        <f>ExDivTree!B95</f>
        <v>7.5780113468888628E-18</v>
      </c>
      <c r="C95" s="71">
        <f>ExDivTree!C95</f>
        <v>6.1117111487461991E-18</v>
      </c>
      <c r="D95" s="177">
        <f>ExDivTree!D95</f>
        <v>91</v>
      </c>
      <c r="CR95" s="17">
        <f>IF(CR$3="","",IF(CR$3=Steps,MAX(IF(CallPut=1,UndTree!CR95-Strike,Strike-UndTree!CR95),0),MAX((2-AmEur)*IF(CallPut=1,UndTree!CR95-Strike,Strike-UndTree!CR95),(UpProb*CS95+DownProb*CS96)*StepDiscount)))</f>
        <v>0</v>
      </c>
      <c r="CS95" s="17">
        <f>IF(CS$3="","",IF(CS$3=Steps,MAX(IF(CallPut=1,UndTree!CS95-Strike,Strike-UndTree!CS95),0),MAX((2-AmEur)*IF(CallPut=1,UndTree!CS95-Strike,Strike-UndTree!CS95),(UpProb*CT95+DownProb*CT96)*StepDiscount)))</f>
        <v>0</v>
      </c>
      <c r="CT95" s="17">
        <f>IF(CT$3="","",IF(CT$3=Steps,MAX(IF(CallPut=1,UndTree!CT95-Strike,Strike-UndTree!CT95),0),MAX((2-AmEur)*IF(CallPut=1,UndTree!CT95-Strike,Strike-UndTree!CT95),(UpProb*CU95+DownProb*CU96)*StepDiscount)))</f>
        <v>0</v>
      </c>
      <c r="CU95" s="17">
        <f>IF(CU$3="","",IF(CU$3=Steps,MAX(IF(CallPut=1,UndTree!CU95-Strike,Strike-UndTree!CU95),0),MAX((2-AmEur)*IF(CallPut=1,UndTree!CU95-Strike,Strike-UndTree!CU95),(UpProb*CV95+DownProb*CV96)*StepDiscount)))</f>
        <v>0</v>
      </c>
      <c r="CV95" s="17">
        <f>IF(CV$3="","",IF(CV$3=Steps,MAX(IF(CallPut=1,UndTree!CV95-Strike,Strike-UndTree!CV95),0),MAX((2-AmEur)*IF(CallPut=1,UndTree!CV95-Strike,Strike-UndTree!CV95),(UpProb*CW95+DownProb*CW96)*StepDiscount)))</f>
        <v>0</v>
      </c>
      <c r="CW95" s="17">
        <f>IF(CW$3="","",IF(CW$3=Steps,MAX(IF(CallPut=1,UndTree!CW95-Strike,Strike-UndTree!CW95),0),MAX((2-AmEur)*IF(CallPut=1,UndTree!CW95-Strike,Strike-UndTree!CW95),(UpProb*CX95+DownProb*CX96)*StepDiscount)))</f>
        <v>0</v>
      </c>
      <c r="CX95" s="17">
        <f>IF(CX$3="","",IF(CX$3=Steps,MAX(IF(CallPut=1,UndTree!CX95-Strike,Strike-UndTree!CX95),0),MAX((2-AmEur)*IF(CallPut=1,UndTree!CX95-Strike,Strike-UndTree!CX95),(UpProb*CY95+DownProb*CY96)*StepDiscount)))</f>
        <v>0</v>
      </c>
      <c r="CY95" s="17">
        <f>IF(CY$3="","",IF(CY$3=Steps,MAX(IF(CallPut=1,UndTree!CY95-Strike,Strike-UndTree!CY95),0),MAX((2-AmEur)*IF(CallPut=1,UndTree!CY95-Strike,Strike-UndTree!CY95),(UpProb*CZ95+DownProb*CZ96)*StepDiscount)))</f>
        <v>0</v>
      </c>
      <c r="CZ95" s="17">
        <f>IF(CZ$3="","",IF(CZ$3=Steps,MAX(IF(CallPut=1,UndTree!CZ95-Strike,Strike-UndTree!CZ95),0),MAX((2-AmEur)*IF(CallPut=1,UndTree!CZ95-Strike,Strike-UndTree!CZ95),(UpProb*DA95+DownProb*DA96)*StepDiscount)))</f>
        <v>0</v>
      </c>
      <c r="DA95" s="17">
        <f>IF(DA$3="","",IF(DA$3=Steps,MAX(IF(CallPut=1,UndTree!DA95-Strike,Strike-UndTree!DA95),0),MAX((2-AmEur)*IF(CallPut=1,UndTree!DA95-Strike,Strike-UndTree!DA95),(UpProb*DB95+DownProb*DB96)*StepDiscount)))</f>
        <v>0</v>
      </c>
      <c r="DB95" s="17">
        <f>IF(DB$3="","",IF(DB$3=Steps,MAX(IF(CallPut=1,UndTree!DB95-Strike,Strike-UndTree!DB95),0),MAX((2-AmEur)*IF(CallPut=1,UndTree!DB95-Strike,Strike-UndTree!DB95),(UpProb*DC95+DownProb*DC96)*StepDiscount)))</f>
        <v>0</v>
      </c>
    </row>
    <row r="96" spans="1:106" x14ac:dyDescent="0.2">
      <c r="A96">
        <f>ExDivTree!A96</f>
        <v>2088319702700</v>
      </c>
      <c r="B96" s="71">
        <f>ExDivTree!B96</f>
        <v>8.2369688553139813E-19</v>
      </c>
      <c r="C96" s="71">
        <f>ExDivTree!C96</f>
        <v>6.6080422553543262E-19</v>
      </c>
      <c r="D96" s="177">
        <f>ExDivTree!D96</f>
        <v>92</v>
      </c>
      <c r="CS96" s="17">
        <f>IF(CS$3="","",IF(CS$3=Steps,MAX(IF(CallPut=1,UndTree!CS96-Strike,Strike-UndTree!CS96),0),MAX((2-AmEur)*IF(CallPut=1,UndTree!CS96-Strike,Strike-UndTree!CS96),(UpProb*CT96+DownProb*CT97)*StepDiscount)))</f>
        <v>0</v>
      </c>
      <c r="CT96" s="17">
        <f>IF(CT$3="","",IF(CT$3=Steps,MAX(IF(CallPut=1,UndTree!CT96-Strike,Strike-UndTree!CT96),0),MAX((2-AmEur)*IF(CallPut=1,UndTree!CT96-Strike,Strike-UndTree!CT96),(UpProb*CU96+DownProb*CU97)*StepDiscount)))</f>
        <v>0</v>
      </c>
      <c r="CU96" s="17">
        <f>IF(CU$3="","",IF(CU$3=Steps,MAX(IF(CallPut=1,UndTree!CU96-Strike,Strike-UndTree!CU96),0),MAX((2-AmEur)*IF(CallPut=1,UndTree!CU96-Strike,Strike-UndTree!CU96),(UpProb*CV96+DownProb*CV97)*StepDiscount)))</f>
        <v>0</v>
      </c>
      <c r="CV96" s="17">
        <f>IF(CV$3="","",IF(CV$3=Steps,MAX(IF(CallPut=1,UndTree!CV96-Strike,Strike-UndTree!CV96),0),MAX((2-AmEur)*IF(CallPut=1,UndTree!CV96-Strike,Strike-UndTree!CV96),(UpProb*CW96+DownProb*CW97)*StepDiscount)))</f>
        <v>0</v>
      </c>
      <c r="CW96" s="17">
        <f>IF(CW$3="","",IF(CW$3=Steps,MAX(IF(CallPut=1,UndTree!CW96-Strike,Strike-UndTree!CW96),0),MAX((2-AmEur)*IF(CallPut=1,UndTree!CW96-Strike,Strike-UndTree!CW96),(UpProb*CX96+DownProb*CX97)*StepDiscount)))</f>
        <v>0</v>
      </c>
      <c r="CX96" s="17">
        <f>IF(CX$3="","",IF(CX$3=Steps,MAX(IF(CallPut=1,UndTree!CX96-Strike,Strike-UndTree!CX96),0),MAX((2-AmEur)*IF(CallPut=1,UndTree!CX96-Strike,Strike-UndTree!CX96),(UpProb*CY96+DownProb*CY97)*StepDiscount)))</f>
        <v>0</v>
      </c>
      <c r="CY96" s="17">
        <f>IF(CY$3="","",IF(CY$3=Steps,MAX(IF(CallPut=1,UndTree!CY96-Strike,Strike-UndTree!CY96),0),MAX((2-AmEur)*IF(CallPut=1,UndTree!CY96-Strike,Strike-UndTree!CY96),(UpProb*CZ96+DownProb*CZ97)*StepDiscount)))</f>
        <v>0</v>
      </c>
      <c r="CZ96" s="17">
        <f>IF(CZ$3="","",IF(CZ$3=Steps,MAX(IF(CallPut=1,UndTree!CZ96-Strike,Strike-UndTree!CZ96),0),MAX((2-AmEur)*IF(CallPut=1,UndTree!CZ96-Strike,Strike-UndTree!CZ96),(UpProb*DA96+DownProb*DA97)*StepDiscount)))</f>
        <v>0</v>
      </c>
      <c r="DA96" s="17">
        <f>IF(DA$3="","",IF(DA$3=Steps,MAX(IF(CallPut=1,UndTree!DA96-Strike,Strike-UndTree!DA96),0),MAX((2-AmEur)*IF(CallPut=1,UndTree!DA96-Strike,Strike-UndTree!DA96),(UpProb*DB96+DownProb*DB97)*StepDiscount)))</f>
        <v>0</v>
      </c>
      <c r="DB96" s="17">
        <f>IF(DB$3="","",IF(DB$3=Steps,MAX(IF(CallPut=1,UndTree!DB96-Strike,Strike-UndTree!DB96),0),MAX((2-AmEur)*IF(CallPut=1,UndTree!DB96-Strike,Strike-UndTree!DB96),(UpProb*DC96+DownProb*DC97)*StepDiscount)))</f>
        <v>0</v>
      </c>
    </row>
    <row r="97" spans="1:106" x14ac:dyDescent="0.2">
      <c r="A97">
        <f>ExDivTree!A97</f>
        <v>202095455099.99994</v>
      </c>
      <c r="B97" s="71">
        <f>ExDivTree!B97</f>
        <v>7.9712601825619149E-20</v>
      </c>
      <c r="C97" s="71">
        <f>ExDivTree!C97</f>
        <v>6.3610702324164437E-20</v>
      </c>
      <c r="D97" s="177">
        <f>ExDivTree!D97</f>
        <v>93</v>
      </c>
      <c r="CT97" s="17">
        <f>IF(CT$3="","",IF(CT$3=Steps,MAX(IF(CallPut=1,UndTree!CT97-Strike,Strike-UndTree!CT97),0),MAX((2-AmEur)*IF(CallPut=1,UndTree!CT97-Strike,Strike-UndTree!CT97),(UpProb*CU97+DownProb*CU98)*StepDiscount)))</f>
        <v>0</v>
      </c>
      <c r="CU97" s="17">
        <f>IF(CU$3="","",IF(CU$3=Steps,MAX(IF(CallPut=1,UndTree!CU97-Strike,Strike-UndTree!CU97),0),MAX((2-AmEur)*IF(CallPut=1,UndTree!CU97-Strike,Strike-UndTree!CU97),(UpProb*CV97+DownProb*CV98)*StepDiscount)))</f>
        <v>0</v>
      </c>
      <c r="CV97" s="17">
        <f>IF(CV$3="","",IF(CV$3=Steps,MAX(IF(CallPut=1,UndTree!CV97-Strike,Strike-UndTree!CV97),0),MAX((2-AmEur)*IF(CallPut=1,UndTree!CV97-Strike,Strike-UndTree!CV97),(UpProb*CW97+DownProb*CW98)*StepDiscount)))</f>
        <v>0</v>
      </c>
      <c r="CW97" s="17">
        <f>IF(CW$3="","",IF(CW$3=Steps,MAX(IF(CallPut=1,UndTree!CW97-Strike,Strike-UndTree!CW97),0),MAX((2-AmEur)*IF(CallPut=1,UndTree!CW97-Strike,Strike-UndTree!CW97),(UpProb*CX97+DownProb*CX98)*StepDiscount)))</f>
        <v>0</v>
      </c>
      <c r="CX97" s="17">
        <f>IF(CX$3="","",IF(CX$3=Steps,MAX(IF(CallPut=1,UndTree!CX97-Strike,Strike-UndTree!CX97),0),MAX((2-AmEur)*IF(CallPut=1,UndTree!CX97-Strike,Strike-UndTree!CX97),(UpProb*CY97+DownProb*CY98)*StepDiscount)))</f>
        <v>0</v>
      </c>
      <c r="CY97" s="17">
        <f>IF(CY$3="","",IF(CY$3=Steps,MAX(IF(CallPut=1,UndTree!CY97-Strike,Strike-UndTree!CY97),0),MAX((2-AmEur)*IF(CallPut=1,UndTree!CY97-Strike,Strike-UndTree!CY97),(UpProb*CZ97+DownProb*CZ98)*StepDiscount)))</f>
        <v>0</v>
      </c>
      <c r="CZ97" s="17">
        <f>IF(CZ$3="","",IF(CZ$3=Steps,MAX(IF(CallPut=1,UndTree!CZ97-Strike,Strike-UndTree!CZ97),0),MAX((2-AmEur)*IF(CallPut=1,UndTree!CZ97-Strike,Strike-UndTree!CZ97),(UpProb*DA97+DownProb*DA98)*StepDiscount)))</f>
        <v>0</v>
      </c>
      <c r="DA97" s="17">
        <f>IF(DA$3="","",IF(DA$3=Steps,MAX(IF(CallPut=1,UndTree!DA97-Strike,Strike-UndTree!DA97),0),MAX((2-AmEur)*IF(CallPut=1,UndTree!DA97-Strike,Strike-UndTree!DA97),(UpProb*DB97+DownProb*DB98)*StepDiscount)))</f>
        <v>0</v>
      </c>
      <c r="DB97" s="17">
        <f>IF(DB$3="","",IF(DB$3=Steps,MAX(IF(CallPut=1,UndTree!DB97-Strike,Strike-UndTree!DB97),0),MAX((2-AmEur)*IF(CallPut=1,UndTree!DB97-Strike,Strike-UndTree!DB97),(UpProb*DC97+DownProb*DC98)*StepDiscount)))</f>
        <v>0</v>
      </c>
    </row>
    <row r="98" spans="1:106" x14ac:dyDescent="0.2">
      <c r="A98">
        <f>ExDivTree!A98</f>
        <v>17199613200</v>
      </c>
      <c r="B98" s="71">
        <f>ExDivTree!B98</f>
        <v>6.7840512192016318E-21</v>
      </c>
      <c r="C98" s="71">
        <f>ExDivTree!C98</f>
        <v>5.3850549881840646E-21</v>
      </c>
      <c r="D98" s="177">
        <f>ExDivTree!D98</f>
        <v>94</v>
      </c>
      <c r="CU98" s="17">
        <f>IF(CU$3="","",IF(CU$3=Steps,MAX(IF(CallPut=1,UndTree!CU98-Strike,Strike-UndTree!CU98),0),MAX((2-AmEur)*IF(CallPut=1,UndTree!CU98-Strike,Strike-UndTree!CU98),(UpProb*CV98+DownProb*CV99)*StepDiscount)))</f>
        <v>0</v>
      </c>
      <c r="CV98" s="17">
        <f>IF(CV$3="","",IF(CV$3=Steps,MAX(IF(CallPut=1,UndTree!CV98-Strike,Strike-UndTree!CV98),0),MAX((2-AmEur)*IF(CallPut=1,UndTree!CV98-Strike,Strike-UndTree!CV98),(UpProb*CW98+DownProb*CW99)*StepDiscount)))</f>
        <v>0</v>
      </c>
      <c r="CW98" s="17">
        <f>IF(CW$3="","",IF(CW$3=Steps,MAX(IF(CallPut=1,UndTree!CW98-Strike,Strike-UndTree!CW98),0),MAX((2-AmEur)*IF(CallPut=1,UndTree!CW98-Strike,Strike-UndTree!CW98),(UpProb*CX98+DownProb*CX99)*StepDiscount)))</f>
        <v>0</v>
      </c>
      <c r="CX98" s="17">
        <f>IF(CX$3="","",IF(CX$3=Steps,MAX(IF(CallPut=1,UndTree!CX98-Strike,Strike-UndTree!CX98),0),MAX((2-AmEur)*IF(CallPut=1,UndTree!CX98-Strike,Strike-UndTree!CX98),(UpProb*CY98+DownProb*CY99)*StepDiscount)))</f>
        <v>0</v>
      </c>
      <c r="CY98" s="17">
        <f>IF(CY$3="","",IF(CY$3=Steps,MAX(IF(CallPut=1,UndTree!CY98-Strike,Strike-UndTree!CY98),0),MAX((2-AmEur)*IF(CallPut=1,UndTree!CY98-Strike,Strike-UndTree!CY98),(UpProb*CZ98+DownProb*CZ99)*StepDiscount)))</f>
        <v>0</v>
      </c>
      <c r="CZ98" s="17">
        <f>IF(CZ$3="","",IF(CZ$3=Steps,MAX(IF(CallPut=1,UndTree!CZ98-Strike,Strike-UndTree!CZ98),0),MAX((2-AmEur)*IF(CallPut=1,UndTree!CZ98-Strike,Strike-UndTree!CZ98),(UpProb*DA98+DownProb*DA99)*StepDiscount)))</f>
        <v>0</v>
      </c>
      <c r="DA98" s="17">
        <f>IF(DA$3="","",IF(DA$3=Steps,MAX(IF(CallPut=1,UndTree!DA98-Strike,Strike-UndTree!DA98),0),MAX((2-AmEur)*IF(CallPut=1,UndTree!DA98-Strike,Strike-UndTree!DA98),(UpProb*DB98+DownProb*DB99)*StepDiscount)))</f>
        <v>0</v>
      </c>
      <c r="DB98" s="17">
        <f>IF(DB$3="","",IF(DB$3=Steps,MAX(IF(CallPut=1,UndTree!DB98-Strike,Strike-UndTree!DB98),0),MAX((2-AmEur)*IF(CallPut=1,UndTree!DB98-Strike,Strike-UndTree!DB98),(UpProb*DC98+DownProb*DC99)*StepDiscount)))</f>
        <v>0</v>
      </c>
    </row>
    <row r="99" spans="1:106" x14ac:dyDescent="0.2">
      <c r="A99">
        <f>ExDivTree!A99</f>
        <v>1267339920.0000002</v>
      </c>
      <c r="B99" s="71">
        <f>ExDivTree!B99</f>
        <v>4.9987745825696244E-22</v>
      </c>
      <c r="C99" s="71">
        <f>ExDivTree!C99</f>
        <v>3.9469570034637146E-22</v>
      </c>
      <c r="D99" s="177">
        <f>ExDivTree!D99</f>
        <v>95</v>
      </c>
      <c r="CV99" s="17">
        <f>IF(CV$3="","",IF(CV$3=Steps,MAX(IF(CallPut=1,UndTree!CV99-Strike,Strike-UndTree!CV99),0),MAX((2-AmEur)*IF(CallPut=1,UndTree!CV99-Strike,Strike-UndTree!CV99),(UpProb*CW99+DownProb*CW100)*StepDiscount)))</f>
        <v>0</v>
      </c>
      <c r="CW99" s="17">
        <f>IF(CW$3="","",IF(CW$3=Steps,MAX(IF(CallPut=1,UndTree!CW99-Strike,Strike-UndTree!CW99),0),MAX((2-AmEur)*IF(CallPut=1,UndTree!CW99-Strike,Strike-UndTree!CW99),(UpProb*CX99+DownProb*CX100)*StepDiscount)))</f>
        <v>0</v>
      </c>
      <c r="CX99" s="17">
        <f>IF(CX$3="","",IF(CX$3=Steps,MAX(IF(CallPut=1,UndTree!CX99-Strike,Strike-UndTree!CX99),0),MAX((2-AmEur)*IF(CallPut=1,UndTree!CX99-Strike,Strike-UndTree!CX99),(UpProb*CY99+DownProb*CY100)*StepDiscount)))</f>
        <v>0</v>
      </c>
      <c r="CY99" s="17">
        <f>IF(CY$3="","",IF(CY$3=Steps,MAX(IF(CallPut=1,UndTree!CY99-Strike,Strike-UndTree!CY99),0),MAX((2-AmEur)*IF(CallPut=1,UndTree!CY99-Strike,Strike-UndTree!CY99),(UpProb*CZ99+DownProb*CZ100)*StepDiscount)))</f>
        <v>0</v>
      </c>
      <c r="CZ99" s="17">
        <f>IF(CZ$3="","",IF(CZ$3=Steps,MAX(IF(CallPut=1,UndTree!CZ99-Strike,Strike-UndTree!CZ99),0),MAX((2-AmEur)*IF(CallPut=1,UndTree!CZ99-Strike,Strike-UndTree!CZ99),(UpProb*DA99+DownProb*DA100)*StepDiscount)))</f>
        <v>0</v>
      </c>
      <c r="DA99" s="17">
        <f>IF(DA$3="","",IF(DA$3=Steps,MAX(IF(CallPut=1,UndTree!DA99-Strike,Strike-UndTree!DA99),0),MAX((2-AmEur)*IF(CallPut=1,UndTree!DA99-Strike,Strike-UndTree!DA99),(UpProb*DB99+DownProb*DB100)*StepDiscount)))</f>
        <v>0</v>
      </c>
      <c r="DB99" s="17">
        <f>IF(DB$3="","",IF(DB$3=Steps,MAX(IF(CallPut=1,UndTree!DB99-Strike,Strike-UndTree!DB99),0),MAX((2-AmEur)*IF(CallPut=1,UndTree!DB99-Strike,Strike-UndTree!DB99),(UpProb*DC99+DownProb*DC100)*StepDiscount)))</f>
        <v>0</v>
      </c>
    </row>
    <row r="100" spans="1:106" x14ac:dyDescent="0.2">
      <c r="A100">
        <f>ExDivTree!A100</f>
        <v>79208745</v>
      </c>
      <c r="B100" s="71">
        <f>ExDivTree!B100</f>
        <v>3.1242341141060146E-23</v>
      </c>
      <c r="C100" s="71">
        <f>ExDivTree!C100</f>
        <v>2.4538060395697288E-23</v>
      </c>
      <c r="D100" s="177">
        <f>ExDivTree!D100</f>
        <v>96</v>
      </c>
      <c r="CW100" s="17">
        <f>IF(CW$3="","",IF(CW$3=Steps,MAX(IF(CallPut=1,UndTree!CW100-Strike,Strike-UndTree!CW100),0),MAX((2-AmEur)*IF(CallPut=1,UndTree!CW100-Strike,Strike-UndTree!CW100),(UpProb*CX100+DownProb*CX101)*StepDiscount)))</f>
        <v>0</v>
      </c>
      <c r="CX100" s="17">
        <f>IF(CX$3="","",IF(CX$3=Steps,MAX(IF(CallPut=1,UndTree!CX100-Strike,Strike-UndTree!CX100),0),MAX((2-AmEur)*IF(CallPut=1,UndTree!CX100-Strike,Strike-UndTree!CX100),(UpProb*CY100+DownProb*CY101)*StepDiscount)))</f>
        <v>0</v>
      </c>
      <c r="CY100" s="17">
        <f>IF(CY$3="","",IF(CY$3=Steps,MAX(IF(CallPut=1,UndTree!CY100-Strike,Strike-UndTree!CY100),0),MAX((2-AmEur)*IF(CallPut=1,UndTree!CY100-Strike,Strike-UndTree!CY100),(UpProb*CZ100+DownProb*CZ101)*StepDiscount)))</f>
        <v>0</v>
      </c>
      <c r="CZ100" s="17">
        <f>IF(CZ$3="","",IF(CZ$3=Steps,MAX(IF(CallPut=1,UndTree!CZ100-Strike,Strike-UndTree!CZ100),0),MAX((2-AmEur)*IF(CallPut=1,UndTree!CZ100-Strike,Strike-UndTree!CZ100),(UpProb*DA100+DownProb*DA101)*StepDiscount)))</f>
        <v>0</v>
      </c>
      <c r="DA100" s="17">
        <f>IF(DA$3="","",IF(DA$3=Steps,MAX(IF(CallPut=1,UndTree!DA100-Strike,Strike-UndTree!DA100),0),MAX((2-AmEur)*IF(CallPut=1,UndTree!DA100-Strike,Strike-UndTree!DA100),(UpProb*DB100+DownProb*DB101)*StepDiscount)))</f>
        <v>0</v>
      </c>
      <c r="DB100" s="17">
        <f>IF(DB$3="","",IF(DB$3=Steps,MAX(IF(CallPut=1,UndTree!DB100-Strike,Strike-UndTree!DB100),0),MAX((2-AmEur)*IF(CallPut=1,UndTree!DB100-Strike,Strike-UndTree!DB100),(UpProb*DC100+DownProb*DC101)*StepDiscount)))</f>
        <v>0</v>
      </c>
    </row>
    <row r="101" spans="1:106" x14ac:dyDescent="0.2">
      <c r="A101">
        <f>ExDivTree!A101</f>
        <v>4082925</v>
      </c>
      <c r="B101" s="71">
        <f>ExDivTree!B101</f>
        <v>1.6104299557247498E-24</v>
      </c>
      <c r="C101" s="71">
        <f>ExDivTree!C101</f>
        <v>1.258161291113277E-24</v>
      </c>
      <c r="D101" s="177">
        <f>ExDivTree!D101</f>
        <v>97</v>
      </c>
      <c r="CX101" s="17">
        <f>IF(CX$3="","",IF(CX$3=Steps,MAX(IF(CallPut=1,UndTree!CX101-Strike,Strike-UndTree!CX101),0),MAX((2-AmEur)*IF(CallPut=1,UndTree!CX101-Strike,Strike-UndTree!CX101),(UpProb*CY101+DownProb*CY102)*StepDiscount)))</f>
        <v>0</v>
      </c>
      <c r="CY101" s="17">
        <f>IF(CY$3="","",IF(CY$3=Steps,MAX(IF(CallPut=1,UndTree!CY101-Strike,Strike-UndTree!CY101),0),MAX((2-AmEur)*IF(CallPut=1,UndTree!CY101-Strike,Strike-UndTree!CY101),(UpProb*CZ101+DownProb*CZ102)*StepDiscount)))</f>
        <v>0</v>
      </c>
      <c r="CZ101" s="17">
        <f>IF(CZ$3="","",IF(CZ$3=Steps,MAX(IF(CallPut=1,UndTree!CZ101-Strike,Strike-UndTree!CZ101),0),MAX((2-AmEur)*IF(CallPut=1,UndTree!CZ101-Strike,Strike-UndTree!CZ101),(UpProb*DA101+DownProb*DA102)*StepDiscount)))</f>
        <v>0</v>
      </c>
      <c r="DA101" s="17">
        <f>IF(DA$3="","",IF(DA$3=Steps,MAX(IF(CallPut=1,UndTree!DA101-Strike,Strike-UndTree!DA101),0),MAX((2-AmEur)*IF(CallPut=1,UndTree!DA101-Strike,Strike-UndTree!DA101),(UpProb*DB101+DownProb*DB102)*StepDiscount)))</f>
        <v>0</v>
      </c>
      <c r="DB101" s="17">
        <f>IF(DB$3="","",IF(DB$3=Steps,MAX(IF(CallPut=1,UndTree!DB101-Strike,Strike-UndTree!DB101),0),MAX((2-AmEur)*IF(CallPut=1,UndTree!DB101-Strike,Strike-UndTree!DB101),(UpProb*DC101+DownProb*DC102)*StepDiscount)))</f>
        <v>0</v>
      </c>
    </row>
    <row r="102" spans="1:106" x14ac:dyDescent="0.2">
      <c r="A102">
        <f>ExDivTree!A102</f>
        <v>166650.00000000003</v>
      </c>
      <c r="B102" s="71">
        <f>ExDivTree!B102</f>
        <v>6.573183492754082E-26</v>
      </c>
      <c r="C102" s="71">
        <f>ExDivTree!C102</f>
        <v>5.108201889723128E-26</v>
      </c>
      <c r="D102" s="177">
        <f>ExDivTree!D102</f>
        <v>98</v>
      </c>
      <c r="CY102" s="17">
        <f>IF(CY$3="","",IF(CY$3=Steps,MAX(IF(CallPut=1,UndTree!CY102-Strike,Strike-UndTree!CY102),0),MAX((2-AmEur)*IF(CallPut=1,UndTree!CY102-Strike,Strike-UndTree!CY102),(UpProb*CZ102+DownProb*CZ103)*StepDiscount)))</f>
        <v>0</v>
      </c>
      <c r="CZ102" s="17">
        <f>IF(CZ$3="","",IF(CZ$3=Steps,MAX(IF(CallPut=1,UndTree!CZ102-Strike,Strike-UndTree!CZ102),0),MAX((2-AmEur)*IF(CallPut=1,UndTree!CZ102-Strike,Strike-UndTree!CZ102),(UpProb*DA102+DownProb*DA103)*StepDiscount)))</f>
        <v>0</v>
      </c>
      <c r="DA102" s="17">
        <f>IF(DA$3="","",IF(DA$3=Steps,MAX(IF(CallPut=1,UndTree!DA102-Strike,Strike-UndTree!DA102),0),MAX((2-AmEur)*IF(CallPut=1,UndTree!DA102-Strike,Strike-UndTree!DA102),(UpProb*DB102+DownProb*DB103)*StepDiscount)))</f>
        <v>0</v>
      </c>
      <c r="DB102" s="17">
        <f>IF(DB$3="","",IF(DB$3=Steps,MAX(IF(CallPut=1,UndTree!DB102-Strike,Strike-UndTree!DB102),0),MAX((2-AmEur)*IF(CallPut=1,UndTree!DB102-Strike,Strike-UndTree!DB102),(UpProb*DC102+DownProb*DC103)*StepDiscount)))</f>
        <v>0</v>
      </c>
    </row>
    <row r="103" spans="1:106" x14ac:dyDescent="0.2">
      <c r="A103">
        <f>ExDivTree!A103</f>
        <v>5050</v>
      </c>
      <c r="B103" s="71">
        <f>ExDivTree!B103</f>
        <v>1.9918737856830548E-27</v>
      </c>
      <c r="C103" s="71">
        <f>ExDivTree!C103</f>
        <v>1.5397560948584372E-27</v>
      </c>
      <c r="D103" s="177">
        <f>ExDivTree!D103</f>
        <v>99</v>
      </c>
      <c r="CZ103" s="17">
        <f>IF(CZ$3="","",IF(CZ$3=Steps,MAX(IF(CallPut=1,UndTree!CZ103-Strike,Strike-UndTree!CZ103),0),MAX((2-AmEur)*IF(CallPut=1,UndTree!CZ103-Strike,Strike-UndTree!CZ103),(UpProb*DA103+DownProb*DA104)*StepDiscount)))</f>
        <v>0</v>
      </c>
      <c r="DA103" s="17">
        <f>IF(DA$3="","",IF(DA$3=Steps,MAX(IF(CallPut=1,UndTree!DA103-Strike,Strike-UndTree!DA103),0),MAX((2-AmEur)*IF(CallPut=1,UndTree!DA103-Strike,Strike-UndTree!DA103),(UpProb*DB103+DownProb*DB104)*StepDiscount)))</f>
        <v>0</v>
      </c>
      <c r="DB103" s="17">
        <f>IF(DB$3="","",IF(DB$3=Steps,MAX(IF(CallPut=1,UndTree!DB103-Strike,Strike-UndTree!DB103),0),MAX((2-AmEur)*IF(CallPut=1,UndTree!DB103-Strike,Strike-UndTree!DB103),(UpProb*DC103+DownProb*DC104)*StepDiscount)))</f>
        <v>0</v>
      </c>
    </row>
    <row r="104" spans="1:106" x14ac:dyDescent="0.2">
      <c r="A104">
        <f>ExDivTree!A104</f>
        <v>101</v>
      </c>
      <c r="B104" s="71">
        <f>ExDivTree!B104</f>
        <v>3.9837475713661096E-29</v>
      </c>
      <c r="C104" s="71">
        <f>ExDivTree!C104</f>
        <v>3.0632309816091825E-29</v>
      </c>
      <c r="D104" s="177">
        <f>ExDivTree!D104</f>
        <v>100</v>
      </c>
      <c r="DA104" s="17">
        <f>IF(DA$3="","",IF(DA$3=Steps,MAX(IF(CallPut=1,UndTree!DA104-Strike,Strike-UndTree!DA104),0),MAX((2-AmEur)*IF(CallPut=1,UndTree!DA104-Strike,Strike-UndTree!DA104),(UpProb*DB104+DownProb*DB105)*StepDiscount)))</f>
        <v>0</v>
      </c>
      <c r="DB104" s="17">
        <f>IF(DB$3="","",IF(DB$3=Steps,MAX(IF(CallPut=1,UndTree!DB104-Strike,Strike-UndTree!DB104),0),MAX((2-AmEur)*IF(CallPut=1,UndTree!DB104-Strike,Strike-UndTree!DB104),(UpProb*DC104+DownProb*DC105)*StepDiscount)))</f>
        <v>0</v>
      </c>
    </row>
    <row r="105" spans="1:106" x14ac:dyDescent="0.2">
      <c r="A105">
        <f>ExDivTree!A105</f>
        <v>1</v>
      </c>
      <c r="B105" s="71">
        <f>ExDivTree!B105</f>
        <v>3.944304526105059E-31</v>
      </c>
      <c r="C105" s="71">
        <f>ExDivTree!C105</f>
        <v>3.0168671795395678E-31</v>
      </c>
      <c r="D105" s="177">
        <f>ExDivTree!D105</f>
        <v>101</v>
      </c>
      <c r="DB105" s="17">
        <f>IF(DB$3="","",IF(DB$3=Steps,MAX(IF(CallPut=1,UndTree!DB105-Strike,Strike-UndTree!DB105),0),MAX((2-AmEur)*IF(CallPut=1,UndTree!DB105-Strike,Strike-UndTree!DB105),(UpProb*DC105+DownProb*DC106)*StepDiscount)))</f>
        <v>0</v>
      </c>
    </row>
  </sheetData>
  <mergeCells count="2">
    <mergeCell ref="A1:D1"/>
    <mergeCell ref="E1:I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970E47-7071-4754-AD55-CD66FA36B22A}">
  <sheetPr codeName="Sheet6"/>
  <dimension ref="A1:Y201"/>
  <sheetViews>
    <sheetView showGridLines="0" workbookViewId="0">
      <selection activeCell="I4" sqref="I4"/>
    </sheetView>
  </sheetViews>
  <sheetFormatPr baseColWidth="10" defaultColWidth="8.83203125" defaultRowHeight="15" x14ac:dyDescent="0.2"/>
  <cols>
    <col min="1" max="2" width="8.83203125" style="27"/>
    <col min="3" max="3" width="19.1640625" style="27" customWidth="1"/>
    <col min="4" max="7" width="16.83203125" style="27" customWidth="1"/>
    <col min="8" max="12" width="13.33203125" style="27" customWidth="1"/>
    <col min="13" max="15" width="10.6640625" style="27" customWidth="1"/>
    <col min="16" max="16384" width="8.83203125" style="27"/>
  </cols>
  <sheetData>
    <row r="1" spans="1:25" customFormat="1" ht="24" customHeight="1" x14ac:dyDescent="0.3">
      <c r="A1" s="207" t="s">
        <v>186</v>
      </c>
      <c r="B1" s="208"/>
      <c r="C1" s="208"/>
      <c r="D1" s="208"/>
      <c r="E1" s="202"/>
      <c r="F1" s="199"/>
      <c r="G1" s="199"/>
      <c r="H1" s="199"/>
      <c r="I1" s="199"/>
      <c r="J1" s="46"/>
      <c r="K1" s="46"/>
      <c r="L1" s="46"/>
      <c r="M1" s="46"/>
      <c r="N1" s="46"/>
      <c r="O1" s="46"/>
      <c r="P1" s="46"/>
      <c r="Q1" s="46"/>
      <c r="R1" s="46"/>
      <c r="S1" s="46"/>
      <c r="T1" s="46"/>
      <c r="U1" s="46"/>
      <c r="V1" s="46"/>
      <c r="W1" s="46"/>
      <c r="X1" s="46"/>
      <c r="Y1" s="47"/>
    </row>
    <row r="4" spans="1:25" x14ac:dyDescent="0.2">
      <c r="B4" s="106" t="s">
        <v>282</v>
      </c>
    </row>
    <row r="5" spans="1:25" x14ac:dyDescent="0.2">
      <c r="B5" s="27" t="s">
        <v>281</v>
      </c>
    </row>
    <row r="8" spans="1:25" x14ac:dyDescent="0.2">
      <c r="B8" s="35"/>
      <c r="C8" s="42" t="s">
        <v>180</v>
      </c>
      <c r="D8" s="43"/>
    </row>
    <row r="9" spans="1:25" x14ac:dyDescent="0.2">
      <c r="B9" s="32">
        <v>1</v>
      </c>
      <c r="C9" s="37" t="s">
        <v>23</v>
      </c>
      <c r="D9" s="38">
        <v>1</v>
      </c>
    </row>
    <row r="10" spans="1:25" x14ac:dyDescent="0.2">
      <c r="B10" s="33">
        <v>2</v>
      </c>
      <c r="C10" s="28" t="s">
        <v>24</v>
      </c>
      <c r="D10" s="39">
        <v>2</v>
      </c>
    </row>
    <row r="11" spans="1:25" x14ac:dyDescent="0.2">
      <c r="B11" s="34">
        <v>3</v>
      </c>
      <c r="C11" s="40" t="s">
        <v>25</v>
      </c>
      <c r="D11" s="44">
        <v>3</v>
      </c>
    </row>
    <row r="14" spans="1:25" x14ac:dyDescent="0.2">
      <c r="B14" s="35"/>
      <c r="C14" s="42" t="s">
        <v>176</v>
      </c>
      <c r="D14" s="43"/>
    </row>
    <row r="15" spans="1:25" x14ac:dyDescent="0.2">
      <c r="B15" s="32">
        <v>1</v>
      </c>
      <c r="C15" s="37" t="s">
        <v>0</v>
      </c>
      <c r="D15" s="38">
        <v>1</v>
      </c>
    </row>
    <row r="16" spans="1:25" x14ac:dyDescent="0.2">
      <c r="B16" s="33">
        <v>2</v>
      </c>
      <c r="C16" s="28" t="s">
        <v>243</v>
      </c>
      <c r="D16" s="39">
        <v>2</v>
      </c>
    </row>
    <row r="17" spans="2:4" x14ac:dyDescent="0.2">
      <c r="B17" s="33">
        <v>3</v>
      </c>
      <c r="C17" s="28" t="s">
        <v>1</v>
      </c>
      <c r="D17" s="39">
        <v>3</v>
      </c>
    </row>
    <row r="18" spans="2:4" x14ac:dyDescent="0.2">
      <c r="B18" s="34">
        <v>4</v>
      </c>
      <c r="C18" s="40" t="s">
        <v>2</v>
      </c>
      <c r="D18" s="44">
        <v>4</v>
      </c>
    </row>
    <row r="21" spans="2:4" x14ac:dyDescent="0.2">
      <c r="B21" s="35"/>
      <c r="C21" s="42" t="s">
        <v>178</v>
      </c>
      <c r="D21" s="43"/>
    </row>
    <row r="22" spans="2:4" x14ac:dyDescent="0.2">
      <c r="B22" s="32">
        <v>1</v>
      </c>
      <c r="C22" s="37" t="s">
        <v>6</v>
      </c>
      <c r="D22" s="38">
        <v>1</v>
      </c>
    </row>
    <row r="23" spans="2:4" x14ac:dyDescent="0.2">
      <c r="B23" s="34">
        <v>2</v>
      </c>
      <c r="C23" s="40" t="s">
        <v>7</v>
      </c>
      <c r="D23" s="44">
        <v>2</v>
      </c>
    </row>
    <row r="26" spans="2:4" x14ac:dyDescent="0.2">
      <c r="B26" s="35"/>
      <c r="C26" s="42" t="s">
        <v>179</v>
      </c>
      <c r="D26" s="43"/>
    </row>
    <row r="27" spans="2:4" x14ac:dyDescent="0.2">
      <c r="B27" s="32">
        <v>1</v>
      </c>
      <c r="C27" s="37" t="s">
        <v>8</v>
      </c>
      <c r="D27" s="38">
        <v>1</v>
      </c>
    </row>
    <row r="28" spans="2:4" x14ac:dyDescent="0.2">
      <c r="B28" s="34">
        <v>2</v>
      </c>
      <c r="C28" s="40" t="s">
        <v>9</v>
      </c>
      <c r="D28" s="44">
        <v>2</v>
      </c>
    </row>
    <row r="31" spans="2:4" x14ac:dyDescent="0.2">
      <c r="B31" s="35"/>
      <c r="C31" s="42" t="s">
        <v>177</v>
      </c>
      <c r="D31" s="43"/>
    </row>
    <row r="32" spans="2:4" x14ac:dyDescent="0.2">
      <c r="B32" s="32">
        <v>1</v>
      </c>
      <c r="C32" s="37" t="s">
        <v>3</v>
      </c>
      <c r="D32" s="38">
        <v>1</v>
      </c>
    </row>
    <row r="33" spans="2:4" x14ac:dyDescent="0.2">
      <c r="B33" s="33">
        <v>2</v>
      </c>
      <c r="C33" s="28" t="s">
        <v>4</v>
      </c>
      <c r="D33" s="39">
        <v>2</v>
      </c>
    </row>
    <row r="34" spans="2:4" x14ac:dyDescent="0.2">
      <c r="B34" s="34">
        <v>3</v>
      </c>
      <c r="C34" s="40" t="s">
        <v>5</v>
      </c>
      <c r="D34" s="44">
        <v>3</v>
      </c>
    </row>
    <row r="37" spans="2:4" x14ac:dyDescent="0.2">
      <c r="B37" s="35"/>
      <c r="C37" s="42" t="s">
        <v>181</v>
      </c>
      <c r="D37" s="43"/>
    </row>
    <row r="38" spans="2:4" x14ac:dyDescent="0.2">
      <c r="B38" s="32">
        <v>1</v>
      </c>
      <c r="C38" s="37" t="s">
        <v>32</v>
      </c>
      <c r="D38" s="38">
        <v>1</v>
      </c>
    </row>
    <row r="39" spans="2:4" x14ac:dyDescent="0.2">
      <c r="B39" s="34">
        <v>2</v>
      </c>
      <c r="C39" s="40" t="s">
        <v>33</v>
      </c>
      <c r="D39" s="44">
        <v>2</v>
      </c>
    </row>
    <row r="42" spans="2:4" x14ac:dyDescent="0.2">
      <c r="B42" s="35"/>
      <c r="C42" s="42" t="s">
        <v>182</v>
      </c>
      <c r="D42" s="43"/>
    </row>
    <row r="43" spans="2:4" x14ac:dyDescent="0.2">
      <c r="B43" s="32">
        <v>1</v>
      </c>
      <c r="C43" s="37" t="s">
        <v>99</v>
      </c>
      <c r="D43" s="38">
        <v>1</v>
      </c>
    </row>
    <row r="44" spans="2:4" x14ac:dyDescent="0.2">
      <c r="B44" s="33">
        <v>2</v>
      </c>
      <c r="C44" s="28" t="s">
        <v>4</v>
      </c>
      <c r="D44" s="39">
        <v>2</v>
      </c>
    </row>
    <row r="45" spans="2:4" x14ac:dyDescent="0.2">
      <c r="B45" s="34">
        <v>3</v>
      </c>
      <c r="C45" s="40" t="s">
        <v>5</v>
      </c>
      <c r="D45" s="44">
        <v>3</v>
      </c>
    </row>
    <row r="48" spans="2:4" x14ac:dyDescent="0.2">
      <c r="B48" s="35"/>
      <c r="C48" s="42" t="s">
        <v>185</v>
      </c>
      <c r="D48" s="43"/>
    </row>
    <row r="49" spans="2:7" x14ac:dyDescent="0.2">
      <c r="B49" s="32">
        <v>1</v>
      </c>
      <c r="C49" s="37" t="s">
        <v>48</v>
      </c>
      <c r="D49" s="38">
        <v>1</v>
      </c>
    </row>
    <row r="50" spans="2:7" x14ac:dyDescent="0.2">
      <c r="B50" s="34">
        <v>2</v>
      </c>
      <c r="C50" s="40" t="s">
        <v>49</v>
      </c>
      <c r="D50" s="44">
        <v>2</v>
      </c>
    </row>
    <row r="53" spans="2:7" x14ac:dyDescent="0.2">
      <c r="B53" s="29" t="s">
        <v>104</v>
      </c>
      <c r="C53" s="42" t="s">
        <v>183</v>
      </c>
      <c r="D53" s="30" t="s">
        <v>103</v>
      </c>
      <c r="E53" s="30" t="s">
        <v>174</v>
      </c>
      <c r="F53" s="30" t="s">
        <v>187</v>
      </c>
      <c r="G53" s="31" t="s">
        <v>188</v>
      </c>
    </row>
    <row r="54" spans="2:7" x14ac:dyDescent="0.2">
      <c r="B54" s="32">
        <v>1</v>
      </c>
      <c r="C54" s="141" t="str">
        <f>UndPriceLabel</f>
        <v>Stock Price</v>
      </c>
      <c r="D54" s="37">
        <v>1</v>
      </c>
      <c r="E54" s="37">
        <v>1</v>
      </c>
      <c r="F54" s="136" t="str">
        <f>C54</f>
        <v>Stock Price</v>
      </c>
      <c r="G54" s="145" t="s">
        <v>107</v>
      </c>
    </row>
    <row r="55" spans="2:7" x14ac:dyDescent="0.2">
      <c r="B55" s="33">
        <v>2</v>
      </c>
      <c r="C55" s="28" t="s">
        <v>40</v>
      </c>
      <c r="D55" s="28">
        <v>1</v>
      </c>
      <c r="E55" s="28">
        <v>2</v>
      </c>
      <c r="F55" s="137" t="str">
        <f>C55</f>
        <v>Strike</v>
      </c>
      <c r="G55" s="146" t="s">
        <v>107</v>
      </c>
    </row>
    <row r="56" spans="2:7" x14ac:dyDescent="0.2">
      <c r="B56" s="33">
        <v>3</v>
      </c>
      <c r="C56" s="28" t="s">
        <v>92</v>
      </c>
      <c r="D56" s="137">
        <f>IF(TimeAs=1,1,0)</f>
        <v>1</v>
      </c>
      <c r="E56" s="142">
        <f>IF(D56=1,SUM(D$54:D56),0)</f>
        <v>3</v>
      </c>
      <c r="F56" s="144" t="s">
        <v>92</v>
      </c>
      <c r="G56" s="148" t="s">
        <v>106</v>
      </c>
    </row>
    <row r="57" spans="2:7" x14ac:dyDescent="0.2">
      <c r="B57" s="33">
        <v>4</v>
      </c>
      <c r="C57" s="28" t="s">
        <v>94</v>
      </c>
      <c r="D57" s="137">
        <f>IF(TimeAs=1,1,0)</f>
        <v>1</v>
      </c>
      <c r="E57" s="142">
        <f>IF(D57=1,SUM(D$54:D57),0)</f>
        <v>4</v>
      </c>
      <c r="F57" s="144" t="s">
        <v>94</v>
      </c>
      <c r="G57" s="148" t="s">
        <v>106</v>
      </c>
    </row>
    <row r="58" spans="2:7" x14ac:dyDescent="0.2">
      <c r="B58" s="33">
        <v>5</v>
      </c>
      <c r="C58" s="28" t="s">
        <v>86</v>
      </c>
      <c r="D58" s="137">
        <f>IF(TimeAs=2,1,0)</f>
        <v>0</v>
      </c>
      <c r="E58" s="142">
        <f>IF(D58=1,SUM(D$54:D58),0)</f>
        <v>0</v>
      </c>
      <c r="F58" s="137" t="str">
        <f t="shared" ref="F58:F63" si="0">C58</f>
        <v>Days to Expiration</v>
      </c>
      <c r="G58" s="146" t="s">
        <v>107</v>
      </c>
    </row>
    <row r="59" spans="2:7" x14ac:dyDescent="0.2">
      <c r="B59" s="33">
        <v>6</v>
      </c>
      <c r="C59" s="28" t="s">
        <v>87</v>
      </c>
      <c r="D59" s="137">
        <f>IF(TimeAs=3,1,0)</f>
        <v>0</v>
      </c>
      <c r="E59" s="142">
        <f>IF(D59=1,SUM(D$54:D59),0)</f>
        <v>0</v>
      </c>
      <c r="F59" s="137" t="str">
        <f t="shared" si="0"/>
        <v>% Year to Expiration</v>
      </c>
      <c r="G59" s="146" t="s">
        <v>107</v>
      </c>
    </row>
    <row r="60" spans="2:7" x14ac:dyDescent="0.2">
      <c r="B60" s="33">
        <v>7</v>
      </c>
      <c r="C60" s="28" t="s">
        <v>16</v>
      </c>
      <c r="D60" s="28">
        <v>1</v>
      </c>
      <c r="E60" s="142">
        <f>IF(D60=1,SUM(D$54:D60),0)</f>
        <v>5</v>
      </c>
      <c r="F60" s="137" t="str">
        <f t="shared" si="0"/>
        <v>Volatility</v>
      </c>
      <c r="G60" s="146" t="s">
        <v>107</v>
      </c>
    </row>
    <row r="61" spans="2:7" x14ac:dyDescent="0.2">
      <c r="B61" s="33">
        <v>8</v>
      </c>
      <c r="C61" s="139" t="str">
        <f>IntRateLabel</f>
        <v>Interest Rate</v>
      </c>
      <c r="D61" s="28">
        <v>1</v>
      </c>
      <c r="E61" s="142">
        <f>IF(D61=1,SUM(D$54:D61),0)</f>
        <v>6</v>
      </c>
      <c r="F61" s="137" t="str">
        <f t="shared" si="0"/>
        <v>Interest Rate</v>
      </c>
      <c r="G61" s="146" t="s">
        <v>107</v>
      </c>
    </row>
    <row r="62" spans="2:7" x14ac:dyDescent="0.2">
      <c r="B62" s="33">
        <v>9</v>
      </c>
      <c r="C62" s="139" t="str">
        <f>YieldLabel</f>
        <v>Dividend Yield</v>
      </c>
      <c r="D62" s="137">
        <f>IF(DivAs=1,IF(UndType=4,0,1),0)</f>
        <v>0</v>
      </c>
      <c r="E62" s="142">
        <f>IF(D62=1,SUM(D$54:D62),0)</f>
        <v>0</v>
      </c>
      <c r="F62" s="137" t="str">
        <f t="shared" si="0"/>
        <v>Dividend Yield</v>
      </c>
      <c r="G62" s="146" t="s">
        <v>107</v>
      </c>
    </row>
    <row r="63" spans="2:7" x14ac:dyDescent="0.2">
      <c r="B63" s="33">
        <v>10</v>
      </c>
      <c r="C63" s="28" t="s">
        <v>88</v>
      </c>
      <c r="D63" s="137">
        <f>IF(DivAs=2,1,0)</f>
        <v>1</v>
      </c>
      <c r="E63" s="142">
        <f>IF(D63=1,SUM(D$54:D63),0)</f>
        <v>7</v>
      </c>
      <c r="F63" s="137" t="str">
        <f t="shared" si="0"/>
        <v>Dividend Amount</v>
      </c>
      <c r="G63" s="146" t="s">
        <v>107</v>
      </c>
    </row>
    <row r="64" spans="2:7" x14ac:dyDescent="0.2">
      <c r="B64" s="33">
        <v>11</v>
      </c>
      <c r="C64" s="28" t="s">
        <v>99</v>
      </c>
      <c r="D64" s="137">
        <f>IF(AND(DivAs=2,ExDivAs=1),1,0)</f>
        <v>1</v>
      </c>
      <c r="E64" s="142">
        <f>IF(D64=1,SUM(D$54:D64),0)</f>
        <v>8</v>
      </c>
      <c r="F64" s="144" t="s">
        <v>99</v>
      </c>
      <c r="G64" s="148" t="s">
        <v>106</v>
      </c>
    </row>
    <row r="65" spans="2:7" x14ac:dyDescent="0.2">
      <c r="B65" s="33">
        <v>12</v>
      </c>
      <c r="C65" s="28" t="s">
        <v>89</v>
      </c>
      <c r="D65" s="137">
        <f>IF(AND(DivAs=2,ExDivAs=2),1,0)</f>
        <v>0</v>
      </c>
      <c r="E65" s="142">
        <f>IF(D65=1,SUM(D$54:D65),0)</f>
        <v>0</v>
      </c>
      <c r="F65" s="137" t="str">
        <f>C65</f>
        <v>Days to Ex Dividend</v>
      </c>
      <c r="G65" s="146" t="s">
        <v>107</v>
      </c>
    </row>
    <row r="66" spans="2:7" x14ac:dyDescent="0.2">
      <c r="B66" s="34">
        <v>13</v>
      </c>
      <c r="C66" s="40" t="s">
        <v>90</v>
      </c>
      <c r="D66" s="138">
        <f>IF(AND(DivAs=2,ExDivAs=3),1,0)</f>
        <v>0</v>
      </c>
      <c r="E66" s="143">
        <f>IF(D66=1,SUM(D$54:D66),0)</f>
        <v>0</v>
      </c>
      <c r="F66" s="138" t="str">
        <f>C66</f>
        <v>% Year to Ex Dividend</v>
      </c>
      <c r="G66" s="147" t="s">
        <v>107</v>
      </c>
    </row>
    <row r="67" spans="2:7" x14ac:dyDescent="0.2">
      <c r="B67" s="110" t="s">
        <v>171</v>
      </c>
      <c r="C67" s="149">
        <f>MAX($E$54:$E$66)</f>
        <v>8</v>
      </c>
      <c r="D67" s="111" t="s">
        <v>105</v>
      </c>
      <c r="E67" s="149">
        <f>MATCH(ChartLines,$E$54:$E$66,0)</f>
        <v>2</v>
      </c>
      <c r="F67" s="149" t="str">
        <f>IF(ChartMode=1,"",INDEX(F54:F66,ChartLines13))</f>
        <v/>
      </c>
      <c r="G67" s="150" t="str">
        <f>IF(ChartMode=1,"",INDEX(G54:G66,ChartLines13))</f>
        <v/>
      </c>
    </row>
    <row r="68" spans="2:7" x14ac:dyDescent="0.2">
      <c r="B68" s="121"/>
      <c r="C68" s="120"/>
      <c r="D68" s="120" t="s">
        <v>296</v>
      </c>
      <c r="E68" s="139">
        <v>2</v>
      </c>
      <c r="F68" s="120"/>
      <c r="G68" s="122"/>
    </row>
    <row r="69" spans="2:7" x14ac:dyDescent="0.2">
      <c r="B69" s="113"/>
      <c r="C69" s="108"/>
      <c r="D69" s="108" t="s">
        <v>300</v>
      </c>
      <c r="E69" s="140">
        <v>2</v>
      </c>
      <c r="F69" s="108"/>
      <c r="G69" s="109"/>
    </row>
    <row r="72" spans="2:7" x14ac:dyDescent="0.2">
      <c r="B72" s="29" t="s">
        <v>174</v>
      </c>
      <c r="C72" s="42" t="s">
        <v>173</v>
      </c>
      <c r="D72" s="30" t="s">
        <v>174</v>
      </c>
      <c r="E72" s="30" t="s">
        <v>175</v>
      </c>
      <c r="F72" s="36" t="s">
        <v>172</v>
      </c>
      <c r="G72" s="31" t="s">
        <v>104</v>
      </c>
    </row>
    <row r="73" spans="2:7" x14ac:dyDescent="0.2">
      <c r="B73" s="32">
        <v>1</v>
      </c>
      <c r="C73" s="141" t="str">
        <f>UndPriceLabel</f>
        <v>Stock Price</v>
      </c>
      <c r="D73" s="149">
        <f>IF(AND(ChartMode=2,ChartLines=B73),"",B73)</f>
        <v>1</v>
      </c>
      <c r="E73" s="153">
        <f t="shared" ref="E73:E80" si="1">IF(D73="","",RANK(D73,$D$73:$D$80,1))</f>
        <v>1</v>
      </c>
      <c r="F73" s="136" t="str">
        <f>INDEX(ListChartLines,MATCH($B73,$E$73:$E$80,0))</f>
        <v>Stock Price</v>
      </c>
      <c r="G73" s="154">
        <f t="shared" ref="G73:G80" si="2">IF(F73="",0,MATCH(MATCH($B73,$E$73:$E$80,0),$E$54:$E$66,0))</f>
        <v>1</v>
      </c>
    </row>
    <row r="74" spans="2:7" x14ac:dyDescent="0.2">
      <c r="B74" s="33">
        <v>2</v>
      </c>
      <c r="C74" s="28" t="s">
        <v>40</v>
      </c>
      <c r="D74" s="151">
        <f t="shared" ref="D74:D77" si="3">IF(AND(ChartMode=2,ChartLines=B74),"",B74)</f>
        <v>2</v>
      </c>
      <c r="E74" s="142">
        <f t="shared" si="1"/>
        <v>2</v>
      </c>
      <c r="F74" s="137" t="str">
        <f>INDEX(ListChartLines,MATCH($B74,$E$73:$E$80,0))</f>
        <v>Strike</v>
      </c>
      <c r="G74" s="155">
        <f t="shared" si="2"/>
        <v>2</v>
      </c>
    </row>
    <row r="75" spans="2:7" x14ac:dyDescent="0.2">
      <c r="B75" s="33">
        <v>3</v>
      </c>
      <c r="C75" s="137" t="str">
        <f>INDEX(ListChartXAll,MATCH(B75,$E$54:$E$66,0))</f>
        <v>Valuation Date</v>
      </c>
      <c r="D75" s="151">
        <f t="shared" si="3"/>
        <v>3</v>
      </c>
      <c r="E75" s="142">
        <f t="shared" si="1"/>
        <v>3</v>
      </c>
      <c r="F75" s="137" t="str">
        <f>INDEX(ListChartLines,MATCH($B75,$E$73:$E$80,0))</f>
        <v>Valuation Date</v>
      </c>
      <c r="G75" s="155">
        <f t="shared" si="2"/>
        <v>3</v>
      </c>
    </row>
    <row r="76" spans="2:7" x14ac:dyDescent="0.2">
      <c r="B76" s="33">
        <v>4</v>
      </c>
      <c r="C76" s="137" t="str">
        <f>INDEX(ListChartXAll,MATCH(B76,$E$54:$E$66,0))</f>
        <v>Expiration Date</v>
      </c>
      <c r="D76" s="151">
        <f t="shared" si="3"/>
        <v>4</v>
      </c>
      <c r="E76" s="142">
        <f t="shared" si="1"/>
        <v>4</v>
      </c>
      <c r="F76" s="137" t="str">
        <f>INDEX(ListChartLines,MATCH($B76,$E$73:$E$80,0))</f>
        <v>Expiration Date</v>
      </c>
      <c r="G76" s="155">
        <f t="shared" si="2"/>
        <v>4</v>
      </c>
    </row>
    <row r="77" spans="2:7" x14ac:dyDescent="0.2">
      <c r="B77" s="33">
        <v>5</v>
      </c>
      <c r="C77" s="137" t="str">
        <f>INDEX(ListChartXAll,MATCH(B77,$E$54:$E$66,0))</f>
        <v>Volatility</v>
      </c>
      <c r="D77" s="151">
        <f t="shared" si="3"/>
        <v>5</v>
      </c>
      <c r="E77" s="142">
        <f t="shared" si="1"/>
        <v>5</v>
      </c>
      <c r="F77" s="139" t="str">
        <f>IF($B77&gt;$C$81,"",INDEX(ListChartLines,MATCH($B77,$E$73:$E$80,0)))</f>
        <v>Volatility</v>
      </c>
      <c r="G77" s="155">
        <f t="shared" si="2"/>
        <v>7</v>
      </c>
    </row>
    <row r="78" spans="2:7" x14ac:dyDescent="0.2">
      <c r="B78" s="33">
        <v>6</v>
      </c>
      <c r="C78" s="139" t="str">
        <f>IF(B78&gt;$C$67,"",INDEX(ListChartXAll,MATCH(B78,$E$54:$E$66,0)))</f>
        <v>Interest Rate</v>
      </c>
      <c r="D78" s="26">
        <f>IF(OR(C78="",AND(ChartMode=2,ChartLines=B78)),"",B78)</f>
        <v>6</v>
      </c>
      <c r="E78" s="142">
        <f t="shared" si="1"/>
        <v>6</v>
      </c>
      <c r="F78" s="139" t="str">
        <f>IF($B78&gt;$C$81,"",INDEX(ListChartLines,MATCH($B78,$E$73:$E$80,0)))</f>
        <v>Interest Rate</v>
      </c>
      <c r="G78" s="155">
        <f t="shared" si="2"/>
        <v>8</v>
      </c>
    </row>
    <row r="79" spans="2:7" x14ac:dyDescent="0.2">
      <c r="B79" s="33">
        <v>7</v>
      </c>
      <c r="C79" s="139" t="str">
        <f>IF(B79&gt;$C$67,"",INDEX(ListChartXAll,MATCH(B79,$E$54:$E$66,0)))</f>
        <v>Dividend Amount</v>
      </c>
      <c r="D79" s="26">
        <f>IF(OR(C79="",AND(ChartMode=2,ChartLines=B79)),"",B79)</f>
        <v>7</v>
      </c>
      <c r="E79" s="142">
        <f t="shared" si="1"/>
        <v>7</v>
      </c>
      <c r="F79" s="139" t="str">
        <f>IF($B79&gt;$C$81,"",INDEX(ListChartLines,MATCH($B79,$E$73:$E$80,0)))</f>
        <v>Dividend Amount</v>
      </c>
      <c r="G79" s="155">
        <f t="shared" si="2"/>
        <v>10</v>
      </c>
    </row>
    <row r="80" spans="2:7" x14ac:dyDescent="0.2">
      <c r="B80" s="34">
        <v>8</v>
      </c>
      <c r="C80" s="140" t="str">
        <f>IF(B80&gt;$C$67,"",INDEX(ListChartXAll,MATCH(B80,$E$54:$E$66,0)))</f>
        <v>Ex Dividend Date</v>
      </c>
      <c r="D80" s="41">
        <f>IF(OR(C80="",AND(ChartMode=2,ChartLines=B80)),"",B80)</f>
        <v>8</v>
      </c>
      <c r="E80" s="143">
        <f t="shared" si="1"/>
        <v>8</v>
      </c>
      <c r="F80" s="140" t="str">
        <f>IF($B80&gt;$C$81,"",INDEX(ListChartLines,MATCH($B80,$E$73:$E$80,0)))</f>
        <v>Ex Dividend Date</v>
      </c>
      <c r="G80" s="156">
        <f t="shared" si="2"/>
        <v>11</v>
      </c>
    </row>
    <row r="81" spans="2:10" x14ac:dyDescent="0.2">
      <c r="B81" s="110" t="s">
        <v>171</v>
      </c>
      <c r="C81" s="149">
        <f>MAX($E$73:$E$80)</f>
        <v>8</v>
      </c>
      <c r="D81" s="111" t="s">
        <v>104</v>
      </c>
      <c r="E81" s="149">
        <f>INDEX($G$73:$G$80,ChartX)</f>
        <v>1</v>
      </c>
      <c r="F81" s="149" t="str">
        <f>INDEX(ListChartXAll,ChartX13)</f>
        <v>Stock Price</v>
      </c>
      <c r="G81" s="112"/>
    </row>
    <row r="82" spans="2:10" x14ac:dyDescent="0.2">
      <c r="B82" s="121"/>
      <c r="C82" s="120"/>
      <c r="D82" s="120" t="s">
        <v>284</v>
      </c>
      <c r="E82" s="139" t="b">
        <f>OR(ChartX13=3,ChartX13=4,ChartX13=11)</f>
        <v>0</v>
      </c>
      <c r="F82" s="120"/>
      <c r="G82" s="122"/>
    </row>
    <row r="83" spans="2:10" x14ac:dyDescent="0.2">
      <c r="B83" s="121"/>
      <c r="C83" s="120"/>
      <c r="D83" s="120" t="s">
        <v>311</v>
      </c>
      <c r="E83" s="139" t="b">
        <f>OR(ChartX13=5,ChartX13=12)</f>
        <v>0</v>
      </c>
      <c r="F83" s="120"/>
      <c r="G83" s="122"/>
    </row>
    <row r="84" spans="2:10" x14ac:dyDescent="0.2">
      <c r="B84" s="113"/>
      <c r="C84" s="108"/>
      <c r="D84" s="108" t="s">
        <v>297</v>
      </c>
      <c r="E84" s="140">
        <v>1</v>
      </c>
      <c r="F84" s="108"/>
      <c r="G84" s="109"/>
    </row>
    <row r="87" spans="2:10" x14ac:dyDescent="0.2">
      <c r="B87" s="35"/>
      <c r="C87" s="42" t="s">
        <v>184</v>
      </c>
      <c r="D87" s="43"/>
    </row>
    <row r="88" spans="2:10" x14ac:dyDescent="0.2">
      <c r="B88" s="32">
        <v>1</v>
      </c>
      <c r="C88" s="37" t="s">
        <v>26</v>
      </c>
      <c r="D88" s="38">
        <v>1</v>
      </c>
    </row>
    <row r="89" spans="2:10" x14ac:dyDescent="0.2">
      <c r="B89" s="33">
        <v>2</v>
      </c>
      <c r="C89" s="28" t="s">
        <v>27</v>
      </c>
      <c r="D89" s="39">
        <v>2</v>
      </c>
    </row>
    <row r="90" spans="2:10" x14ac:dyDescent="0.2">
      <c r="B90" s="33">
        <v>3</v>
      </c>
      <c r="C90" s="28" t="s">
        <v>28</v>
      </c>
      <c r="D90" s="39">
        <v>3</v>
      </c>
    </row>
    <row r="91" spans="2:10" x14ac:dyDescent="0.2">
      <c r="B91" s="33">
        <v>4</v>
      </c>
      <c r="C91" s="28" t="s">
        <v>29</v>
      </c>
      <c r="D91" s="39">
        <v>4</v>
      </c>
    </row>
    <row r="92" spans="2:10" x14ac:dyDescent="0.2">
      <c r="B92" s="33">
        <v>5</v>
      </c>
      <c r="C92" s="28" t="s">
        <v>30</v>
      </c>
      <c r="D92" s="39">
        <v>5</v>
      </c>
    </row>
    <row r="93" spans="2:10" x14ac:dyDescent="0.2">
      <c r="B93" s="34">
        <v>6</v>
      </c>
      <c r="C93" s="40" t="s">
        <v>31</v>
      </c>
      <c r="D93" s="44">
        <v>6</v>
      </c>
    </row>
    <row r="96" spans="2:10" x14ac:dyDescent="0.2">
      <c r="B96" s="35"/>
      <c r="C96" s="42" t="s">
        <v>214</v>
      </c>
      <c r="D96" s="42"/>
      <c r="E96" s="72"/>
      <c r="F96" s="72"/>
      <c r="G96" s="30"/>
      <c r="H96" s="30"/>
      <c r="I96" s="30"/>
      <c r="J96" s="31"/>
    </row>
    <row r="97" spans="2:12" x14ac:dyDescent="0.2">
      <c r="B97" s="32"/>
      <c r="C97" s="92" t="s">
        <v>229</v>
      </c>
      <c r="D97" s="149" t="b">
        <f>IF(ISNUMBER(TimePct),TimePct&lt;=0,FALSE)</f>
        <v>0</v>
      </c>
      <c r="E97" s="37"/>
      <c r="F97" s="37"/>
      <c r="G97" s="93"/>
      <c r="H97" s="93"/>
      <c r="I97" s="93"/>
      <c r="J97" s="94"/>
    </row>
    <row r="98" spans="2:12" x14ac:dyDescent="0.2">
      <c r="B98" s="33"/>
      <c r="C98" s="82" t="s">
        <v>231</v>
      </c>
      <c r="D98" s="151" t="b">
        <f>StatusCode&lt;100</f>
        <v>1</v>
      </c>
      <c r="E98" s="28"/>
      <c r="F98" s="28"/>
      <c r="G98" s="95"/>
      <c r="H98" s="95"/>
      <c r="I98" s="95"/>
      <c r="J98" s="96"/>
    </row>
    <row r="99" spans="2:12" x14ac:dyDescent="0.2">
      <c r="B99" s="34"/>
      <c r="C99" s="97" t="s">
        <v>230</v>
      </c>
      <c r="D99" s="152">
        <f>IF(F104=990,IF(D126=990,IF(IsExpired,100,0),D126),F104)</f>
        <v>0</v>
      </c>
      <c r="E99" s="140" t="str">
        <f>IF($F$104=990,IF($D$126=990,IF(IsExpired,"Option has expired. Option price shows payoff at expiration.",""),$E$126),$G$104)</f>
        <v/>
      </c>
      <c r="F99" s="140"/>
      <c r="G99" s="157"/>
      <c r="H99" s="157"/>
      <c r="I99" s="157"/>
      <c r="J99" s="158"/>
    </row>
    <row r="102" spans="2:12" x14ac:dyDescent="0.2">
      <c r="B102" s="35"/>
      <c r="C102" s="42" t="s">
        <v>197</v>
      </c>
      <c r="D102" s="42"/>
      <c r="E102" s="72"/>
      <c r="F102" s="72"/>
      <c r="G102" s="30"/>
      <c r="H102" s="30"/>
      <c r="I102" s="30"/>
      <c r="J102" s="30"/>
      <c r="K102" s="30"/>
      <c r="L102" s="31"/>
    </row>
    <row r="103" spans="2:12" x14ac:dyDescent="0.2">
      <c r="B103" s="35" t="s">
        <v>243</v>
      </c>
      <c r="C103" s="72" t="s">
        <v>211</v>
      </c>
      <c r="D103" s="72" t="s">
        <v>212</v>
      </c>
      <c r="E103" s="72" t="s">
        <v>209</v>
      </c>
      <c r="F103" s="72" t="s">
        <v>196</v>
      </c>
      <c r="G103" s="72" t="s">
        <v>215</v>
      </c>
      <c r="H103" s="3"/>
      <c r="I103" s="72" t="s">
        <v>213</v>
      </c>
      <c r="J103" s="3"/>
      <c r="K103" s="3"/>
      <c r="L103" s="53"/>
    </row>
    <row r="104" spans="2:12" x14ac:dyDescent="0.2">
      <c r="B104" s="166">
        <f>IF(F104=990,0,MATCH(F104,$F$106:$F$121,0))</f>
        <v>0</v>
      </c>
      <c r="C104" s="165" t="str">
        <f>IF($B104=0,"",INDEX(C$106:C$121,$B104))</f>
        <v/>
      </c>
      <c r="D104" s="162" t="str">
        <f>IF($B104=0,"",INDEX(D$106:D$121,$B104))</f>
        <v/>
      </c>
      <c r="E104" s="165">
        <f>MOD(F104,10)</f>
        <v>0</v>
      </c>
      <c r="F104" s="174">
        <f>MIN(F106:F121)</f>
        <v>990</v>
      </c>
      <c r="G104" s="165" t="str">
        <f ca="1">IF(F104=990,"All inputs OK",CONCATENATE("Error #",F104,": ",C104," must be ",IF(E104=1,"a number",CONCATENATE(OFFSET(G105,0,E104)," ",IF(K104="",OFFSET(G105,B104,E104),TEXT(OFFSET(G105,B104,E104),K104)))),L104))</f>
        <v>All inputs OK</v>
      </c>
      <c r="H104" s="165"/>
      <c r="I104" s="165"/>
      <c r="J104" s="165"/>
      <c r="K104" s="167" t="str">
        <f>IF($B104=0,"",IF(INDEX(K$106:K$121,$B104)=0,"",INDEX(K$106:K$121,$B104)))</f>
        <v/>
      </c>
      <c r="L104" s="168" t="str">
        <f>IF($B104=0,"",IF(INDEX(L$106:L$121,$B104)=0,"",INDEX(L$106:L$121,$B104)))</f>
        <v/>
      </c>
    </row>
    <row r="105" spans="2:12" x14ac:dyDescent="0.2">
      <c r="B105" s="35" t="s">
        <v>210</v>
      </c>
      <c r="C105" s="72" t="s">
        <v>211</v>
      </c>
      <c r="D105" s="72" t="s">
        <v>212</v>
      </c>
      <c r="E105" s="72" t="s">
        <v>209</v>
      </c>
      <c r="F105" s="72" t="s">
        <v>196</v>
      </c>
      <c r="G105" s="30" t="s">
        <v>207</v>
      </c>
      <c r="H105" s="30" t="s">
        <v>208</v>
      </c>
      <c r="I105" s="30" t="s">
        <v>207</v>
      </c>
      <c r="J105" s="30" t="s">
        <v>208</v>
      </c>
      <c r="K105" s="30" t="s">
        <v>233</v>
      </c>
      <c r="L105" s="31" t="s">
        <v>244</v>
      </c>
    </row>
    <row r="106" spans="2:12" x14ac:dyDescent="0.2">
      <c r="B106" s="76">
        <v>21</v>
      </c>
      <c r="C106" s="92" t="s">
        <v>14</v>
      </c>
      <c r="D106" s="159">
        <f>Model</f>
        <v>3</v>
      </c>
      <c r="E106" s="136">
        <f t="shared" ref="E106:E121" si="4">IF(ISNUMBER($D106),IF(G106,IF(H106,0,3),2),1)</f>
        <v>0</v>
      </c>
      <c r="F106" s="141">
        <f>IF(E106=0,990,10*$B106+E106)</f>
        <v>990</v>
      </c>
      <c r="G106" s="136" t="b">
        <f t="shared" ref="G106:G121" si="5">IF(I106="",TRUE,$D106&gt;=I106)</f>
        <v>1</v>
      </c>
      <c r="H106" s="141" t="b">
        <f t="shared" ref="H106:H121" si="6">IF(J106="",TRUE,$D106&lt;=J106)</f>
        <v>1</v>
      </c>
      <c r="I106" s="172">
        <v>1</v>
      </c>
      <c r="J106" s="172">
        <v>3</v>
      </c>
      <c r="K106" s="101"/>
      <c r="L106" s="86"/>
    </row>
    <row r="107" spans="2:12" x14ac:dyDescent="0.2">
      <c r="B107" s="77">
        <v>22</v>
      </c>
      <c r="C107" s="82" t="s">
        <v>201</v>
      </c>
      <c r="D107" s="160">
        <f>UndType</f>
        <v>1</v>
      </c>
      <c r="E107" s="137">
        <f t="shared" si="4"/>
        <v>0</v>
      </c>
      <c r="F107" s="139">
        <f t="shared" ref="F107:F115" si="7">IF(E107=0,990,10*$B107+E107)</f>
        <v>990</v>
      </c>
      <c r="G107" s="137" t="b">
        <f t="shared" si="5"/>
        <v>1</v>
      </c>
      <c r="H107" s="139" t="b">
        <f t="shared" si="6"/>
        <v>1</v>
      </c>
      <c r="I107" s="173">
        <v>1</v>
      </c>
      <c r="J107" s="173">
        <v>4</v>
      </c>
      <c r="L107" s="87"/>
    </row>
    <row r="108" spans="2:12" x14ac:dyDescent="0.2">
      <c r="B108" s="77">
        <v>23</v>
      </c>
      <c r="C108" s="82" t="s">
        <v>202</v>
      </c>
      <c r="D108" s="160">
        <f>AmEur</f>
        <v>1</v>
      </c>
      <c r="E108" s="137">
        <f t="shared" si="4"/>
        <v>0</v>
      </c>
      <c r="F108" s="139">
        <f t="shared" si="7"/>
        <v>990</v>
      </c>
      <c r="G108" s="137" t="b">
        <f t="shared" si="5"/>
        <v>1</v>
      </c>
      <c r="H108" s="139" t="b">
        <f t="shared" si="6"/>
        <v>1</v>
      </c>
      <c r="I108" s="173">
        <v>1</v>
      </c>
      <c r="J108" s="173">
        <v>2</v>
      </c>
      <c r="L108" s="87"/>
    </row>
    <row r="109" spans="2:12" x14ac:dyDescent="0.2">
      <c r="B109" s="77">
        <v>24</v>
      </c>
      <c r="C109" s="82" t="s">
        <v>203</v>
      </c>
      <c r="D109" s="160">
        <f>CallPut</f>
        <v>1</v>
      </c>
      <c r="E109" s="137">
        <f t="shared" si="4"/>
        <v>0</v>
      </c>
      <c r="F109" s="139">
        <f t="shared" si="7"/>
        <v>990</v>
      </c>
      <c r="G109" s="137" t="b">
        <f t="shared" si="5"/>
        <v>1</v>
      </c>
      <c r="H109" s="139" t="b">
        <f t="shared" si="6"/>
        <v>1</v>
      </c>
      <c r="I109" s="173">
        <v>1</v>
      </c>
      <c r="J109" s="173">
        <v>2</v>
      </c>
      <c r="L109" s="87"/>
    </row>
    <row r="110" spans="2:12" x14ac:dyDescent="0.2">
      <c r="B110" s="77">
        <v>25</v>
      </c>
      <c r="C110" s="82" t="s">
        <v>206</v>
      </c>
      <c r="D110" s="160">
        <f>TimeAs</f>
        <v>1</v>
      </c>
      <c r="E110" s="137">
        <f t="shared" si="4"/>
        <v>0</v>
      </c>
      <c r="F110" s="139">
        <f t="shared" si="7"/>
        <v>990</v>
      </c>
      <c r="G110" s="137" t="b">
        <f t="shared" si="5"/>
        <v>1</v>
      </c>
      <c r="H110" s="139" t="b">
        <f t="shared" si="6"/>
        <v>1</v>
      </c>
      <c r="I110" s="173">
        <v>1</v>
      </c>
      <c r="J110" s="173">
        <v>3</v>
      </c>
      <c r="L110" s="87"/>
    </row>
    <row r="111" spans="2:12" x14ac:dyDescent="0.2">
      <c r="B111" s="77">
        <v>26</v>
      </c>
      <c r="C111" s="82" t="s">
        <v>204</v>
      </c>
      <c r="D111" s="160">
        <f>DivAs</f>
        <v>2</v>
      </c>
      <c r="E111" s="137">
        <f t="shared" si="4"/>
        <v>0</v>
      </c>
      <c r="F111" s="139">
        <f t="shared" si="7"/>
        <v>990</v>
      </c>
      <c r="G111" s="137" t="b">
        <f t="shared" si="5"/>
        <v>1</v>
      </c>
      <c r="H111" s="139" t="b">
        <f t="shared" si="6"/>
        <v>1</v>
      </c>
      <c r="I111" s="173">
        <v>1</v>
      </c>
      <c r="J111" s="173">
        <v>2</v>
      </c>
      <c r="L111" s="87"/>
    </row>
    <row r="112" spans="2:12" x14ac:dyDescent="0.2">
      <c r="B112" s="77">
        <v>27</v>
      </c>
      <c r="C112" s="82" t="s">
        <v>205</v>
      </c>
      <c r="D112" s="160">
        <f>ExDivAs</f>
        <v>1</v>
      </c>
      <c r="E112" s="137">
        <f t="shared" si="4"/>
        <v>0</v>
      </c>
      <c r="F112" s="139">
        <f t="shared" si="7"/>
        <v>990</v>
      </c>
      <c r="G112" s="137" t="b">
        <f t="shared" si="5"/>
        <v>1</v>
      </c>
      <c r="H112" s="139" t="b">
        <f t="shared" si="6"/>
        <v>1</v>
      </c>
      <c r="I112" s="173">
        <v>1</v>
      </c>
      <c r="J112" s="173">
        <v>3</v>
      </c>
      <c r="L112" s="87"/>
    </row>
    <row r="113" spans="2:12" x14ac:dyDescent="0.2">
      <c r="B113" s="77">
        <v>31</v>
      </c>
      <c r="C113" s="139" t="str">
        <f>UndPriceLabel</f>
        <v>Stock Price</v>
      </c>
      <c r="D113" s="160">
        <f>UndPrice</f>
        <v>100</v>
      </c>
      <c r="E113" s="137">
        <f t="shared" si="4"/>
        <v>0</v>
      </c>
      <c r="F113" s="139">
        <f t="shared" si="7"/>
        <v>990</v>
      </c>
      <c r="G113" s="137" t="b">
        <f t="shared" si="5"/>
        <v>1</v>
      </c>
      <c r="H113" s="139" t="b">
        <f t="shared" si="6"/>
        <v>1</v>
      </c>
      <c r="I113" s="160">
        <f>PriceMin</f>
        <v>9.9999999999999995E-7</v>
      </c>
      <c r="J113" s="160">
        <f>PriceMax</f>
        <v>10000000</v>
      </c>
      <c r="L113" s="87"/>
    </row>
    <row r="114" spans="2:12" x14ac:dyDescent="0.2">
      <c r="B114" s="77">
        <v>32</v>
      </c>
      <c r="C114" s="82" t="s">
        <v>40</v>
      </c>
      <c r="D114" s="160">
        <f>Strike</f>
        <v>100</v>
      </c>
      <c r="E114" s="137">
        <f t="shared" si="4"/>
        <v>0</v>
      </c>
      <c r="F114" s="139">
        <f t="shared" si="7"/>
        <v>990</v>
      </c>
      <c r="G114" s="137" t="b">
        <f t="shared" si="5"/>
        <v>1</v>
      </c>
      <c r="H114" s="139" t="b">
        <f t="shared" si="6"/>
        <v>1</v>
      </c>
      <c r="I114" s="160">
        <f>PriceMin</f>
        <v>9.9999999999999995E-7</v>
      </c>
      <c r="J114" s="160">
        <f>PriceMax</f>
        <v>10000000</v>
      </c>
      <c r="L114" s="87"/>
    </row>
    <row r="115" spans="2:12" x14ac:dyDescent="0.2">
      <c r="B115" s="77">
        <v>41</v>
      </c>
      <c r="C115" s="82" t="s">
        <v>221</v>
      </c>
      <c r="D115" s="160">
        <f>TimePct</f>
        <v>1.0027397260273974</v>
      </c>
      <c r="E115" s="137">
        <f t="shared" si="4"/>
        <v>0</v>
      </c>
      <c r="F115" s="139">
        <f t="shared" si="7"/>
        <v>990</v>
      </c>
      <c r="G115" s="137" t="b">
        <f t="shared" si="5"/>
        <v>1</v>
      </c>
      <c r="H115" s="139" t="b">
        <f t="shared" si="6"/>
        <v>1</v>
      </c>
      <c r="J115" s="160">
        <f>TimeMax</f>
        <v>100</v>
      </c>
      <c r="L115" s="169" t="s">
        <v>245</v>
      </c>
    </row>
    <row r="116" spans="2:12" x14ac:dyDescent="0.2">
      <c r="B116" s="77">
        <v>51</v>
      </c>
      <c r="C116" s="82" t="s">
        <v>15</v>
      </c>
      <c r="D116" s="160">
        <f>Steps</f>
        <v>101</v>
      </c>
      <c r="E116" s="137">
        <f t="shared" si="4"/>
        <v>0</v>
      </c>
      <c r="F116" s="142">
        <f>IF(OR(IsExpired,E116=0),990,10*$B116+E116)</f>
        <v>990</v>
      </c>
      <c r="G116" s="137" t="b">
        <f t="shared" si="5"/>
        <v>1</v>
      </c>
      <c r="H116" s="139" t="b">
        <f t="shared" si="6"/>
        <v>1</v>
      </c>
      <c r="I116" s="160">
        <f>StepsMin</f>
        <v>2</v>
      </c>
      <c r="J116" s="160">
        <f>StepsMax</f>
        <v>101</v>
      </c>
      <c r="L116" s="87"/>
    </row>
    <row r="117" spans="2:12" x14ac:dyDescent="0.2">
      <c r="B117" s="77">
        <v>52</v>
      </c>
      <c r="C117" s="82" t="s">
        <v>16</v>
      </c>
      <c r="D117" s="160">
        <f>Vol</f>
        <v>0.3</v>
      </c>
      <c r="E117" s="137">
        <f t="shared" si="4"/>
        <v>0</v>
      </c>
      <c r="F117" s="142">
        <f>IF(OR(IsExpired,E117=0),990,10*$B117+E117)</f>
        <v>990</v>
      </c>
      <c r="G117" s="137" t="b">
        <f t="shared" si="5"/>
        <v>1</v>
      </c>
      <c r="H117" s="139" t="b">
        <f t="shared" si="6"/>
        <v>1</v>
      </c>
      <c r="I117" s="164">
        <f>VolMin</f>
        <v>1E-4</v>
      </c>
      <c r="J117" s="163">
        <f>VolMax</f>
        <v>10</v>
      </c>
      <c r="K117" s="170" t="s">
        <v>246</v>
      </c>
      <c r="L117" s="87"/>
    </row>
    <row r="118" spans="2:12" x14ac:dyDescent="0.2">
      <c r="B118" s="77">
        <v>61</v>
      </c>
      <c r="C118" s="139" t="str">
        <f>IntRateLabel</f>
        <v>Interest Rate</v>
      </c>
      <c r="D118" s="160">
        <f>IntRate</f>
        <v>5.2999999999999999E-2</v>
      </c>
      <c r="E118" s="137">
        <f t="shared" si="4"/>
        <v>0</v>
      </c>
      <c r="F118" s="142">
        <f>IF(OR(IsExpired,E118=0),990,10*$B118+E118)</f>
        <v>990</v>
      </c>
      <c r="G118" s="137" t="b">
        <f t="shared" si="5"/>
        <v>1</v>
      </c>
      <c r="H118" s="139" t="b">
        <f t="shared" si="6"/>
        <v>1</v>
      </c>
      <c r="I118" s="163">
        <f>RateMin</f>
        <v>-0.5</v>
      </c>
      <c r="J118" s="163">
        <f>RateMax</f>
        <v>1</v>
      </c>
      <c r="K118" s="170" t="s">
        <v>246</v>
      </c>
      <c r="L118" s="87"/>
    </row>
    <row r="119" spans="2:12" x14ac:dyDescent="0.2">
      <c r="B119" s="77">
        <v>62</v>
      </c>
      <c r="C119" s="139" t="str">
        <f>YieldLabel</f>
        <v>Dividend Yield</v>
      </c>
      <c r="D119" s="160">
        <f>Yield</f>
        <v>0</v>
      </c>
      <c r="E119" s="137">
        <f t="shared" si="4"/>
        <v>0</v>
      </c>
      <c r="F119" s="142">
        <f>IF(OR(IsExpired,E119=0),990,10*$B119+E119)</f>
        <v>990</v>
      </c>
      <c r="G119" s="137" t="b">
        <f t="shared" si="5"/>
        <v>1</v>
      </c>
      <c r="H119" s="139" t="b">
        <f t="shared" si="6"/>
        <v>1</v>
      </c>
      <c r="I119" s="163">
        <f>RateMin</f>
        <v>-0.5</v>
      </c>
      <c r="J119" s="163">
        <f>RateMax</f>
        <v>1</v>
      </c>
      <c r="K119" s="170" t="s">
        <v>246</v>
      </c>
      <c r="L119" s="87"/>
    </row>
    <row r="120" spans="2:12" x14ac:dyDescent="0.2">
      <c r="B120" s="77">
        <v>71</v>
      </c>
      <c r="C120" s="82" t="s">
        <v>88</v>
      </c>
      <c r="D120" s="160">
        <f>DivAmount</f>
        <v>5</v>
      </c>
      <c r="E120" s="137">
        <f t="shared" si="4"/>
        <v>0</v>
      </c>
      <c r="F120" s="137">
        <f>IF(OR(IsExpired,DivAs&lt;&gt;2,E120=0),990,10*$B120+E120)</f>
        <v>990</v>
      </c>
      <c r="G120" s="137" t="b">
        <f t="shared" si="5"/>
        <v>1</v>
      </c>
      <c r="H120" s="139" t="b">
        <f t="shared" si="6"/>
        <v>1</v>
      </c>
      <c r="I120" s="160">
        <f>DivAmountMin</f>
        <v>0</v>
      </c>
      <c r="J120" s="160">
        <f>PriceMax</f>
        <v>10000000</v>
      </c>
      <c r="L120" s="87"/>
    </row>
    <row r="121" spans="2:12" x14ac:dyDescent="0.2">
      <c r="B121" s="78">
        <v>72</v>
      </c>
      <c r="C121" s="97" t="s">
        <v>220</v>
      </c>
      <c r="D121" s="161">
        <f>ExDivPct</f>
        <v>9.8630136986301367E-2</v>
      </c>
      <c r="E121" s="138">
        <f t="shared" si="4"/>
        <v>0</v>
      </c>
      <c r="F121" s="41">
        <f>IF(OR(IsExpired,DivAs&lt;&gt;2,DivAmount=0,E121=0),990,10*$B121+E121)</f>
        <v>990</v>
      </c>
      <c r="G121" s="138" t="b">
        <f t="shared" si="5"/>
        <v>1</v>
      </c>
      <c r="H121" s="140" t="b">
        <f t="shared" si="6"/>
        <v>1</v>
      </c>
      <c r="I121" s="88"/>
      <c r="J121" s="161">
        <f>TimeMax</f>
        <v>100</v>
      </c>
      <c r="K121" s="88"/>
      <c r="L121" s="171" t="s">
        <v>245</v>
      </c>
    </row>
    <row r="124" spans="2:12" x14ac:dyDescent="0.2">
      <c r="B124" s="35"/>
      <c r="C124" s="42" t="s">
        <v>218</v>
      </c>
      <c r="D124" s="72"/>
      <c r="E124" s="72"/>
      <c r="F124" s="72"/>
      <c r="G124" s="72"/>
      <c r="H124" s="72"/>
      <c r="I124" s="72"/>
      <c r="J124" s="43"/>
    </row>
    <row r="125" spans="2:12" x14ac:dyDescent="0.2">
      <c r="B125" s="32" t="s">
        <v>251</v>
      </c>
      <c r="C125" s="38"/>
      <c r="D125" s="72" t="s">
        <v>196</v>
      </c>
      <c r="E125" s="72" t="s">
        <v>215</v>
      </c>
      <c r="F125" s="30"/>
      <c r="G125" s="30"/>
      <c r="H125" s="30"/>
      <c r="I125" s="30"/>
      <c r="J125" s="31"/>
    </row>
    <row r="126" spans="2:12" x14ac:dyDescent="0.2">
      <c r="B126" s="34" t="s">
        <v>252</v>
      </c>
      <c r="C126" s="44"/>
      <c r="D126" s="174">
        <f>MIN(D128:D135)</f>
        <v>990</v>
      </c>
      <c r="E126" s="165" t="str">
        <f>IF(D126=990,"No errors or warnings",CONCATENATE(IF(D126&lt;100,"Warning","Error")," #",D126,": ",VLOOKUP(D126,$B$128:$E$135,4,FALSE)))</f>
        <v>No errors or warnings</v>
      </c>
      <c r="F126" s="165"/>
      <c r="G126" s="165"/>
      <c r="H126" s="165"/>
      <c r="I126" s="165"/>
      <c r="J126" s="175"/>
    </row>
    <row r="127" spans="2:12" x14ac:dyDescent="0.2">
      <c r="B127" s="35" t="s">
        <v>217</v>
      </c>
      <c r="C127" s="72" t="s">
        <v>216</v>
      </c>
      <c r="D127" s="72" t="s">
        <v>196</v>
      </c>
      <c r="E127" s="72" t="s">
        <v>215</v>
      </c>
      <c r="F127" s="30"/>
      <c r="G127" s="30"/>
      <c r="H127" s="30"/>
      <c r="I127" s="30"/>
      <c r="J127" s="31"/>
    </row>
    <row r="128" spans="2:12" x14ac:dyDescent="0.2">
      <c r="B128" s="33">
        <v>901</v>
      </c>
      <c r="C128" s="137" t="b">
        <f>AND(Model=3,2*Strike&lt;UndPrice)</f>
        <v>0</v>
      </c>
      <c r="D128" s="139">
        <f t="shared" ref="D128:D134" si="8">IF(C128,B128,990)</f>
        <v>990</v>
      </c>
      <c r="E128" s="28" t="str">
        <f>CONCATENATE("Can't generate Leisen-Reimer tree. Strike too small for this ",UndPriceLabel,". Change inputs or model.")</f>
        <v>Can't generate Leisen-Reimer tree. Strike too small for this Stock Price. Change inputs or model.</v>
      </c>
      <c r="F128" s="28"/>
      <c r="G128" s="28"/>
      <c r="H128" s="28"/>
      <c r="I128" s="28"/>
      <c r="J128" s="39"/>
    </row>
    <row r="129" spans="2:12" x14ac:dyDescent="0.2">
      <c r="B129" s="33">
        <v>902</v>
      </c>
      <c r="C129" s="137" t="b">
        <f>AND(Model=3,Strike&gt;10*UndPrice)</f>
        <v>0</v>
      </c>
      <c r="D129" s="139">
        <f t="shared" si="8"/>
        <v>990</v>
      </c>
      <c r="E129" s="28" t="str">
        <f>CONCATENATE("Can't generate Leisen-Reimer tree. Strike too big for this ",UndPriceLabel,". Change inputs or model.")</f>
        <v>Can't generate Leisen-Reimer tree. Strike too big for this Stock Price. Change inputs or model.</v>
      </c>
      <c r="F129" s="28"/>
      <c r="G129" s="28"/>
      <c r="H129" s="28"/>
      <c r="I129" s="28"/>
      <c r="J129" s="39"/>
    </row>
    <row r="130" spans="2:12" x14ac:dyDescent="0.2">
      <c r="B130" s="33">
        <v>911</v>
      </c>
      <c r="C130" s="137" t="b">
        <f>VolSQRTStep&lt;VolSQRTStepMin</f>
        <v>0</v>
      </c>
      <c r="D130" s="139">
        <f t="shared" si="8"/>
        <v>990</v>
      </c>
      <c r="E130" s="28" t="s">
        <v>219</v>
      </c>
      <c r="F130" s="28"/>
      <c r="G130" s="28"/>
      <c r="H130" s="28"/>
      <c r="I130" s="28"/>
      <c r="J130" s="39"/>
    </row>
    <row r="131" spans="2:12" x14ac:dyDescent="0.2">
      <c r="B131" s="33">
        <v>921</v>
      </c>
      <c r="C131" s="137" t="b">
        <f>AND(Yield&lt;0,OR(UndType=1,UndType=2))</f>
        <v>0</v>
      </c>
      <c r="D131" s="139">
        <f t="shared" si="8"/>
        <v>990</v>
      </c>
      <c r="E131" s="28" t="s">
        <v>232</v>
      </c>
      <c r="F131" s="28"/>
      <c r="G131" s="28"/>
      <c r="H131" s="28"/>
      <c r="I131" s="28"/>
      <c r="J131" s="39"/>
    </row>
    <row r="132" spans="2:12" x14ac:dyDescent="0.2">
      <c r="B132" s="33">
        <v>922</v>
      </c>
      <c r="C132" s="137" t="b">
        <f>AND(Yield&lt;0,UndType&lt;&gt;3)</f>
        <v>0</v>
      </c>
      <c r="D132" s="139">
        <f t="shared" si="8"/>
        <v>990</v>
      </c>
      <c r="E132" s="28" t="str">
        <f>CONCATENATE("Negative Yield only allowed for Forex options. Change ",YieldLabel," or Underlying Type.")</f>
        <v>Negative Yield only allowed for Forex options. Change Dividend Yield or Underlying Type.</v>
      </c>
      <c r="F132" s="28"/>
      <c r="G132" s="28"/>
      <c r="H132" s="28"/>
      <c r="I132" s="28"/>
      <c r="J132" s="39"/>
    </row>
    <row r="133" spans="2:12" x14ac:dyDescent="0.2">
      <c r="B133" s="33">
        <v>931</v>
      </c>
      <c r="C133" s="137" t="b">
        <f>AND(DivAmount&gt;=UndPrice,UndType=1)</f>
        <v>0</v>
      </c>
      <c r="D133" s="139">
        <f t="shared" si="8"/>
        <v>990</v>
      </c>
      <c r="E133" s="28" t="s">
        <v>253</v>
      </c>
      <c r="F133" s="28"/>
      <c r="G133" s="28"/>
      <c r="H133" s="28"/>
      <c r="I133" s="28"/>
      <c r="J133" s="39"/>
    </row>
    <row r="134" spans="2:12" x14ac:dyDescent="0.2">
      <c r="B134" s="33">
        <v>51</v>
      </c>
      <c r="C134" s="137" t="b">
        <f>AND(Model=3,MOD(StepsManual,2)=0)</f>
        <v>0</v>
      </c>
      <c r="D134" s="139">
        <f t="shared" si="8"/>
        <v>990</v>
      </c>
      <c r="E134" s="28" t="str">
        <f>CONCATENATE("Leisen-Reimer model can be inaccurate with even number of steps. ",IF(LRAdjustSteps,CONCATENATE("Using ",Steps," instead of ",StepsManual,"."),"Use odd number of steps."))</f>
        <v>Leisen-Reimer model can be inaccurate with even number of steps. Using 101 instead of 101.</v>
      </c>
      <c r="F134" s="28"/>
      <c r="G134" s="28"/>
      <c r="H134" s="28"/>
      <c r="I134" s="28"/>
      <c r="J134" s="39"/>
    </row>
    <row r="135" spans="2:12" x14ac:dyDescent="0.2">
      <c r="B135" s="80"/>
      <c r="C135" s="79"/>
      <c r="D135" s="79"/>
      <c r="E135" s="79"/>
      <c r="F135" s="79"/>
      <c r="G135" s="79"/>
      <c r="H135" s="79"/>
      <c r="I135" s="79"/>
      <c r="J135" s="81"/>
    </row>
    <row r="138" spans="2:12" x14ac:dyDescent="0.2">
      <c r="B138" s="35"/>
      <c r="C138" s="42" t="s">
        <v>223</v>
      </c>
      <c r="D138" s="72"/>
      <c r="E138" s="72"/>
      <c r="F138" s="72"/>
      <c r="G138" s="72"/>
      <c r="H138" s="72"/>
      <c r="I138" s="72"/>
      <c r="J138" s="72"/>
      <c r="K138" s="72"/>
      <c r="L138" s="43"/>
    </row>
    <row r="139" spans="2:12" x14ac:dyDescent="0.2">
      <c r="B139" s="32"/>
      <c r="C139" s="37"/>
      <c r="D139" s="37"/>
      <c r="E139" s="37"/>
      <c r="F139" s="37"/>
      <c r="G139" s="37"/>
      <c r="H139" s="37"/>
      <c r="I139" s="37"/>
      <c r="J139" s="37"/>
      <c r="K139" s="37"/>
      <c r="L139" s="38"/>
    </row>
    <row r="140" spans="2:12" x14ac:dyDescent="0.2">
      <c r="B140" s="33"/>
      <c r="C140" s="28" t="s">
        <v>265</v>
      </c>
      <c r="D140" s="28"/>
      <c r="E140" s="28"/>
      <c r="F140" s="28"/>
      <c r="G140" s="28"/>
      <c r="H140" s="28"/>
      <c r="I140" s="28"/>
      <c r="J140" s="28"/>
      <c r="K140" s="28"/>
      <c r="L140" s="39"/>
    </row>
    <row r="141" spans="2:12" x14ac:dyDescent="0.2">
      <c r="B141" s="33"/>
      <c r="C141" s="28" t="s">
        <v>264</v>
      </c>
      <c r="D141" s="28"/>
      <c r="E141" s="28"/>
      <c r="F141" s="28"/>
      <c r="G141" s="28"/>
      <c r="H141" s="28"/>
      <c r="I141" s="28"/>
      <c r="J141" s="28"/>
      <c r="K141" s="28"/>
      <c r="L141" s="39"/>
    </row>
    <row r="142" spans="2:12" x14ac:dyDescent="0.2">
      <c r="B142" s="33"/>
      <c r="C142" s="28"/>
      <c r="D142" s="28"/>
      <c r="E142" s="28"/>
      <c r="F142" s="28"/>
      <c r="G142" s="28"/>
      <c r="H142" s="28"/>
      <c r="I142" s="28"/>
      <c r="J142" s="28"/>
      <c r="K142" s="28"/>
      <c r="L142" s="39"/>
    </row>
    <row r="143" spans="2:12" x14ac:dyDescent="0.2">
      <c r="B143" s="33"/>
      <c r="C143" s="89" t="s">
        <v>197</v>
      </c>
      <c r="D143" s="28"/>
      <c r="E143" s="28"/>
      <c r="F143" s="28"/>
      <c r="G143" s="28"/>
      <c r="H143" s="28"/>
      <c r="I143" s="28"/>
      <c r="J143" s="28"/>
      <c r="K143" s="28"/>
      <c r="L143" s="39"/>
    </row>
    <row r="144" spans="2:12" x14ac:dyDescent="0.2">
      <c r="B144" s="33"/>
      <c r="C144" s="28" t="s">
        <v>224</v>
      </c>
      <c r="D144" s="176">
        <v>2</v>
      </c>
      <c r="E144" s="28" t="s">
        <v>274</v>
      </c>
      <c r="F144" s="28"/>
      <c r="G144" s="28"/>
      <c r="H144" s="28"/>
      <c r="I144" s="28"/>
      <c r="J144" s="28"/>
      <c r="K144" s="28"/>
      <c r="L144" s="39"/>
    </row>
    <row r="145" spans="2:12" x14ac:dyDescent="0.2">
      <c r="B145" s="33"/>
      <c r="C145" s="28" t="s">
        <v>225</v>
      </c>
      <c r="D145" s="176">
        <v>101</v>
      </c>
      <c r="E145" s="28" t="s">
        <v>228</v>
      </c>
      <c r="F145" s="28"/>
      <c r="G145" s="28"/>
      <c r="H145" s="28"/>
      <c r="I145" s="28"/>
      <c r="J145" s="28"/>
      <c r="K145" s="28"/>
      <c r="L145" s="39"/>
    </row>
    <row r="146" spans="2:12" x14ac:dyDescent="0.2">
      <c r="B146" s="33"/>
      <c r="C146" s="28" t="s">
        <v>198</v>
      </c>
      <c r="D146" s="85">
        <v>9.9999999999999995E-7</v>
      </c>
      <c r="E146" s="28" t="s">
        <v>239</v>
      </c>
      <c r="F146" s="28"/>
      <c r="G146" s="28"/>
      <c r="H146" s="28"/>
      <c r="I146" s="28"/>
      <c r="J146" s="28"/>
      <c r="K146" s="28"/>
      <c r="L146" s="39"/>
    </row>
    <row r="147" spans="2:12" x14ac:dyDescent="0.2">
      <c r="B147" s="33"/>
      <c r="C147" s="28" t="s">
        <v>222</v>
      </c>
      <c r="D147" s="85">
        <v>10000000</v>
      </c>
      <c r="E147" s="28" t="s">
        <v>240</v>
      </c>
      <c r="F147" s="28"/>
      <c r="G147" s="28"/>
      <c r="H147" s="28"/>
      <c r="I147" s="28"/>
      <c r="J147" s="28"/>
      <c r="K147" s="28"/>
      <c r="L147" s="39"/>
    </row>
    <row r="148" spans="2:12" x14ac:dyDescent="0.2">
      <c r="B148" s="33"/>
      <c r="C148" s="28" t="s">
        <v>247</v>
      </c>
      <c r="D148" s="85">
        <v>100</v>
      </c>
      <c r="E148" s="28" t="s">
        <v>248</v>
      </c>
      <c r="F148" s="28"/>
      <c r="G148" s="28"/>
      <c r="H148" s="28"/>
      <c r="I148" s="28"/>
      <c r="J148" s="28"/>
      <c r="K148" s="28"/>
      <c r="L148" s="39"/>
    </row>
    <row r="149" spans="2:12" x14ac:dyDescent="0.2">
      <c r="B149" s="33"/>
      <c r="C149" s="28" t="s">
        <v>241</v>
      </c>
      <c r="D149" s="102">
        <v>1E-4</v>
      </c>
      <c r="E149" s="28" t="s">
        <v>242</v>
      </c>
      <c r="F149" s="28"/>
      <c r="G149" s="28"/>
      <c r="H149" s="28"/>
      <c r="I149" s="28"/>
      <c r="J149" s="28"/>
      <c r="K149" s="28"/>
      <c r="L149" s="39"/>
    </row>
    <row r="150" spans="2:12" x14ac:dyDescent="0.2">
      <c r="B150" s="33"/>
      <c r="C150" s="28" t="s">
        <v>234</v>
      </c>
      <c r="D150" s="91">
        <v>10</v>
      </c>
      <c r="E150" s="28" t="s">
        <v>237</v>
      </c>
      <c r="F150" s="28"/>
      <c r="G150" s="28"/>
      <c r="H150" s="28"/>
      <c r="I150" s="28"/>
      <c r="J150" s="28"/>
      <c r="K150" s="28"/>
      <c r="L150" s="39"/>
    </row>
    <row r="151" spans="2:12" x14ac:dyDescent="0.2">
      <c r="B151" s="33"/>
      <c r="C151" s="28" t="s">
        <v>235</v>
      </c>
      <c r="D151" s="91">
        <v>-0.5</v>
      </c>
      <c r="E151" s="28" t="s">
        <v>308</v>
      </c>
      <c r="F151" s="28"/>
      <c r="G151" s="28"/>
      <c r="H151" s="28"/>
      <c r="I151" s="28"/>
      <c r="J151" s="28"/>
      <c r="K151" s="28"/>
      <c r="L151" s="39"/>
    </row>
    <row r="152" spans="2:12" x14ac:dyDescent="0.2">
      <c r="B152" s="33"/>
      <c r="C152" s="28" t="s">
        <v>236</v>
      </c>
      <c r="D152" s="91">
        <v>1</v>
      </c>
      <c r="E152" s="28" t="s">
        <v>238</v>
      </c>
      <c r="F152" s="28"/>
      <c r="G152" s="28"/>
      <c r="H152" s="28"/>
      <c r="I152" s="28"/>
      <c r="J152" s="28"/>
      <c r="K152" s="28"/>
      <c r="L152" s="39"/>
    </row>
    <row r="153" spans="2:12" x14ac:dyDescent="0.2">
      <c r="B153" s="33"/>
      <c r="C153" s="28" t="s">
        <v>194</v>
      </c>
      <c r="D153" s="85">
        <v>2.9999999999999997E-4</v>
      </c>
      <c r="E153" s="28" t="s">
        <v>275</v>
      </c>
      <c r="F153" s="28"/>
      <c r="G153" s="28"/>
      <c r="H153" s="28"/>
      <c r="I153" s="28"/>
      <c r="J153" s="28"/>
      <c r="K153" s="28"/>
      <c r="L153" s="39"/>
    </row>
    <row r="154" spans="2:12" x14ac:dyDescent="0.2">
      <c r="B154" s="33"/>
      <c r="C154" s="28"/>
      <c r="D154" s="28"/>
      <c r="E154" s="28" t="s">
        <v>195</v>
      </c>
      <c r="F154" s="28"/>
      <c r="G154" s="28"/>
      <c r="H154" s="28"/>
      <c r="I154" s="28"/>
      <c r="J154" s="28"/>
      <c r="K154" s="28"/>
      <c r="L154" s="39"/>
    </row>
    <row r="155" spans="2:12" x14ac:dyDescent="0.2">
      <c r="B155" s="33"/>
      <c r="C155" s="28"/>
      <c r="D155" s="28"/>
      <c r="E155" s="28" t="s">
        <v>199</v>
      </c>
      <c r="F155" s="28"/>
      <c r="G155" s="28"/>
      <c r="H155" s="28"/>
      <c r="I155" s="28"/>
      <c r="J155" s="28"/>
      <c r="K155" s="28"/>
      <c r="L155" s="39"/>
    </row>
    <row r="156" spans="2:12" x14ac:dyDescent="0.2">
      <c r="B156" s="33"/>
      <c r="C156" s="28" t="s">
        <v>249</v>
      </c>
      <c r="D156" s="85">
        <v>0</v>
      </c>
      <c r="E156" s="28" t="s">
        <v>250</v>
      </c>
      <c r="F156" s="28"/>
      <c r="G156" s="28"/>
      <c r="H156" s="28"/>
      <c r="I156" s="28"/>
      <c r="J156" s="28"/>
      <c r="K156" s="28"/>
      <c r="L156" s="39"/>
    </row>
    <row r="157" spans="2:12" x14ac:dyDescent="0.2">
      <c r="B157" s="33"/>
      <c r="C157" s="28"/>
      <c r="D157" s="28"/>
      <c r="E157" s="28"/>
      <c r="F157" s="28"/>
      <c r="G157" s="28"/>
      <c r="H157" s="28"/>
      <c r="I157" s="28"/>
      <c r="J157" s="28"/>
      <c r="K157" s="28"/>
      <c r="L157" s="39"/>
    </row>
    <row r="158" spans="2:12" x14ac:dyDescent="0.2">
      <c r="B158" s="33"/>
      <c r="C158" s="89" t="s">
        <v>148</v>
      </c>
      <c r="D158" s="28"/>
      <c r="E158" s="28"/>
      <c r="F158" s="28"/>
      <c r="G158" s="28"/>
      <c r="H158" s="28"/>
      <c r="I158" s="28"/>
      <c r="J158" s="28"/>
      <c r="K158" s="28"/>
      <c r="L158" s="39"/>
    </row>
    <row r="159" spans="2:12" x14ac:dyDescent="0.2">
      <c r="B159" s="33"/>
      <c r="C159" s="82" t="s">
        <v>193</v>
      </c>
      <c r="D159" s="176">
        <v>100</v>
      </c>
      <c r="E159" s="82" t="s">
        <v>227</v>
      </c>
      <c r="F159" s="82"/>
      <c r="G159" s="28"/>
      <c r="H159" s="28"/>
      <c r="I159" s="28"/>
      <c r="J159" s="28"/>
      <c r="K159" s="28"/>
      <c r="L159" s="39"/>
    </row>
    <row r="160" spans="2:12" x14ac:dyDescent="0.2">
      <c r="B160" s="33"/>
      <c r="C160" s="82" t="s">
        <v>307</v>
      </c>
      <c r="D160" s="176">
        <v>10</v>
      </c>
      <c r="E160" s="82" t="s">
        <v>306</v>
      </c>
      <c r="F160" s="82"/>
      <c r="G160" s="28"/>
      <c r="H160" s="28"/>
      <c r="I160" s="28"/>
      <c r="J160" s="28"/>
      <c r="K160" s="28"/>
      <c r="L160" s="39"/>
    </row>
    <row r="161" spans="2:12" x14ac:dyDescent="0.2">
      <c r="B161" s="33"/>
      <c r="C161" s="82" t="s">
        <v>192</v>
      </c>
      <c r="D161" s="107">
        <v>0.5</v>
      </c>
      <c r="E161" s="82" t="s">
        <v>283</v>
      </c>
      <c r="F161" s="82"/>
      <c r="G161" s="28"/>
      <c r="H161" s="28"/>
      <c r="I161" s="28"/>
      <c r="J161" s="28"/>
      <c r="K161" s="28"/>
      <c r="L161" s="39"/>
    </row>
    <row r="162" spans="2:12" x14ac:dyDescent="0.2">
      <c r="B162" s="33"/>
      <c r="C162" s="82" t="s">
        <v>191</v>
      </c>
      <c r="D162" s="107">
        <v>0.04</v>
      </c>
      <c r="E162" s="82" t="s">
        <v>126</v>
      </c>
      <c r="F162" s="82"/>
      <c r="G162" s="28"/>
      <c r="H162" s="28"/>
      <c r="I162" s="28"/>
      <c r="J162" s="28"/>
      <c r="K162" s="28"/>
      <c r="L162" s="39"/>
    </row>
    <row r="163" spans="2:12" x14ac:dyDescent="0.2">
      <c r="B163" s="33"/>
      <c r="C163" s="82" t="s">
        <v>286</v>
      </c>
      <c r="D163" s="107">
        <v>30</v>
      </c>
      <c r="E163" s="82" t="s">
        <v>287</v>
      </c>
      <c r="F163" s="82"/>
      <c r="G163" s="28"/>
      <c r="H163" s="28"/>
      <c r="I163" s="28"/>
      <c r="J163" s="28"/>
      <c r="K163" s="28"/>
      <c r="L163" s="39"/>
    </row>
    <row r="164" spans="2:12" x14ac:dyDescent="0.2">
      <c r="B164" s="33"/>
      <c r="C164" s="82" t="s">
        <v>309</v>
      </c>
      <c r="D164" s="107">
        <v>30</v>
      </c>
      <c r="E164" s="82" t="s">
        <v>310</v>
      </c>
      <c r="F164" s="82"/>
      <c r="G164" s="28"/>
      <c r="H164" s="28"/>
      <c r="I164" s="28"/>
      <c r="J164" s="28"/>
      <c r="K164" s="28"/>
      <c r="L164" s="39"/>
    </row>
    <row r="165" spans="2:12" x14ac:dyDescent="0.2">
      <c r="B165" s="33"/>
      <c r="C165" s="82" t="s">
        <v>226</v>
      </c>
      <c r="D165" s="85">
        <v>2</v>
      </c>
      <c r="E165" s="82" t="s">
        <v>127</v>
      </c>
      <c r="F165" s="82"/>
      <c r="G165" s="28"/>
      <c r="H165" s="28"/>
      <c r="I165" s="28"/>
      <c r="J165" s="28"/>
      <c r="K165" s="28"/>
      <c r="L165" s="39"/>
    </row>
    <row r="166" spans="2:12" x14ac:dyDescent="0.2">
      <c r="B166" s="33"/>
      <c r="C166" s="28"/>
      <c r="D166" s="28"/>
      <c r="E166" s="28"/>
      <c r="F166" s="28"/>
      <c r="G166" s="28"/>
      <c r="H166" s="28"/>
      <c r="I166" s="28"/>
      <c r="J166" s="28"/>
      <c r="K166" s="28"/>
      <c r="L166" s="39"/>
    </row>
    <row r="167" spans="2:12" x14ac:dyDescent="0.2">
      <c r="B167" s="33"/>
      <c r="C167" s="90" t="s">
        <v>147</v>
      </c>
      <c r="D167" s="82"/>
      <c r="E167" s="82"/>
      <c r="F167" s="82"/>
      <c r="G167" s="82"/>
      <c r="H167" s="82"/>
      <c r="I167" s="82"/>
      <c r="J167" s="28"/>
      <c r="K167" s="28"/>
      <c r="L167" s="39"/>
    </row>
    <row r="168" spans="2:12" x14ac:dyDescent="0.2">
      <c r="B168" s="33"/>
      <c r="C168" s="82" t="s">
        <v>276</v>
      </c>
      <c r="D168" s="91">
        <v>0.01</v>
      </c>
      <c r="E168" s="82" t="s">
        <v>266</v>
      </c>
      <c r="F168" s="82"/>
      <c r="G168" s="82"/>
      <c r="H168" s="82"/>
      <c r="I168" s="82"/>
      <c r="J168" s="28"/>
      <c r="K168" s="28"/>
      <c r="L168" s="39"/>
    </row>
    <row r="169" spans="2:12" x14ac:dyDescent="0.2">
      <c r="B169" s="33"/>
      <c r="C169" s="82" t="s">
        <v>277</v>
      </c>
      <c r="D169" s="91">
        <v>0.01</v>
      </c>
      <c r="E169" s="82" t="s">
        <v>267</v>
      </c>
      <c r="F169" s="82"/>
      <c r="G169" s="82"/>
      <c r="H169" s="82"/>
      <c r="I169" s="82"/>
      <c r="J169" s="28"/>
      <c r="K169" s="28"/>
      <c r="L169" s="39"/>
    </row>
    <row r="170" spans="2:12" x14ac:dyDescent="0.2">
      <c r="B170" s="33"/>
      <c r="C170" s="82" t="s">
        <v>278</v>
      </c>
      <c r="D170" s="91">
        <v>0.01</v>
      </c>
      <c r="E170" s="82" t="s">
        <v>136</v>
      </c>
      <c r="F170" s="82"/>
      <c r="G170" s="82"/>
      <c r="H170" s="82"/>
      <c r="I170" s="82"/>
      <c r="J170" s="28"/>
      <c r="K170" s="28"/>
      <c r="L170" s="39"/>
    </row>
    <row r="171" spans="2:12" x14ac:dyDescent="0.2">
      <c r="B171" s="33"/>
      <c r="C171" s="82" t="s">
        <v>279</v>
      </c>
      <c r="D171" s="91">
        <v>0.01</v>
      </c>
      <c r="E171" s="82" t="s">
        <v>137</v>
      </c>
      <c r="F171" s="82"/>
      <c r="G171" s="82"/>
      <c r="H171" s="82"/>
      <c r="I171" s="82"/>
      <c r="J171" s="28"/>
      <c r="K171" s="28"/>
      <c r="L171" s="39"/>
    </row>
    <row r="172" spans="2:12" x14ac:dyDescent="0.2">
      <c r="B172" s="33"/>
      <c r="C172" s="82" t="s">
        <v>280</v>
      </c>
      <c r="D172" s="91">
        <v>0.01</v>
      </c>
      <c r="E172" s="82" t="s">
        <v>138</v>
      </c>
      <c r="F172" s="82"/>
      <c r="G172" s="82"/>
      <c r="H172" s="82"/>
      <c r="I172" s="82"/>
      <c r="J172" s="28"/>
      <c r="K172" s="28"/>
      <c r="L172" s="39"/>
    </row>
    <row r="173" spans="2:12" x14ac:dyDescent="0.2">
      <c r="B173" s="34"/>
      <c r="C173" s="40"/>
      <c r="D173" s="40"/>
      <c r="E173" s="40"/>
      <c r="F173" s="40"/>
      <c r="G173" s="40"/>
      <c r="H173" s="40"/>
      <c r="I173" s="40"/>
      <c r="J173" s="40"/>
      <c r="K173" s="40"/>
      <c r="L173" s="44"/>
    </row>
    <row r="176" spans="2:12" x14ac:dyDescent="0.2">
      <c r="B176" s="35"/>
      <c r="C176" s="42" t="s">
        <v>150</v>
      </c>
      <c r="D176" s="72"/>
      <c r="E176" s="72"/>
      <c r="F176" s="72"/>
      <c r="G176" s="72"/>
      <c r="H176" s="72"/>
      <c r="I176" s="72"/>
      <c r="J176" s="72"/>
      <c r="K176" s="72"/>
      <c r="L176" s="43"/>
    </row>
    <row r="177" spans="2:12" x14ac:dyDescent="0.2">
      <c r="B177" s="32"/>
      <c r="C177" s="37"/>
      <c r="D177" s="37"/>
      <c r="E177" s="37"/>
      <c r="F177" s="37"/>
      <c r="G177" s="37"/>
      <c r="H177" s="37"/>
      <c r="I177" s="37"/>
      <c r="J177" s="37"/>
      <c r="K177" s="37"/>
      <c r="L177" s="38"/>
    </row>
    <row r="178" spans="2:12" x14ac:dyDescent="0.2">
      <c r="B178" s="33"/>
      <c r="C178" s="28" t="s">
        <v>269</v>
      </c>
      <c r="D178" s="28"/>
      <c r="E178" s="28"/>
      <c r="F178" s="28"/>
      <c r="G178" s="28"/>
      <c r="H178" s="28"/>
      <c r="I178" s="28"/>
      <c r="J178" s="28"/>
      <c r="K178" s="28"/>
      <c r="L178" s="39"/>
    </row>
    <row r="179" spans="2:12" x14ac:dyDescent="0.2">
      <c r="B179" s="33"/>
      <c r="C179" s="28"/>
      <c r="D179" s="28"/>
      <c r="E179" s="28"/>
      <c r="F179" s="28"/>
      <c r="G179" s="28"/>
      <c r="H179" s="28"/>
      <c r="I179" s="28"/>
      <c r="J179" s="28"/>
      <c r="K179" s="28"/>
      <c r="L179" s="39"/>
    </row>
    <row r="180" spans="2:12" x14ac:dyDescent="0.2">
      <c r="B180" s="33"/>
      <c r="C180" s="82" t="s">
        <v>302</v>
      </c>
      <c r="D180" s="85" t="b">
        <v>0</v>
      </c>
      <c r="E180" s="82" t="s">
        <v>305</v>
      </c>
      <c r="F180" s="28"/>
      <c r="G180" s="28"/>
      <c r="H180" s="28"/>
      <c r="I180" s="28"/>
      <c r="J180" s="28"/>
      <c r="K180" s="28"/>
      <c r="L180" s="39"/>
    </row>
    <row r="181" spans="2:12" x14ac:dyDescent="0.2">
      <c r="B181" s="33"/>
      <c r="C181" s="28"/>
      <c r="D181" s="28"/>
      <c r="E181" s="28"/>
      <c r="F181" s="28"/>
      <c r="G181" s="28"/>
      <c r="H181" s="28"/>
      <c r="I181" s="28"/>
      <c r="J181" s="28"/>
      <c r="K181" s="28"/>
      <c r="L181" s="39"/>
    </row>
    <row r="182" spans="2:12" x14ac:dyDescent="0.2">
      <c r="B182" s="33"/>
      <c r="C182" s="28" t="s">
        <v>303</v>
      </c>
      <c r="D182" s="28"/>
      <c r="E182" s="28"/>
      <c r="F182" s="28"/>
      <c r="G182" s="28"/>
      <c r="H182" s="28"/>
      <c r="I182" s="28"/>
      <c r="J182" s="28"/>
      <c r="K182" s="28"/>
      <c r="L182" s="39"/>
    </row>
    <row r="183" spans="2:12" x14ac:dyDescent="0.2">
      <c r="B183" s="33"/>
      <c r="C183" s="28"/>
      <c r="D183" s="28"/>
      <c r="E183" s="28"/>
      <c r="F183" s="28"/>
      <c r="G183" s="28"/>
      <c r="H183" s="28"/>
      <c r="I183" s="28"/>
      <c r="J183" s="28"/>
      <c r="K183" s="28"/>
      <c r="L183" s="39"/>
    </row>
    <row r="184" spans="2:12" x14ac:dyDescent="0.2">
      <c r="B184" s="33"/>
      <c r="C184" s="90" t="s">
        <v>151</v>
      </c>
      <c r="D184" s="82"/>
      <c r="E184" s="82" t="s">
        <v>268</v>
      </c>
      <c r="F184" s="28"/>
      <c r="G184" s="28"/>
      <c r="H184" s="28"/>
      <c r="I184" s="28"/>
      <c r="J184" s="28"/>
      <c r="K184" s="28"/>
      <c r="L184" s="39"/>
    </row>
    <row r="185" spans="2:12" x14ac:dyDescent="0.2">
      <c r="B185" s="33"/>
      <c r="C185" s="82" t="s">
        <v>292</v>
      </c>
      <c r="D185" s="125">
        <v>123.456</v>
      </c>
      <c r="E185" s="82" t="s">
        <v>131</v>
      </c>
      <c r="F185" s="28"/>
      <c r="G185" s="28"/>
      <c r="H185" s="28"/>
      <c r="I185" s="28"/>
      <c r="J185" s="28"/>
      <c r="K185" s="28"/>
      <c r="L185" s="39"/>
    </row>
    <row r="186" spans="2:12" x14ac:dyDescent="0.2">
      <c r="B186" s="33"/>
      <c r="C186" s="82" t="s">
        <v>304</v>
      </c>
      <c r="D186" s="124">
        <v>123.456</v>
      </c>
      <c r="E186" s="82" t="s">
        <v>301</v>
      </c>
      <c r="F186" s="28"/>
      <c r="G186" s="28"/>
      <c r="H186" s="28"/>
      <c r="I186" s="28"/>
      <c r="J186" s="28"/>
      <c r="K186" s="28"/>
      <c r="L186" s="39"/>
    </row>
    <row r="187" spans="2:12" x14ac:dyDescent="0.2">
      <c r="B187" s="33"/>
      <c r="C187" s="82" t="s">
        <v>293</v>
      </c>
      <c r="D187" s="103">
        <v>123.456</v>
      </c>
      <c r="E187" s="82" t="s">
        <v>128</v>
      </c>
      <c r="F187" s="28"/>
      <c r="G187" s="28"/>
      <c r="H187" s="28"/>
      <c r="I187" s="28"/>
      <c r="J187" s="28"/>
      <c r="K187" s="28"/>
      <c r="L187" s="39"/>
    </row>
    <row r="188" spans="2:12" x14ac:dyDescent="0.2">
      <c r="B188" s="33"/>
      <c r="C188" s="82" t="s">
        <v>294</v>
      </c>
      <c r="D188" s="151">
        <v>123.456</v>
      </c>
      <c r="E188" s="82" t="s">
        <v>129</v>
      </c>
      <c r="F188" s="28"/>
      <c r="G188" s="28"/>
      <c r="H188" s="28"/>
      <c r="I188" s="28"/>
      <c r="J188" s="28"/>
      <c r="K188" s="28"/>
      <c r="L188" s="39"/>
    </row>
    <row r="189" spans="2:12" x14ac:dyDescent="0.2">
      <c r="B189" s="33"/>
      <c r="C189" s="82" t="s">
        <v>295</v>
      </c>
      <c r="D189" s="28">
        <v>123.456</v>
      </c>
      <c r="E189" s="82" t="s">
        <v>130</v>
      </c>
      <c r="F189" s="28"/>
      <c r="G189" s="28"/>
      <c r="H189" s="28"/>
      <c r="I189" s="28"/>
      <c r="J189" s="28"/>
      <c r="K189" s="28"/>
      <c r="L189" s="39"/>
    </row>
    <row r="190" spans="2:12" x14ac:dyDescent="0.2">
      <c r="B190" s="33"/>
      <c r="C190" s="28"/>
      <c r="D190" s="28"/>
      <c r="E190" s="28"/>
      <c r="F190" s="28"/>
      <c r="G190" s="28"/>
      <c r="H190" s="28"/>
      <c r="I190" s="28"/>
      <c r="J190" s="28"/>
      <c r="K190" s="28"/>
      <c r="L190" s="39"/>
    </row>
    <row r="191" spans="2:12" x14ac:dyDescent="0.2">
      <c r="B191" s="33"/>
      <c r="C191" s="90" t="s">
        <v>254</v>
      </c>
      <c r="D191" s="82"/>
      <c r="E191" s="82" t="s">
        <v>255</v>
      </c>
      <c r="F191" s="82"/>
      <c r="G191" s="28"/>
      <c r="H191" s="28"/>
      <c r="I191" s="28"/>
      <c r="J191" s="28"/>
      <c r="K191" s="28"/>
      <c r="L191" s="39"/>
    </row>
    <row r="192" spans="2:12" x14ac:dyDescent="0.2">
      <c r="B192" s="33"/>
      <c r="C192" s="82" t="s">
        <v>155</v>
      </c>
      <c r="D192" s="104">
        <v>43676</v>
      </c>
      <c r="E192" s="82" t="s">
        <v>257</v>
      </c>
      <c r="F192" s="82"/>
      <c r="G192" s="28"/>
      <c r="H192" s="28"/>
      <c r="I192" s="28"/>
      <c r="J192" s="28"/>
      <c r="K192" s="28"/>
      <c r="L192" s="39"/>
    </row>
    <row r="193" spans="2:12" x14ac:dyDescent="0.2">
      <c r="B193" s="33"/>
      <c r="C193" s="82" t="s">
        <v>156</v>
      </c>
      <c r="D193" s="105">
        <v>0.57995370370370369</v>
      </c>
      <c r="E193" s="82" t="s">
        <v>258</v>
      </c>
      <c r="F193" s="82"/>
      <c r="G193" s="28"/>
      <c r="H193" s="28"/>
      <c r="I193" s="28"/>
      <c r="J193" s="28"/>
      <c r="K193" s="28"/>
      <c r="L193" s="39"/>
    </row>
    <row r="194" spans="2:12" x14ac:dyDescent="0.2">
      <c r="B194" s="33"/>
      <c r="C194" s="82" t="s">
        <v>163</v>
      </c>
      <c r="D194" s="114">
        <v>43676</v>
      </c>
      <c r="E194" s="82" t="s">
        <v>285</v>
      </c>
      <c r="F194" s="82"/>
      <c r="G194" s="28"/>
      <c r="H194" s="28"/>
      <c r="I194" s="28"/>
      <c r="J194" s="28"/>
      <c r="K194" s="28"/>
      <c r="L194" s="39"/>
    </row>
    <row r="195" spans="2:12" x14ac:dyDescent="0.2">
      <c r="B195" s="33"/>
      <c r="C195" s="82" t="s">
        <v>157</v>
      </c>
      <c r="D195" s="85">
        <v>42.358764000000001</v>
      </c>
      <c r="E195" s="82" t="s">
        <v>259</v>
      </c>
      <c r="F195" s="82"/>
      <c r="G195" s="28"/>
      <c r="H195" s="28"/>
      <c r="I195" s="28"/>
      <c r="J195" s="28"/>
      <c r="K195" s="28"/>
      <c r="L195" s="39"/>
    </row>
    <row r="196" spans="2:12" x14ac:dyDescent="0.2">
      <c r="B196" s="33"/>
      <c r="C196" s="82" t="s">
        <v>158</v>
      </c>
      <c r="D196" s="102">
        <v>0.1160514082191</v>
      </c>
      <c r="E196" s="82" t="s">
        <v>260</v>
      </c>
      <c r="F196" s="82"/>
      <c r="G196" s="28"/>
      <c r="H196" s="28"/>
      <c r="I196" s="28"/>
      <c r="J196" s="28"/>
      <c r="K196" s="28"/>
      <c r="L196" s="39"/>
    </row>
    <row r="197" spans="2:12" x14ac:dyDescent="0.2">
      <c r="B197" s="33"/>
      <c r="C197" s="82" t="s">
        <v>159</v>
      </c>
      <c r="D197" s="102">
        <v>0.21486753</v>
      </c>
      <c r="E197" s="82" t="s">
        <v>256</v>
      </c>
      <c r="F197" s="82"/>
      <c r="G197" s="28"/>
      <c r="H197" s="28"/>
      <c r="I197" s="28"/>
      <c r="J197" s="28"/>
      <c r="K197" s="28"/>
      <c r="L197" s="39"/>
    </row>
    <row r="198" spans="2:12" x14ac:dyDescent="0.2">
      <c r="B198" s="33"/>
      <c r="C198" s="82" t="s">
        <v>160</v>
      </c>
      <c r="D198" s="102">
        <v>2.31041944E-2</v>
      </c>
      <c r="E198" s="82" t="s">
        <v>261</v>
      </c>
      <c r="F198" s="82"/>
      <c r="G198" s="28"/>
      <c r="H198" s="28"/>
      <c r="I198" s="28"/>
      <c r="J198" s="28"/>
      <c r="K198" s="28"/>
      <c r="L198" s="39"/>
    </row>
    <row r="199" spans="2:12" x14ac:dyDescent="0.2">
      <c r="B199" s="33"/>
      <c r="C199" s="82" t="s">
        <v>161</v>
      </c>
      <c r="D199" s="85">
        <v>1023.4846078</v>
      </c>
      <c r="E199" s="82" t="s">
        <v>262</v>
      </c>
      <c r="F199" s="82"/>
      <c r="G199" s="28"/>
      <c r="H199" s="28"/>
      <c r="I199" s="28"/>
      <c r="J199" s="28"/>
      <c r="K199" s="28"/>
      <c r="L199" s="39"/>
    </row>
    <row r="200" spans="2:12" x14ac:dyDescent="0.2">
      <c r="B200" s="33"/>
      <c r="C200" s="82" t="s">
        <v>162</v>
      </c>
      <c r="D200" s="85">
        <v>1023.4846078</v>
      </c>
      <c r="E200" s="82" t="s">
        <v>263</v>
      </c>
      <c r="F200" s="82"/>
      <c r="G200" s="28"/>
      <c r="H200" s="28"/>
      <c r="I200" s="28"/>
      <c r="J200" s="28"/>
      <c r="K200" s="28"/>
      <c r="L200" s="39"/>
    </row>
    <row r="201" spans="2:12" x14ac:dyDescent="0.2">
      <c r="B201" s="34"/>
      <c r="C201" s="40"/>
      <c r="D201" s="40"/>
      <c r="E201" s="40"/>
      <c r="F201" s="40"/>
      <c r="G201" s="40"/>
      <c r="H201" s="40"/>
      <c r="I201" s="40"/>
      <c r="J201" s="40"/>
      <c r="K201" s="40"/>
      <c r="L201" s="44"/>
    </row>
  </sheetData>
  <mergeCells count="2">
    <mergeCell ref="E1:I1"/>
    <mergeCell ref="A1:D1"/>
  </mergeCells>
  <pageMargins left="0.7" right="0.7" top="0.75" bottom="0.75" header="0.3" footer="0.3"/>
  <ignoredErrors>
    <ignoredError sqref="K117:K119" numberStoredAsText="1"/>
  </ignoredError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C42BA6-8FF5-4681-A8C4-232E9EAEC507}">
  <sheetPr codeName="Sheet7"/>
  <dimension ref="A1:Y34"/>
  <sheetViews>
    <sheetView showGridLines="0" workbookViewId="0">
      <selection activeCell="L4" sqref="L4"/>
    </sheetView>
  </sheetViews>
  <sheetFormatPr baseColWidth="10" defaultColWidth="8.83203125" defaultRowHeight="15" x14ac:dyDescent="0.2"/>
  <cols>
    <col min="1" max="2" width="4.5" customWidth="1"/>
    <col min="3" max="3" width="20" customWidth="1"/>
    <col min="4" max="4" width="17.83203125" customWidth="1"/>
  </cols>
  <sheetData>
    <row r="1" spans="1:25" ht="24" customHeight="1" x14ac:dyDescent="0.3">
      <c r="A1" s="207" t="s">
        <v>146</v>
      </c>
      <c r="B1" s="208"/>
      <c r="C1" s="208"/>
      <c r="D1" s="208"/>
      <c r="E1" s="202"/>
      <c r="F1" s="199"/>
      <c r="G1" s="199"/>
      <c r="H1" s="199"/>
      <c r="I1" s="199"/>
      <c r="J1" s="46"/>
      <c r="K1" s="46"/>
      <c r="L1" s="46"/>
      <c r="M1" s="46"/>
      <c r="N1" s="46"/>
      <c r="O1" s="46"/>
      <c r="P1" s="46"/>
      <c r="Q1" s="46"/>
      <c r="R1" s="46"/>
      <c r="S1" s="46"/>
      <c r="T1" s="46"/>
      <c r="U1" s="46"/>
      <c r="V1" s="46"/>
      <c r="W1" s="46"/>
      <c r="X1" s="46"/>
      <c r="Y1" s="47"/>
    </row>
    <row r="4" spans="1:25" x14ac:dyDescent="0.2">
      <c r="C4" t="s">
        <v>271</v>
      </c>
    </row>
    <row r="7" spans="1:25" x14ac:dyDescent="0.2">
      <c r="C7" s="1" t="s">
        <v>140</v>
      </c>
    </row>
    <row r="8" spans="1:25" x14ac:dyDescent="0.2">
      <c r="C8" s="2" t="s">
        <v>10</v>
      </c>
      <c r="D8" s="14">
        <v>365</v>
      </c>
      <c r="F8" t="s">
        <v>141</v>
      </c>
    </row>
    <row r="9" spans="1:25" x14ac:dyDescent="0.2">
      <c r="C9" s="2" t="s">
        <v>12</v>
      </c>
      <c r="D9" s="14">
        <v>365</v>
      </c>
      <c r="F9" t="s">
        <v>142</v>
      </c>
    </row>
    <row r="10" spans="1:25" x14ac:dyDescent="0.2">
      <c r="C10" s="2" t="s">
        <v>11</v>
      </c>
      <c r="D10" s="14">
        <v>-1</v>
      </c>
      <c r="F10" t="s">
        <v>139</v>
      </c>
    </row>
    <row r="13" spans="1:25" x14ac:dyDescent="0.2">
      <c r="C13" s="1" t="s">
        <v>135</v>
      </c>
    </row>
    <row r="14" spans="1:25" x14ac:dyDescent="0.2">
      <c r="C14" s="2" t="s">
        <v>36</v>
      </c>
      <c r="D14" s="14" t="b">
        <v>1</v>
      </c>
      <c r="F14" t="s">
        <v>132</v>
      </c>
    </row>
    <row r="15" spans="1:25" x14ac:dyDescent="0.2">
      <c r="C15" s="2" t="s">
        <v>37</v>
      </c>
      <c r="D15" s="14" t="b">
        <v>1</v>
      </c>
      <c r="F15" t="s">
        <v>133</v>
      </c>
    </row>
    <row r="16" spans="1:25" x14ac:dyDescent="0.2">
      <c r="C16" s="2" t="s">
        <v>38</v>
      </c>
      <c r="D16" s="14" t="b">
        <v>1</v>
      </c>
      <c r="F16" t="s">
        <v>134</v>
      </c>
    </row>
    <row r="19" spans="3:6" x14ac:dyDescent="0.2">
      <c r="C19" s="1" t="s">
        <v>270</v>
      </c>
    </row>
    <row r="20" spans="3:6" x14ac:dyDescent="0.2">
      <c r="C20" s="2" t="s">
        <v>125</v>
      </c>
      <c r="D20" s="14" t="b">
        <v>1</v>
      </c>
      <c r="F20" t="s">
        <v>272</v>
      </c>
    </row>
    <row r="23" spans="3:6" x14ac:dyDescent="0.2">
      <c r="C23" s="1" t="s">
        <v>143</v>
      </c>
    </row>
    <row r="24" spans="3:6" x14ac:dyDescent="0.2">
      <c r="C24" s="2" t="s">
        <v>13</v>
      </c>
      <c r="D24" s="14">
        <v>10</v>
      </c>
      <c r="F24" t="s">
        <v>273</v>
      </c>
    </row>
    <row r="27" spans="3:6" x14ac:dyDescent="0.2">
      <c r="C27" s="1" t="s">
        <v>145</v>
      </c>
    </row>
    <row r="28" spans="3:6" x14ac:dyDescent="0.2">
      <c r="C28" s="2" t="s">
        <v>84</v>
      </c>
      <c r="D28" s="14">
        <v>1</v>
      </c>
      <c r="F28" t="s">
        <v>144</v>
      </c>
    </row>
    <row r="31" spans="3:6" x14ac:dyDescent="0.2">
      <c r="C31" s="1" t="s">
        <v>149</v>
      </c>
      <c r="F31" t="s">
        <v>169</v>
      </c>
    </row>
    <row r="32" spans="3:6" x14ac:dyDescent="0.2">
      <c r="C32" s="2" t="s">
        <v>152</v>
      </c>
      <c r="D32" s="14" t="s">
        <v>44</v>
      </c>
    </row>
    <row r="33" spans="3:4" x14ac:dyDescent="0.2">
      <c r="C33" s="2" t="s">
        <v>153</v>
      </c>
      <c r="D33" s="14" t="s">
        <v>45</v>
      </c>
    </row>
    <row r="34" spans="3:4" x14ac:dyDescent="0.2">
      <c r="C34" s="2" t="s">
        <v>154</v>
      </c>
      <c r="D34" s="14" t="s">
        <v>46</v>
      </c>
    </row>
  </sheetData>
  <mergeCells count="2">
    <mergeCell ref="A1:D1"/>
    <mergeCell ref="E1:I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7</vt:i4>
      </vt:variant>
      <vt:variant>
        <vt:lpstr>Named Ranges</vt:lpstr>
      </vt:variant>
      <vt:variant>
        <vt:i4>178</vt:i4>
      </vt:variant>
    </vt:vector>
  </HeadingPairs>
  <TitlesOfParts>
    <vt:vector size="185" baseType="lpstr">
      <vt:lpstr>Main</vt:lpstr>
      <vt:lpstr>ChartData</vt:lpstr>
      <vt:lpstr>ExDivTree</vt:lpstr>
      <vt:lpstr>UndTree</vt:lpstr>
      <vt:lpstr>OptTree</vt:lpstr>
      <vt:lpstr>Lists</vt:lpstr>
      <vt:lpstr>Preferences</vt:lpstr>
      <vt:lpstr>AmEur</vt:lpstr>
      <vt:lpstr>BS_d1</vt:lpstr>
      <vt:lpstr>BS_d2</vt:lpstr>
      <vt:lpstr>CallPut</vt:lpstr>
      <vt:lpstr>ChartLines</vt:lpstr>
      <vt:lpstr>ChartLines13</vt:lpstr>
      <vt:lpstr>ChartLines13Fixed</vt:lpstr>
      <vt:lpstr>ChartLines13Show</vt:lpstr>
      <vt:lpstr>ChartLines13to8</vt:lpstr>
      <vt:lpstr>ChartLinesFixed</vt:lpstr>
      <vt:lpstr>ChartLinesLabel</vt:lpstr>
      <vt:lpstr>ChartMode</vt:lpstr>
      <vt:lpstr>ChartX</vt:lpstr>
      <vt:lpstr>ChartX13</vt:lpstr>
      <vt:lpstr>ChartX13Fixed</vt:lpstr>
      <vt:lpstr>ChartX13IsDate</vt:lpstr>
      <vt:lpstr>ChartX13IsDays</vt:lpstr>
      <vt:lpstr>ChartXIncr</vt:lpstr>
      <vt:lpstr>ChartXIncrOverride</vt:lpstr>
      <vt:lpstr>ChartXIncrReset</vt:lpstr>
      <vt:lpstr>ChartXKeyMax</vt:lpstr>
      <vt:lpstr>ChartXKeyMid</vt:lpstr>
      <vt:lpstr>ChartXKeyMin</vt:lpstr>
      <vt:lpstr>ChartXKeyPoints</vt:lpstr>
      <vt:lpstr>ChartXKeyRange</vt:lpstr>
      <vt:lpstr>ChartXLabelN</vt:lpstr>
      <vt:lpstr>ChartXLabels</vt:lpstr>
      <vt:lpstr>ChartXMax</vt:lpstr>
      <vt:lpstr>ChartXMid</vt:lpstr>
      <vt:lpstr>ChartXMin</vt:lpstr>
      <vt:lpstr>ChartXMinOverride</vt:lpstr>
      <vt:lpstr>ChartXMinRange</vt:lpstr>
      <vt:lpstr>ChartXMinRangeDate</vt:lpstr>
      <vt:lpstr>ChartXMinRangeDays</vt:lpstr>
      <vt:lpstr>ChartXMinReset</vt:lpstr>
      <vt:lpstr>ChartXN</vt:lpstr>
      <vt:lpstr>ChartXRangeMult</vt:lpstr>
      <vt:lpstr>ChartXRawIncr</vt:lpstr>
      <vt:lpstr>ChartXRawMin</vt:lpstr>
      <vt:lpstr>ChartXZeroRangeMult</vt:lpstr>
      <vt:lpstr>ChartY</vt:lpstr>
      <vt:lpstr>DaysPerYear</vt:lpstr>
      <vt:lpstr>DefaultDivAs</vt:lpstr>
      <vt:lpstr>DeltaFromTree</vt:lpstr>
      <vt:lpstr>DivAmount</vt:lpstr>
      <vt:lpstr>DivAmountLabel</vt:lpstr>
      <vt:lpstr>DivAmountMin</vt:lpstr>
      <vt:lpstr>DivAs</vt:lpstr>
      <vt:lpstr>DivAsLabel</vt:lpstr>
      <vt:lpstr>DownMove</vt:lpstr>
      <vt:lpstr>DownProb</vt:lpstr>
      <vt:lpstr>ExDivAs</vt:lpstr>
      <vt:lpstr>ExDivAsLabel</vt:lpstr>
      <vt:lpstr>ExDivDate</vt:lpstr>
      <vt:lpstr>ExDivDateLabel</vt:lpstr>
      <vt:lpstr>ExDivDays</vt:lpstr>
      <vt:lpstr>ExDivDaysLabel</vt:lpstr>
      <vt:lpstr>ExDivPct</vt:lpstr>
      <vt:lpstr>ExDivPctLabel</vt:lpstr>
      <vt:lpstr>ExDivTime</vt:lpstr>
      <vt:lpstr>ExDivTimeLabel</vt:lpstr>
      <vt:lpstr>ExpDate</vt:lpstr>
      <vt:lpstr>ExpDateLabel</vt:lpstr>
      <vt:lpstr>ExpTime</vt:lpstr>
      <vt:lpstr>ExpTimeLabel</vt:lpstr>
      <vt:lpstr>GammaFromTree</vt:lpstr>
      <vt:lpstr>GIDelta</vt:lpstr>
      <vt:lpstr>GIGamma</vt:lpstr>
      <vt:lpstr>GIRho</vt:lpstr>
      <vt:lpstr>GITheta</vt:lpstr>
      <vt:lpstr>GIVega</vt:lpstr>
      <vt:lpstr>InactiveVisible</vt:lpstr>
      <vt:lpstr>InputFormat0</vt:lpstr>
      <vt:lpstr>InputFormat1</vt:lpstr>
      <vt:lpstr>InputFormat2</vt:lpstr>
      <vt:lpstr>InputFormat3</vt:lpstr>
      <vt:lpstr>InputFormatInactive</vt:lpstr>
      <vt:lpstr>InputValues</vt:lpstr>
      <vt:lpstr>IntRate</vt:lpstr>
      <vt:lpstr>IntRateLabel</vt:lpstr>
      <vt:lpstr>IsExpired</vt:lpstr>
      <vt:lpstr>ListAmEur</vt:lpstr>
      <vt:lpstr>ListCallPut</vt:lpstr>
      <vt:lpstr>ListChartLines</vt:lpstr>
      <vt:lpstr>ListChartMode</vt:lpstr>
      <vt:lpstr>ListChartX</vt:lpstr>
      <vt:lpstr>ListChartX13</vt:lpstr>
      <vt:lpstr>ListChartXAll</vt:lpstr>
      <vt:lpstr>ListChartY</vt:lpstr>
      <vt:lpstr>ListDivAs</vt:lpstr>
      <vt:lpstr>ListExDivAs</vt:lpstr>
      <vt:lpstr>ListModel</vt:lpstr>
      <vt:lpstr>ListTimeAs</vt:lpstr>
      <vt:lpstr>ListUndType</vt:lpstr>
      <vt:lpstr>LR_p_d1</vt:lpstr>
      <vt:lpstr>LRAdjustSteps</vt:lpstr>
      <vt:lpstr>Model</vt:lpstr>
      <vt:lpstr>ModelOutput</vt:lpstr>
      <vt:lpstr>NFDate</vt:lpstr>
      <vt:lpstr>NFDateTime</vt:lpstr>
      <vt:lpstr>NFDays</vt:lpstr>
      <vt:lpstr>NFDivAmount</vt:lpstr>
      <vt:lpstr>NFPct</vt:lpstr>
      <vt:lpstr>NFPrice</vt:lpstr>
      <vt:lpstr>NFRate</vt:lpstr>
      <vt:lpstr>NFTime</vt:lpstr>
      <vt:lpstr>NFVol</vt:lpstr>
      <vt:lpstr>OptPrice</vt:lpstr>
      <vt:lpstr>Paths</vt:lpstr>
      <vt:lpstr>PriceMax</vt:lpstr>
      <vt:lpstr>PriceMin</vt:lpstr>
      <vt:lpstr>RateMax</vt:lpstr>
      <vt:lpstr>RateMin</vt:lpstr>
      <vt:lpstr>RoundDigits</vt:lpstr>
      <vt:lpstr>Series1Checked</vt:lpstr>
      <vt:lpstr>Series1Control</vt:lpstr>
      <vt:lpstr>Series1Data</vt:lpstr>
      <vt:lpstr>Series1Input</vt:lpstr>
      <vt:lpstr>Series1Input1</vt:lpstr>
      <vt:lpstr>Series1Input2</vt:lpstr>
      <vt:lpstr>Series1Name</vt:lpstr>
      <vt:lpstr>Series2Checked</vt:lpstr>
      <vt:lpstr>Series2Control</vt:lpstr>
      <vt:lpstr>Series2Data</vt:lpstr>
      <vt:lpstr>Series2Input</vt:lpstr>
      <vt:lpstr>Series2Input1</vt:lpstr>
      <vt:lpstr>Series2Input2</vt:lpstr>
      <vt:lpstr>Series2Name</vt:lpstr>
      <vt:lpstr>Series3Checked</vt:lpstr>
      <vt:lpstr>Series3Control</vt:lpstr>
      <vt:lpstr>Series3Data</vt:lpstr>
      <vt:lpstr>Series3Input</vt:lpstr>
      <vt:lpstr>Series3Input1</vt:lpstr>
      <vt:lpstr>Series3Input2</vt:lpstr>
      <vt:lpstr>Series3Name</vt:lpstr>
      <vt:lpstr>SeriesInputLabel1</vt:lpstr>
      <vt:lpstr>SeriesInputLabel2</vt:lpstr>
      <vt:lpstr>ShowSeries1</vt:lpstr>
      <vt:lpstr>ShowSeries2</vt:lpstr>
      <vt:lpstr>ShowSeries3</vt:lpstr>
      <vt:lpstr>StatusCode</vt:lpstr>
      <vt:lpstr>StatusDesc</vt:lpstr>
      <vt:lpstr>StatusOK</vt:lpstr>
      <vt:lpstr>StepCost</vt:lpstr>
      <vt:lpstr>StepDiscount</vt:lpstr>
      <vt:lpstr>StepPct</vt:lpstr>
      <vt:lpstr>Steps</vt:lpstr>
      <vt:lpstr>StepsManual</vt:lpstr>
      <vt:lpstr>StepsMax</vt:lpstr>
      <vt:lpstr>StepsMin</vt:lpstr>
      <vt:lpstr>Strike</vt:lpstr>
      <vt:lpstr>ThetaFromTree</vt:lpstr>
      <vt:lpstr>ThetaPeriods</vt:lpstr>
      <vt:lpstr>ThetaSign</vt:lpstr>
      <vt:lpstr>TimeAs</vt:lpstr>
      <vt:lpstr>TimeAsLabel</vt:lpstr>
      <vt:lpstr>TimeDays</vt:lpstr>
      <vt:lpstr>TimeDaysLabel</vt:lpstr>
      <vt:lpstr>TimeMax</vt:lpstr>
      <vt:lpstr>TimePct</vt:lpstr>
      <vt:lpstr>TimePctLabel</vt:lpstr>
      <vt:lpstr>UndPrice</vt:lpstr>
      <vt:lpstr>UndPriceLabel</vt:lpstr>
      <vt:lpstr>UndType</vt:lpstr>
      <vt:lpstr>UpMove</vt:lpstr>
      <vt:lpstr>UpProb</vt:lpstr>
      <vt:lpstr>ValDate</vt:lpstr>
      <vt:lpstr>ValDateLabel</vt:lpstr>
      <vt:lpstr>ValTime</vt:lpstr>
      <vt:lpstr>ValTimeLabel</vt:lpstr>
      <vt:lpstr>Vol</vt:lpstr>
      <vt:lpstr>VolMax</vt:lpstr>
      <vt:lpstr>VolMin</vt:lpstr>
      <vt:lpstr>VolSQRTStep</vt:lpstr>
      <vt:lpstr>VolSQRTStepMin</vt:lpstr>
      <vt:lpstr>VolSQRTTime</vt:lpstr>
      <vt:lpstr>Yield</vt:lpstr>
      <vt:lpstr>YieldLabel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Petr</dc:creator>
  <cp:lastModifiedBy>Luke Byrne</cp:lastModifiedBy>
  <dcterms:created xsi:type="dcterms:W3CDTF">2019-06-01T11:42:42Z</dcterms:created>
  <dcterms:modified xsi:type="dcterms:W3CDTF">2023-11-13T05:36:41Z</dcterms:modified>
</cp:coreProperties>
</file>